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 activeTab="7"/>
  </bookViews>
  <sheets>
    <sheet name="Parameters" sheetId="1" r:id="rId1"/>
    <sheet name="Layer_Config" sheetId="2" r:id="rId2"/>
    <sheet name="Prefill_8K" sheetId="3" r:id="rId3"/>
    <sheet name="Decode_1M" sheetId="4" r:id="rId4"/>
    <sheet name="Memory" sheetId="5" r:id="rId5"/>
    <sheet name="Comparison" sheetId="6" r:id="rId6"/>
    <sheet name="Methodology" sheetId="7" r:id="rId7"/>
    <sheet name="Summary" sheetId="8" r:id="rId8"/>
  </sheets>
  <definedNames>
    <definedName name="_xlnm._FilterDatabase" localSheetId="1" hidden="1">Layer_Config!$A$3:$F$67</definedName>
    <definedName name="_xlnm._FilterDatabase" localSheetId="0" hidden="1">Parameters!$A$3:$G$64</definedName>
    <definedName name="ActivatedExperts">'Parameters'!$D$21</definedName>
    <definedName name="ActiveHashLayers">'Parameters'!$D$52</definedName>
    <definedName name="BF16Bytes">'Parameters'!$D$33</definedName>
    <definedName name="DC_ExpertActiveProbability">'Decode_1M'!$C$9</definedName>
    <definedName name="DC_IndexPairs">'Decode_1M'!$C$8</definedName>
    <definedName name="DC_LongPairs">'Decode_1M'!$C$7</definedName>
    <definedName name="DC_RawPairs">'Decode_1M'!$C$5</definedName>
    <definedName name="DC_Rows">'Decode_1M'!$C$4</definedName>
    <definedName name="DC_ShortPairs">'Decode_1M'!$C$6</definedName>
    <definedName name="DecodeBatch">'Parameters'!$D$8</definedName>
    <definedName name="DecodeContext">'Parameters'!$D$10</definedName>
    <definedName name="DecodeTargetMs">'Parameters'!$D$47</definedName>
    <definedName name="DecodeTokens">'Parameters'!$D$9</definedName>
    <definedName name="ExpertInter">'Parameters'!$D$23</definedName>
    <definedName name="FP32Bytes">'Parameters'!$D$34</definedName>
    <definedName name="FP4Block">'Parameters'!$D$41</definedName>
    <definedName name="FP4Bytes">'Parameters'!$D$36</definedName>
    <definedName name="FP8Block">'Parameters'!$D$40</definedName>
    <definedName name="FP8Bytes">'Parameters'!$D$35</definedName>
    <definedName name="HashLayers">'Parameters'!$D$32</definedName>
    <definedName name="HBMBandwidthGBps">'Parameters'!$D$44</definedName>
    <definedName name="HCIters">'Parameters'!$D$31</definedName>
    <definedName name="HCSlots">'Parameters'!$D$30</definedName>
    <definedName name="HeadDim">'Parameters'!$D$15</definedName>
    <definedName name="HiddenSize">'Parameters'!$D$12</definedName>
    <definedName name="IndexHeadDim">'Parameters'!$D$28</definedName>
    <definedName name="IndexHeads">'Parameters'!$D$27</definedName>
    <definedName name="IndexTopK">'Parameters'!$D$29</definedName>
    <definedName name="INT32Bytes">'Parameters'!$D$38</definedName>
    <definedName name="INT64Bytes">'Parameters'!$D$39</definedName>
    <definedName name="InterconnectGBps">'Parameters'!$D$45</definedName>
    <definedName name="KernelMinHeads">'Parameters'!$D$42</definedName>
    <definedName name="LongLayers">'Parameters'!$D$51</definedName>
    <definedName name="LongRatio">'Parameters'!$D$26</definedName>
    <definedName name="MaxContext">'Parameters'!$D$11</definedName>
    <definedName name="NumHeads">'Parameters'!$D$14</definedName>
    <definedName name="OGroups">'Parameters'!$D$18</definedName>
    <definedName name="OLoraRank">'Parameters'!$D$19</definedName>
    <definedName name="PeakTFLOPs">'Parameters'!$D$43</definedName>
    <definedName name="PF_ExpertActiveProbability">'Prefill_8K'!$C$9</definedName>
    <definedName name="PF_IndexPairs">'Prefill_8K'!$C$8</definedName>
    <definedName name="PF_LongPairs">'Prefill_8K'!$C$7</definedName>
    <definedName name="PF_RawPairs">'Prefill_8K'!$C$5</definedName>
    <definedName name="PF_Rows">'Prefill_8K'!$C$4</definedName>
    <definedName name="PF_ShortPairs">'Prefill_8K'!$C$6</definedName>
    <definedName name="PrefillBatch">'Parameters'!$D$6</definedName>
    <definedName name="PrefillSequence">'Parameters'!$D$7</definedName>
    <definedName name="PrefillTargetMs">'Parameters'!$D$46</definedName>
    <definedName name="QLoraRank">'Parameters'!$D$17</definedName>
    <definedName name="RopeDim">'Parameters'!$D$16</definedName>
    <definedName name="RoutedExperts">'Parameters'!$D$20</definedName>
    <definedName name="ScaleBytes">'Parameters'!$D$37</definedName>
    <definedName name="SharedExperts">'Parameters'!$D$22</definedName>
    <definedName name="ShortLayers">'Parameters'!$D$50</definedName>
    <definedName name="ShortRatio">'Parameters'!$D$25</definedName>
    <definedName name="TotalLayers">'Parameters'!$D$48</definedName>
    <definedName name="TP1KernelLocalHeads">'Parameters'!$D$54</definedName>
    <definedName name="TP1LocalExperts">'Parameters'!$D$56</definedName>
    <definedName name="TP1LocalHeads">'Parameters'!$D$53</definedName>
    <definedName name="TP1LocalIndexHeads">'Parameters'!$D$55</definedName>
    <definedName name="TP1LocalOGroups">'Parameters'!$D$57</definedName>
    <definedName name="TP1LocalVocab">'Parameters'!$D$58</definedName>
    <definedName name="TP1Size">'Parameters'!$D$4</definedName>
    <definedName name="TP8KernelLocalHeads">'Parameters'!$D$60</definedName>
    <definedName name="TP8LocalExperts">'Parameters'!$D$62</definedName>
    <definedName name="TP8LocalHeads">'Parameters'!$D$59</definedName>
    <definedName name="TP8LocalIndexHeads">'Parameters'!$D$61</definedName>
    <definedName name="TP8LocalOGroups">'Parameters'!$D$63</definedName>
    <definedName name="TP8LocalVocab">'Parameters'!$D$64</definedName>
    <definedName name="TP8Size">'Parameters'!$D$5</definedName>
    <definedName name="VocabSize">'Parameters'!$D$13</definedName>
    <definedName name="WindowLayers">'Parameters'!$D$49</definedName>
    <definedName name="WindowSize">'Parameters'!$D$24</definedName>
  </definedNames>
  <calcPr calcId="124519" fullCalcOnLoad="1"/>
</workbook>
</file>

<file path=xl/sharedStrings.xml><?xml version="1.0" encoding="utf-8"?>
<sst xmlns="http://schemas.openxmlformats.org/spreadsheetml/2006/main" count="1128" uniqueCount="603">
  <si>
    <t>DeepSeek V4 Flash - Editable Architecture Parameters</t>
  </si>
  <si>
    <t>Blue cells are editable inputs. Green cells are derived Excel formulas.</t>
  </si>
  <si>
    <t>Category</t>
  </si>
  <si>
    <t>Parameter</t>
  </si>
  <si>
    <t>Excel name</t>
  </si>
  <si>
    <t>Value</t>
  </si>
  <si>
    <t>Unit</t>
  </si>
  <si>
    <t>Description</t>
  </si>
  <si>
    <t>Validation</t>
  </si>
  <si>
    <t>Parallel</t>
  </si>
  <si>
    <t>TP1 comparison size</t>
  </si>
  <si>
    <t>TP1Size</t>
  </si>
  <si>
    <t>ranks</t>
  </si>
  <si>
    <t>First tensor-parallel configuration.</t>
  </si>
  <si>
    <t>TP8 comparison size</t>
  </si>
  <si>
    <t>TP8Size</t>
  </si>
  <si>
    <t>Second tensor-parallel configuration; editable.</t>
  </si>
  <si>
    <t>Scenario</t>
  </si>
  <si>
    <t>Prefill batch size</t>
  </si>
  <si>
    <t>PrefillBatch</t>
  </si>
  <si>
    <t>sequences</t>
  </si>
  <si>
    <t>Editable prefill batch size.</t>
  </si>
  <si>
    <t>Prefill sequence length</t>
  </si>
  <si>
    <t>PrefillSequence</t>
  </si>
  <si>
    <t>tokens</t>
  </si>
  <si>
    <t>Prompt tokens processed in one prefill.</t>
  </si>
  <si>
    <t>Decode batch size</t>
  </si>
  <si>
    <t>DecodeBatch</t>
  </si>
  <si>
    <t>Editable decode batch size.</t>
  </si>
  <si>
    <t>Decode tokens per step</t>
  </si>
  <si>
    <t>DecodeTokens</t>
  </si>
  <si>
    <t>Usually 1; formulas model each token at DecodeContext.</t>
  </si>
  <si>
    <t>Decode context</t>
  </si>
  <si>
    <t>DecodeContext</t>
  </si>
  <si>
    <t>Effective context visible during decode.</t>
  </si>
  <si>
    <t>Maximum allocated context</t>
  </si>
  <si>
    <t>MaxContext</t>
  </si>
  <si>
    <t>KV cache preallocation capacity.</t>
  </si>
  <si>
    <t>Model</t>
  </si>
  <si>
    <t>Hidden size</t>
  </si>
  <si>
    <t>HiddenSize</t>
  </si>
  <si>
    <t>elements</t>
  </si>
  <si>
    <t>Transformer residual width.</t>
  </si>
  <si>
    <t>Vocabulary size</t>
  </si>
  <si>
    <t>VocabSize</t>
  </si>
  <si>
    <t>Embedding and LM-head vocabulary.</t>
  </si>
  <si>
    <t>Attention</t>
  </si>
  <si>
    <t>Query heads</t>
  </si>
  <si>
    <t>NumHeads</t>
  </si>
  <si>
    <t>heads</t>
  </si>
  <si>
    <t>Global Q-head count.</t>
  </si>
  <si>
    <t>Head dimension</t>
  </si>
  <si>
    <t>HeadDim</t>
  </si>
  <si>
    <t>Shared latent KV width and per-Q-head width.</t>
  </si>
  <si>
    <t>RoPE dimension</t>
  </si>
  <si>
    <t>RopeDim</t>
  </si>
  <si>
    <t>Rotary dimensions inside HeadDim.</t>
  </si>
  <si>
    <t>Q LoRA rank</t>
  </si>
  <si>
    <t>QLoraRank</t>
  </si>
  <si>
    <t>Low-rank intermediate width for Q.</t>
  </si>
  <si>
    <t>Output groups</t>
  </si>
  <si>
    <t>OGroups</t>
  </si>
  <si>
    <t>groups</t>
  </si>
  <si>
    <t>Grouped low-rank output projection groups.</t>
  </si>
  <si>
    <t>Output LoRA rank</t>
  </si>
  <si>
    <t>OLoraRank</t>
  </si>
  <si>
    <t>Per-group output low-rank width.</t>
  </si>
  <si>
    <t>MoE</t>
  </si>
  <si>
    <t>Routed experts</t>
  </si>
  <si>
    <t>RoutedExperts</t>
  </si>
  <si>
    <t>experts</t>
  </si>
  <si>
    <t>Global routed-expert count per block.</t>
  </si>
  <si>
    <t>Activated experts</t>
  </si>
  <si>
    <t>ActivatedExperts</t>
  </si>
  <si>
    <t>experts/token</t>
  </si>
  <si>
    <t>Top-K routed experts per token.</t>
  </si>
  <si>
    <t>Shared experts</t>
  </si>
  <si>
    <t>SharedExperts</t>
  </si>
  <si>
    <t>Replicated shared experts per block.</t>
  </si>
  <si>
    <t>Expert intermediate size</t>
  </si>
  <si>
    <t>ExpertInter</t>
  </si>
  <si>
    <t>SwiGLU expert intermediate width.</t>
  </si>
  <si>
    <t>Cache</t>
  </si>
  <si>
    <t>Raw sliding window</t>
  </si>
  <si>
    <t>WindowSize</t>
  </si>
  <si>
    <t>Raw KV positions retained per layer.</t>
  </si>
  <si>
    <t>Short compression ratio</t>
  </si>
  <si>
    <t>ShortRatio</t>
  </si>
  <si>
    <t>tokens/entry</t>
  </si>
  <si>
    <t>Default ratio-4 mode.</t>
  </si>
  <si>
    <t>Long compression ratio</t>
  </si>
  <si>
    <t>LongRatio</t>
  </si>
  <si>
    <t>Default ratio-128 mode.</t>
  </si>
  <si>
    <t>Indexer</t>
  </si>
  <si>
    <t>Indexer heads</t>
  </si>
  <si>
    <t>IndexHeads</t>
  </si>
  <si>
    <t>Global ratio-4 indexer heads.</t>
  </si>
  <si>
    <t>Indexer head dimension</t>
  </si>
  <si>
    <t>IndexHeadDim</t>
  </si>
  <si>
    <t>Indexer Q/K dimension.</t>
  </si>
  <si>
    <t>Indexer Top-K</t>
  </si>
  <si>
    <t>IndexTopK</t>
  </si>
  <si>
    <t>entries</t>
  </si>
  <si>
    <t>Compressed entries retained by ratio-4 attention.</t>
  </si>
  <si>
    <t>HC</t>
  </si>
  <si>
    <t>HC slots</t>
  </si>
  <si>
    <t>HCSlots</t>
  </si>
  <si>
    <t>streams</t>
  </si>
  <si>
    <t>Hyper-Connection residual streams.</t>
  </si>
  <si>
    <t>Sinkhorn iterations</t>
  </si>
  <si>
    <t>HCIters</t>
  </si>
  <si>
    <t>iterations</t>
  </si>
  <si>
    <t>HC combination normalization iterations.</t>
  </si>
  <si>
    <t>Routing</t>
  </si>
  <si>
    <t>Hash-routed layers</t>
  </si>
  <si>
    <t>HashLayers</t>
  </si>
  <si>
    <t>layers</t>
  </si>
  <si>
    <t>First active layers using token-ID routing.</t>
  </si>
  <si>
    <t>DType</t>
  </si>
  <si>
    <t>BF16 bytes</t>
  </si>
  <si>
    <t>BF16Bytes</t>
  </si>
  <si>
    <t>bytes</t>
  </si>
  <si>
    <t>Storage bytes per BF16 element.</t>
  </si>
  <si>
    <t>FP32 bytes</t>
  </si>
  <si>
    <t>FP32Bytes</t>
  </si>
  <si>
    <t>Storage bytes per FP32 element.</t>
  </si>
  <si>
    <t>FP8 bytes</t>
  </si>
  <si>
    <t>FP8Bytes</t>
  </si>
  <si>
    <t>Storage bytes per FP8 element.</t>
  </si>
  <si>
    <t>FP4 bytes</t>
  </si>
  <si>
    <t>FP4Bytes</t>
  </si>
  <si>
    <t>Logical packed bytes per FP4 element.</t>
  </si>
  <si>
    <t>Scale bytes</t>
  </si>
  <si>
    <t>ScaleBytes</t>
  </si>
  <si>
    <t>E8M0 scale storage.</t>
  </si>
  <si>
    <t>INT32 bytes</t>
  </si>
  <si>
    <t>INT32Bytes</t>
  </si>
  <si>
    <t>Storage bytes per INT32 element.</t>
  </si>
  <si>
    <t>INT64 bytes</t>
  </si>
  <si>
    <t>INT64Bytes</t>
  </si>
  <si>
    <t>Storage bytes per INT64 element.</t>
  </si>
  <si>
    <t>Quantization</t>
  </si>
  <si>
    <t>FP8 scale block</t>
  </si>
  <si>
    <t>FP8Block</t>
  </si>
  <si>
    <t>2D FP8 weight scale block.</t>
  </si>
  <si>
    <t>FP4 scale block</t>
  </si>
  <si>
    <t>FP4Block</t>
  </si>
  <si>
    <t>FP4 expert scale block along K.</t>
  </si>
  <si>
    <t>Kernel</t>
  </si>
  <si>
    <t>Minimum sparse-attention heads</t>
  </si>
  <si>
    <t>KernelMinHeads</t>
  </si>
  <si>
    <t>Kernel pads local heads below this value.</t>
  </si>
  <si>
    <t>Hardware</t>
  </si>
  <si>
    <t>Peak compute</t>
  </si>
  <si>
    <t>PeakTFLOPs</t>
  </si>
  <si>
    <t>TFLOP/s</t>
  </si>
  <si>
    <t>Editable illustrative hardware peak.</t>
  </si>
  <si>
    <t>HBM bandwidth</t>
  </si>
  <si>
    <t>HBMBandwidthGBps</t>
  </si>
  <si>
    <t>GB/s</t>
  </si>
  <si>
    <t>Editable sustained/target HBM bandwidth.</t>
  </si>
  <si>
    <t>Interconnect bandwidth</t>
  </si>
  <si>
    <t>InterconnectGBps</t>
  </si>
  <si>
    <t>Editable effective bidirectional bandwidth.</t>
  </si>
  <si>
    <t>Prefill target latency</t>
  </si>
  <si>
    <t>PrefillTargetMs</t>
  </si>
  <si>
    <t>ms</t>
  </si>
  <si>
    <t>Used to derive required throughput.</t>
  </si>
  <si>
    <t>Decode target latency</t>
  </si>
  <si>
    <t>DecodeTargetMs</t>
  </si>
  <si>
    <t>Derived</t>
  </si>
  <si>
    <t>Active layers</t>
  </si>
  <si>
    <t>TotalLayers</t>
  </si>
  <si>
    <t>Count of active Layer_Config rows.</t>
  </si>
  <si>
    <t>Window-only layers</t>
  </si>
  <si>
    <t>WindowLayers</t>
  </si>
  <si>
    <t>Active window-only rows.</t>
  </si>
  <si>
    <t>Short-compression layers</t>
  </si>
  <si>
    <t>ShortLayers</t>
  </si>
  <si>
    <t>Active ratio-4/short rows.</t>
  </si>
  <si>
    <t>Long-compression layers</t>
  </si>
  <si>
    <t>LongLayers</t>
  </si>
  <si>
    <t>Active ratio-128/long rows.</t>
  </si>
  <si>
    <t>Active hash layers</t>
  </si>
  <si>
    <t>ActiveHashLayers</t>
  </si>
  <si>
    <t>Active layer IDs below HashLayers.</t>
  </si>
  <si>
    <t>TP1 local Q heads</t>
  </si>
  <si>
    <t>TP1LocalHeads</t>
  </si>
  <si>
    <t>heads/rank</t>
  </si>
  <si>
    <t>Q heads on one TP1 rank.</t>
  </si>
  <si>
    <t>TP1 kernel local heads</t>
  </si>
  <si>
    <t>TP1KernelLocalHeads</t>
  </si>
  <si>
    <t>Sparse-kernel heads after padding.</t>
  </si>
  <si>
    <t>TP1 local index heads</t>
  </si>
  <si>
    <t>TP1LocalIndexHeads</t>
  </si>
  <si>
    <t>Indexer heads on one TP1 rank.</t>
  </si>
  <si>
    <t>TP1 local experts</t>
  </si>
  <si>
    <t>TP1LocalExperts</t>
  </si>
  <si>
    <t>experts/rank</t>
  </si>
  <si>
    <t>Routed experts on one TP1 rank.</t>
  </si>
  <si>
    <t>TP1 local output groups</t>
  </si>
  <si>
    <t>TP1LocalOGroups</t>
  </si>
  <si>
    <t>groups/rank</t>
  </si>
  <si>
    <t>Output groups on one TP1 rank.</t>
  </si>
  <si>
    <t>TP1 local vocabulary</t>
  </si>
  <si>
    <t>TP1LocalVocab</t>
  </si>
  <si>
    <t>tokens/rank</t>
  </si>
  <si>
    <t>Vocabulary rows on one TP1 rank.</t>
  </si>
  <si>
    <t>TP8 local Q heads</t>
  </si>
  <si>
    <t>TP8LocalHeads</t>
  </si>
  <si>
    <t>Q heads on one TP8 rank.</t>
  </si>
  <si>
    <t>TP8 kernel local heads</t>
  </si>
  <si>
    <t>TP8KernelLocalHeads</t>
  </si>
  <si>
    <t>TP8 local index heads</t>
  </si>
  <si>
    <t>TP8LocalIndexHeads</t>
  </si>
  <si>
    <t>Indexer heads on one TP8 rank.</t>
  </si>
  <si>
    <t>TP8 local experts</t>
  </si>
  <si>
    <t>TP8LocalExperts</t>
  </si>
  <si>
    <t>Routed experts on one TP8 rank.</t>
  </si>
  <si>
    <t>TP8 local output groups</t>
  </si>
  <si>
    <t>TP8LocalOGroups</t>
  </si>
  <si>
    <t>Output groups on one TP8 rank.</t>
  </si>
  <si>
    <t>TP8 local vocabulary</t>
  </si>
  <si>
    <t>TP8LocalVocab</t>
  </si>
  <si>
    <t>Vocabulary rows on one TP8 rank.</t>
  </si>
  <si>
    <t>Architecture validation</t>
  </si>
  <si>
    <t>Q heads divisible by TP1 and TP8</t>
  </si>
  <si>
    <t>Experts divisible by TP1 and TP8</t>
  </si>
  <si>
    <t>Output groups divisible by TP1 and TP8</t>
  </si>
  <si>
    <t>Indexer heads divisible by TP1 and TP8</t>
  </si>
  <si>
    <t>Top-K is valid</t>
  </si>
  <si>
    <t>RoPE fits in head</t>
  </si>
  <si>
    <t>Per-Layer Attention and Routing Configuration</t>
  </si>
  <si>
    <t>Edit Active and Mode. Compression ratio and routing behavior update automatically.</t>
  </si>
  <si>
    <t>Layer ID</t>
  </si>
  <si>
    <t>Active</t>
  </si>
  <si>
    <t>Mode</t>
  </si>
  <si>
    <t>Compression ratio</t>
  </si>
  <si>
    <t>Attention behavior</t>
  </si>
  <si>
    <t>Routing behavior</t>
  </si>
  <si>
    <t>window</t>
  </si>
  <si>
    <t>short</t>
  </si>
  <si>
    <t>long</t>
  </si>
  <si>
    <t>8K Prefill - TP1 vs TP8 Inference</t>
  </si>
  <si>
    <t>Inference only: no backward, gradients, optimizer, or training-state memory. Scrollable below row 3.</t>
  </si>
  <si>
    <t>Helper metric</t>
  </si>
  <si>
    <t>Excel formula (text)</t>
  </si>
  <si>
    <t>Token rows</t>
  </si>
  <si>
    <t>=PrefillBatch*PrefillSequence</t>
  </si>
  <si>
    <t>token rows</t>
  </si>
  <si>
    <t>Causal raw-window pairs</t>
  </si>
  <si>
    <t>=IF(PrefillSequence&lt;=WindowSize,PrefillSequence*(PrefillSequence+1)/2,WindowSize*(WindowSize+1)/2+(PrefillSequence-WindowSize)*WindowSize)</t>
  </si>
  <si>
    <t>pairs/sequence</t>
  </si>
  <si>
    <t>Capped short-compressed pairs</t>
  </si>
  <si>
    <t>=IF(PrefillSequence&lt;IndexTopK*ShortRatio,ShortRatio*INT(PrefillSequence/ShortRatio)*(INT(PrefillSequence/ShortRatio)-1)/2+INT(PrefillSequence/ShortRatio)*(MOD(PrefillSequence,ShortRatio)+1),ShortRatio*IndexTopK*(IndexTopK-1)/2+(PrefillSequence-IndexTopK*ShortRatio+1)*IndexTopK)</t>
  </si>
  <si>
    <t>Long-compressed pairs</t>
  </si>
  <si>
    <t>=LongRatio*INT(PrefillSequence/LongRatio)*(INT(PrefillSequence/LongRatio)-1)/2+INT(PrefillSequence/LongRatio)*(MOD(PrefillSequence,LongRatio)+1)</t>
  </si>
  <si>
    <t>Indexer scan pairs</t>
  </si>
  <si>
    <t>=ShortRatio*INT(PrefillSequence/ShortRatio)*(INT(PrefillSequence/ShortRatio)-1)/2+INT(PrefillSequence/ShortRatio)*(MOD(PrefillSequence,ShortRatio)+1)</t>
  </si>
  <si>
    <t>Expert activation probability</t>
  </si>
  <si>
    <t>=1-(1-ActivatedExperts/RoutedExperts)^PF_Rows</t>
  </si>
  <si>
    <t>probability</t>
  </si>
  <si>
    <t>Detailed inference calculations</t>
  </si>
  <si>
    <t>Item</t>
  </si>
  <si>
    <t>Layer scope</t>
  </si>
  <si>
    <t>FLOPs formula (text)</t>
  </si>
  <si>
    <t>HBM formula (text)</t>
  </si>
  <si>
    <t>TP1 FLOPs</t>
  </si>
  <si>
    <t>TP1 FLOPs unit</t>
  </si>
  <si>
    <t>TP8 FLOPs/rank</t>
  </si>
  <si>
    <t>TP8 FLOPs unit</t>
  </si>
  <si>
    <t>TP1 HBM/rank</t>
  </si>
  <si>
    <t>TP1 HBM unit</t>
  </si>
  <si>
    <t>TP8 HBM/rank</t>
  </si>
  <si>
    <t>TP8 HBM unit</t>
  </si>
  <si>
    <t>TP1 Interconnect</t>
  </si>
  <si>
    <t>TP1 interconnect unit</t>
  </si>
  <si>
    <t>TP8 Interconnect/rank</t>
  </si>
  <si>
    <t>TP8 interconnect unit</t>
  </si>
  <si>
    <t>Accounting</t>
  </si>
  <si>
    <t>Notes</t>
  </si>
  <si>
    <t>Q/K/O projections</t>
  </si>
  <si>
    <t>All active layers</t>
  </si>
  <si>
    <t>TP1 =PF_Rows*TotalLayers*2*(HiddenSize*QLoraRank+QLoraRank*TP1LocalHeads*HeadDim+HiddenSize*HeadDim+TP1LocalHeads*HeadDim*OLoraRank+TP1LocalOGroups*OLoraRank*HiddenSize)
TP8 =PF_Rows*TotalLayers*2*(HiddenSize*QLoraRank+QLoraRank*TP8LocalHeads*HeadDim+HiddenSize*HeadDim+TP8LocalHeads*HeadDim*OLoraRank+TP8LocalOGroups*OLoraRank*HiddenSize)</t>
  </si>
  <si>
    <t>TP1 read =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+PF_Rows*TotalLayers*(2*HiddenSize*BF16Bytes+QLoraRank*BF16Bytes+TP1KernelLocalHeads*HeadDim*BF16Bytes+TP1LocalOGroups*OLoraRank*BF16Bytes); write =PF_Rows*TotalLayers*(QLoraRank+TP1KernelLocalHeads*HeadDim+HeadDim+TP1LocalOGroups*OLoraRank+HiddenSize)*BF16Bytes
TP8 read =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+PF_Rows*TotalLayers*(2*HiddenSize*BF16Bytes+QLoraRank*BF16Bytes+TP8KernelLocalHeads*HeadDim*BF16Bytes+TP8LocalOGroups*OLoraRank*BF16Bytes); write =PF_Rows*TotalLayers*(QLoraRank+TP8KernelLocalHeads*HeadDim+HeadDim+TP8LocalOGroups*OLoraRank+HiddenSize)*BF16Bytes</t>
  </si>
  <si>
    <t>Major</t>
  </si>
  <si>
    <t>Wq_a and Wkv are replicated; Wq_b/Wo_a/Wo_b are TP-sharded.</t>
  </si>
  <si>
    <t>Sparse attention QK + AV</t>
  </si>
  <si>
    <t>Window/short/long layer mix</t>
  </si>
  <si>
    <t>TP1 =4*PrefillBatch*TP1KernelLocalHeads*HeadDim*(WindowLayers*PF_RawPairs+ShortLayers*(PF_RawPairs+PF_ShortPairs)+LongLayers*(PF_RawPairs+PF_LongPairs))
TP8 =4*PrefillBatch*TP8KernelLocalHeads*HeadDim*(WindowLayers*PF_RawPairs+ShortLayers*(PF_RawPairs+PF_ShortPairs)+LongLayers*(PF_RawPairs+PF_LongPairs))</t>
  </si>
  <si>
    <t>TP1 read =PF_Rows*TotalLayers*TP1KernelLocalHeads*HeadDim*BF16Bytes+PrefillBatch*(WindowLayers*PF_RawPairs+ShortLayers*(PF_RawPairs+PF_ShortPairs)+LongLayers*(PF_RawPairs+PF_LongPairs))*HeadDim*BF16Bytes; write =PF_Rows*TotalLayers*TP1KernelLocalHeads*HeadDim*BF16Bytes
TP8 read =PF_Rows*TotalLayers*TP8KernelLocalHeads*HeadDim*BF16Bytes+PrefillBatch*(WindowLayers*PF_RawPairs+ShortLayers*(PF_RawPairs+PF_ShortPairs)+LongLayers*(PF_RawPairs+PF_LongPairs))*HeadDim*BF16Bytes; write =PF_Rows*TotalLayers*TP8KernelLocalHeads*HeadDim*BF16Bytes</t>
  </si>
  <si>
    <t>KV is shared across heads; per-rank kernel heads include minimum-head padding.</t>
  </si>
  <si>
    <t>Ratio-4 Indexer projections</t>
  </si>
  <si>
    <t>TP1 =2*PF_Rows*ShortLayers*(QLoraRank*TP1LocalIndexHeads*IndexHeadDim+HiddenSize*TP1LocalIndexHeads)
TP8 =2*PF_Rows*ShortLayers*(QLoraRank*TP8LocalIndexHeads*IndexHeadDim+HiddenSize*TP8LocalIndexHeads)</t>
  </si>
  <si>
    <t>TP1 read =ShortLayers*(((QLoraRank)*(TP1LocalIndexHeads*IndexHeadDim)*FP8Bytes+ROUNDUP((QLoraRank)/FP8Block,0)*ROUNDUP((TP1LocalIndexHeads*IndexHeadDim)/FP8Block,0)*ScaleBytes)+HiddenSize*TP1LocalIndexHeads*BF16Bytes)+PF_Rows*ShortLayers*(QLoraRank+HiddenSize)*BF16Bytes; write =PF_Rows*ShortLayers*TP1LocalIndexHeads*(IndexHeadDim+1)*BF16Bytes
TP8 read =ShortLayers*(((QLoraRank)*(TP8LocalIndexHeads*IndexHeadDim)*FP8Bytes+ROUNDUP((QLoraRank)/FP8Block,0)*ROUNDUP((TP8LocalIndexHeads*IndexHeadDim)/FP8Block,0)*ScaleBytes)+HiddenSize*TP8LocalIndexHeads*BF16Bytes)+PF_Rows*ShortLayers*(QLoraRank+HiddenSize)*BF16Bytes; write =PF_Rows*ShortLayers*TP8LocalIndexHeads*(IndexHeadDim+1)*BF16Bytes</t>
  </si>
  <si>
    <t>Indexer Q and token-weight projections; only ratio-4 layers use it.</t>
  </si>
  <si>
    <t>Ratio-4 Indexer score scan</t>
  </si>
  <si>
    <t>TP1 =2*PrefillBatch*ShortLayers*TP1LocalIndexHeads*IndexHeadDim*PF_IndexPairs
TP8 =2*PrefillBatch*ShortLayers*TP8LocalIndexHeads*IndexHeadDim*PF_IndexPairs</t>
  </si>
  <si>
    <t>TP1 read =PrefillBatch*ShortLayers*PF_IndexPairs*(IndexHeadDim*BF16Bytes+TP1LocalIndexHeads*BF16Bytes); write =PrefillBatch*ShortLayers*PF_IndexPairs*(TP1LocalIndexHeads*BF16Bytes+FP32Bytes)
TP8 read =PrefillBatch*ShortLayers*PF_IndexPairs*(IndexHeadDim*BF16Bytes+TP8LocalIndexHeads*BF16Bytes); write =PrefillBatch*ShortLayers*PF_IndexPairs*(TP8LocalIndexHeads*BF16Bytes+FP32Bytes)</t>
  </si>
  <si>
    <t>Scans all completed ratio-4 index entries before Top-K selection.</t>
  </si>
  <si>
    <t>Main KV compressor projections</t>
  </si>
  <si>
    <t>All compressed-KV layers</t>
  </si>
  <si>
    <t>TP1 =PF_Rows*(ShortLayers*8*HiddenSize*HeadDim+LongLayers*4*HiddenSize*HeadDim)
TP8 =PF_Rows*(ShortLayers*8*HiddenSize*HeadDim+LongLayers*4*HiddenSize*HeadDim)</t>
  </si>
  <si>
    <t>TP1 read =ShortLayers*(2*HiddenSize*(2*HeadDim)*FP32Bytes+ShortRatio*2*HeadDim*FP32Bytes+HeadDim*FP32Bytes)+LongLayers*(2*HiddenSize*HeadDim*FP32Bytes+LongRatio*HeadDim*FP32Bytes+HeadDim*FP32Bytes)+PF_Rows*(ShortLayers+LongLayers)*HiddenSize*FP32Bytes; write =PF_Rows*(ShortLayers*4*HeadDim+LongLayers*2*HeadDim)*FP32Bytes
TP8 read =ShortLayers*(2*HiddenSize*(2*HeadDim)*FP32Bytes+ShortRatio*2*HeadDim*FP32Bytes+HeadDim*FP32Bytes)+LongLayers*(2*HiddenSize*HeadDim*FP32Bytes+LongRatio*HeadDim*FP32Bytes+HeadDim*FP32Bytes)+PF_Rows*(ShortLayers+LongLayers)*HiddenSize*FP32Bytes; write =PF_Rows*(ShortLayers*4*HeadDim+LongLayers*2*HeadDim)*FP32Bytes</t>
  </si>
  <si>
    <t>Replicated on every TP rank; ratio-4 uses overlapping 2x projections.</t>
  </si>
  <si>
    <t>Indexer compressor projections</t>
  </si>
  <si>
    <t>TP1 =PF_Rows*ShortLayers*8*HiddenSize*IndexHeadDim
TP8 =PF_Rows*ShortLayers*8*HiddenSize*IndexHeadDim</t>
  </si>
  <si>
    <t>TP1 read =ShortLayers*(2*HiddenSize*(2*IndexHeadDim)*FP32Bytes+ShortRatio*2*IndexHeadDim*FP32Bytes+IndexHeadDim*FP32Bytes)+PF_Rows*ShortLayers*HiddenSize*FP32Bytes; write =PF_Rows*ShortLayers*4*IndexHeadDim*FP32Bytes
TP8 read =ShortLayers*(2*HiddenSize*(2*IndexHeadDim)*FP32Bytes+ShortRatio*2*IndexHeadDim*FP32Bytes+IndexHeadDim*FP32Bytes)+PF_Rows*ShortLayers*HiddenSize*FP32Bytes; write =PF_Rows*ShortLayers*4*IndexHeadDim*FP32Bytes</t>
  </si>
  <si>
    <t>Replicated auxiliary compressor used to build the Indexer cache.</t>
  </si>
  <si>
    <t>Router score projection</t>
  </si>
  <si>
    <t>TP1 =2*PF_Rows*TotalLayers*HiddenSize*RoutedExperts
TP8 =2*PF_Rows*TotalLayers*HiddenSize*RoutedExperts</t>
  </si>
  <si>
    <t>TP1 read =TotalLayers*RoutedExperts*HiddenSize*BF16Bytes+(TotalLayers-ActiveHashLayers)*RoutedExperts*FP32Bytes+PF_Rows*TotalLayers*HiddenSize*BF16Bytes+PF_Rows*ActiveHashLayers*ActivatedExperts*INT32Bytes; write =PF_Rows*TotalLayers*RoutedExperts*FP32Bytes
TP8 read =TotalLayers*RoutedExperts*HiddenSize*BF16Bytes+(TotalLayers-ActiveHashLayers)*RoutedExperts*FP32Bytes+PF_Rows*TotalLayers*HiddenSize*BF16Bytes+PF_Rows*ActiveHashLayers*ActivatedExperts*INT32Bytes; write =PF_Rows*TotalLayers*RoutedExperts*FP32Bytes</t>
  </si>
  <si>
    <t>The source computes gate scores even in hash-routed layers.</t>
  </si>
  <si>
    <t>Top-K routed experts</t>
  </si>
  <si>
    <t>TP1 =PF_Rows*TotalLayers*(ActivatedExperts/TP1Size)*6*HiddenSize*ExpertInter
TP8 =PF_Rows*TotalLayers*(ActivatedExperts/TP8Size)*6*HiddenSize*ExpertInter</t>
  </si>
  <si>
    <t>TP1 read =TotalLayers*TP1LocalExperts*PF_ExpertActiveProbability*(3*HiddenSize*ExpertInter*FP4Bytes+3*HiddenSize*ExpertInter/FP4Block*ScaleBytes)+PF_Rows*TotalLayers*(ActivatedExperts/TP1Size)*HiddenSize*BF16Bytes; write =PF_Rows*TotalLayers*(ActivatedExperts/TP1Size)*HiddenSize*BF16Bytes
TP8 read =TotalLayers*TP8LocalExperts*PF_ExpertActiveProbability*(3*HiddenSize*ExpertInter*FP4Bytes+3*HiddenSize*ExpertInter/FP4Block*ScaleBytes)+PF_Rows*TotalLayers*(ActivatedExperts/TP8Size)*HiddenSize*BF16Bytes; write =PF_Rows*TotalLayers*(ActivatedExperts/TP8Size)*HiddenSize*BF16Bytes</t>
  </si>
  <si>
    <t>Balanced expected assignments per rank; parameter read uses expert activation probability.</t>
  </si>
  <si>
    <t>Shared expert</t>
  </si>
  <si>
    <t>TP1 =PF_Rows*TotalLayers*SharedExperts*6*HiddenSize*ExpertInter
TP8 =PF_Rows*TotalLayers*SharedExperts*6*HiddenSize*ExpertInter</t>
  </si>
  <si>
    <t>TP1 read =TotalLayers*SharedExperts*(2*((HiddenSize)*(ExpertInter)*FP8Bytes+ROUNDUP((HiddenSize)/FP8Block,0)*ROUNDUP((ExpertInter)/FP8Block,0)*ScaleBytes)+((ExpertInter)*(HiddenSize)*FP8Bytes+ROUNDUP((ExpertInter)/FP8Block,0)*ROUNDUP((HiddenSize)/FP8Block,0)*ScaleBytes))+PF_Rows*TotalLayers*SharedExperts*HiddenSize*BF16Bytes; write =PF_Rows*TotalLayers*SharedExperts*HiddenSize*BF16Bytes
TP8 read =TotalLayers*SharedExperts*(2*((HiddenSize)*(ExpertInter)*FP8Bytes+ROUNDUP((HiddenSize)/FP8Block,0)*ROUNDUP((ExpertInter)/FP8Block,0)*ScaleBytes)+((ExpertInter)*(HiddenSize)*FP8Bytes+ROUNDUP((ExpertInter)/FP8Block,0)*ROUNDUP((HiddenSize)/FP8Block,0)*ScaleBytes))+PF_Rows*TotalLayers*SharedExperts*HiddenSize*BF16Bytes; write =PF_Rows*TotalLayers*SharedExperts*HiddenSize*BF16Bytes</t>
  </si>
  <si>
    <t>Shared experts are replicated and computed independently on every TP rank.</t>
  </si>
  <si>
    <t>Other</t>
  </si>
  <si>
    <t>Hyper-Connections and block norms</t>
  </si>
  <si>
    <t>TP1 =TotalLayers*2*(2*PF_Rows*HCSlots*HiddenSize*((2+HCSlots)*HCSlots)+PF_Rows*(2*HCSlots*HiddenSize+1)+PF_Rows*HiddenSize*(2*HCSlots-1)+PF_Rows*HCSlots*HiddenSize*(2*HCSlots+1))
TP8 =TotalLayers*2*(2*PF_Rows*HCSlots*HiddenSize*((2+HCSlots)*HCSlots)+PF_Rows*(2*HCSlots*HiddenSize+1)+PF_Rows*HiddenSize*(2*HCSlots-1)+PF_Rows*HCSlots*HiddenSize*(2*HCSlots+1))</t>
  </si>
  <si>
    <t>TP1 read =TotalLayers*2*((2+HCSlots)*HCSlots*HCSlots*HiddenSize*FP32Bytes+((2+HCSlots)*HCSlots+3)*FP32Bytes)+PF_Rows*TotalLayers*4*HCSlots*HiddenSize*BF16Bytes; write =PF_Rows*TotalLayers*4*HCSlots*HiddenSize*BF16Bytes
TP8 read =TotalLayers*2*((2+HCSlots)*HCSlots*HCSlots*HiddenSize*FP32Bytes+((2+HCSlots)*HCSlots+3)*FP32Bytes)+PF_Rows*TotalLayers*4*HCSlots*HiddenSize*BF16Bytes; write =PF_Rows*TotalLayers*4*HCSlots*HiddenSize*BF16Bytes</t>
  </si>
  <si>
    <t>Auxiliary</t>
  </si>
  <si>
    <t>Approximate HC arithmetic; sigmoid/exp are tracked qualitatively.</t>
  </si>
  <si>
    <t>LM head</t>
  </si>
  <si>
    <t>Tail</t>
  </si>
  <si>
    <t>TP1 =2*PrefillBatch*HiddenSize*TP1LocalVocab
TP8 =2*PrefillBatch*HiddenSize*TP8LocalVocab</t>
  </si>
  <si>
    <t>TP1 read =TP1LocalVocab*HiddenSize*FP32Bytes+PrefillBatch*HiddenSize*FP32Bytes; write =PrefillBatch*TP1LocalVocab*FP32Bytes
TP8 read =TP8LocalVocab*HiddenSize*FP32Bytes+PrefillBatch*HiddenSize*FP32Bytes; write =PrefillBatch*TP8LocalVocab*FP32Bytes</t>
  </si>
  <si>
    <t>The inference path computes logits only from the final hidden token.</t>
  </si>
  <si>
    <t>Communication</t>
  </si>
  <si>
    <t>TP collectives</t>
  </si>
  <si>
    <t>Embedding + each block + LM head</t>
  </si>
  <si>
    <t>TP1 =0
TP8 =0</t>
  </si>
  <si>
    <t>TP1 read =0; write =0
TP8 read =0; write =0</t>
  </si>
  <si>
    <t>Zero at TP=1. This is transfer volume, not HBM traffic.</t>
  </si>
  <si>
    <t>Scenario summary</t>
  </si>
  <si>
    <t>Metric</t>
  </si>
  <si>
    <t>TP1 value</t>
  </si>
  <si>
    <t>TP8 value/rank</t>
  </si>
  <si>
    <t>Attention major FLOPs</t>
  </si>
  <si>
    <t>TP1 =SUMIFS($U$33:$U$44,$A$33:$A$44,"Attention",$R$33:$R$44,"Major")
TP8 =SUMIFS($V$33:$V$44,$A$33:$A$44,"Attention",$R$33:$R$44,"Major")</t>
  </si>
  <si>
    <t>MoE major FLOPs</t>
  </si>
  <si>
    <t>TP1 =SUMIFS($U$33:$U$44,$A$33:$A$44,"MoE",$R$33:$R$44,"Major")
TP8 =SUMIFS($V$33:$V$44,$A$33:$A$44,"MoE",$R$33:$R$44,"Major")</t>
  </si>
  <si>
    <t>Other inference FLOPs</t>
  </si>
  <si>
    <t>TP1 =SUMIF($A$33:$A$44,"Other",$U$33:$U$44)
TP8 =SUMIF($A$33:$A$44,"Other",$V$33:$V$44)</t>
  </si>
  <si>
    <t>Total inference FLOPs</t>
  </si>
  <si>
    <t>TP1 =SUM($U$33:$U$44)
TP8 =SUM($V$33:$V$44)</t>
  </si>
  <si>
    <t>Attention HBM traffic</t>
  </si>
  <si>
    <t>TP1 =SUMIF($A$33:$A$44,"Attention",$W$33:$W$44)+SUMIF($A$33:$A$44,"Attention",$X$33:$X$44)
TP8 =SUMIF($A$33:$A$44,"Attention",$Y$33:$Y$44)+SUMIF($A$33:$A$44,"Attention",$Z$33:$Z$44)</t>
  </si>
  <si>
    <t>MoE HBM traffic</t>
  </si>
  <si>
    <t>TP1 =SUMIF($A$33:$A$44,"MoE",$W$33:$W$44)+SUMIF($A$33:$A$44,"MoE",$X$33:$X$44)
TP8 =SUMIF($A$33:$A$44,"MoE",$Y$33:$Y$44)+SUMIF($A$33:$A$44,"MoE",$Z$33:$Z$44)</t>
  </si>
  <si>
    <t>Other HBM traffic</t>
  </si>
  <si>
    <t>TP1 =SUMIF($A$33:$A$44,"Other",$W$33:$W$44)+SUMIF($A$33:$A$44,"Other",$X$33:$X$44)
TP8 =SUMIF($A$33:$A$44,"Other",$Y$33:$Y$44)+SUMIF($A$33:$A$44,"Other",$Z$33:$Z$44)</t>
  </si>
  <si>
    <t>Total HBM traffic</t>
  </si>
  <si>
    <t>TP1 =SUM($W$33:$X$44)
TP8 =SUM($Y$33:$Z$44)</t>
  </si>
  <si>
    <t>Interconnect transfer</t>
  </si>
  <si>
    <t>TP1 =SUM($AA$33:$AA$44)
TP8 =SUM($AB$33:$AB$44)</t>
  </si>
  <si>
    <t>Arithmetic intensity</t>
  </si>
  <si>
    <t>TP1 =SUM($U$33:$U$44)/(SUM($W$33:$W$44)+SUM($X$33:$X$44))
TP8 =SUM($V$33:$V$44)/(SUM($Y$33:$Y$44)+SUM($Z$33:$Z$44))</t>
  </si>
  <si>
    <t>FLOPs/byte</t>
  </si>
  <si>
    <t>Required compute at target</t>
  </si>
  <si>
    <t>TP1 =SUM($U$33:$U$44)/(PrefillTargetMs/1000)/1E12
TP8 =SUM($V$33:$V$44)/(PrefillTargetMs/1000)/1E12</t>
  </si>
  <si>
    <t>Required HBM at target</t>
  </si>
  <si>
    <t>TP1 =(SUM($W$33:$W$44)+SUM($X$33:$X$44))/(PrefillTargetMs/1000)/1E9
TP8 =(SUM($Y$33:$Y$44)+SUM($Z$33:$Z$44))/(PrefillTargetMs/1000)/1E9</t>
  </si>
  <si>
    <t>1M-context Decode - TP1 vs TP8 Inference</t>
  </si>
  <si>
    <t>=DecodeBatch*DecodeTokens</t>
  </si>
  <si>
    <t>Raw-window candidates</t>
  </si>
  <si>
    <t>=DecodeTokens*MIN(WindowSize,DecodeContext)</t>
  </si>
  <si>
    <t>Short-compressed Top-K candidates</t>
  </si>
  <si>
    <t>=DecodeTokens*MIN(IndexTopK,INT(DecodeContext/ShortRatio))</t>
  </si>
  <si>
    <t>Long-compressed candidates</t>
  </si>
  <si>
    <t>=DecodeTokens*INT(DecodeContext/LongRatio)</t>
  </si>
  <si>
    <t>Indexer scan candidates</t>
  </si>
  <si>
    <t>=DecodeTokens*INT(DecodeContext/ShortRatio)</t>
  </si>
  <si>
    <t>=1-(1-ActivatedExperts/RoutedExperts)^DC_Rows</t>
  </si>
  <si>
    <t>TP1 =DC_Rows*TotalLayers*2*(HiddenSize*QLoraRank+QLoraRank*TP1LocalHeads*HeadDim+HiddenSize*HeadDim+TP1LocalHeads*HeadDim*OLoraRank+TP1LocalOGroups*OLoraRank*HiddenSize)
TP8 =DC_Rows*TotalLayers*2*(HiddenSize*QLoraRank+QLoraRank*TP8LocalHeads*HeadDim+HiddenSize*HeadDim+TP8LocalHeads*HeadDim*OLoraRank+TP8LocalOGroups*OLoraRank*HiddenSize)</t>
  </si>
  <si>
    <t>TP1 read =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+DC_Rows*TotalLayers*(2*HiddenSize*BF16Bytes+QLoraRank*BF16Bytes+TP1KernelLocalHeads*HeadDim*BF16Bytes+TP1LocalOGroups*OLoraRank*BF16Bytes); write =DC_Rows*TotalLayers*(QLoraRank+TP1KernelLocalHeads*HeadDim+HeadDim+TP1LocalOGroups*OLoraRank+HiddenSize)*BF16Bytes
TP8 read =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+DC_Rows*TotalLayers*(2*HiddenSize*BF16Bytes+QLoraRank*BF16Bytes+TP8KernelLocalHeads*HeadDim*BF16Bytes+TP8LocalOGroups*OLoraRank*BF16Bytes); write =DC_Rows*TotalLayers*(QLoraRank+TP8KernelLocalHeads*HeadDim+HeadDim+TP8LocalOGroups*OLoraRank+HiddenSize)*BF16Bytes</t>
  </si>
  <si>
    <t>TP1 =4*DecodeBatch*TP1KernelLocalHeads*HeadDim*(WindowLayers*DC_RawPairs+ShortLayers*(DC_RawPairs+DC_ShortPairs)+LongLayers*(DC_RawPairs+DC_LongPairs))
TP8 =4*DecodeBatch*TP8KernelLocalHeads*HeadDim*(WindowLayers*DC_RawPairs+ShortLayers*(DC_RawPairs+DC_ShortPairs)+LongLayers*(DC_RawPairs+DC_LongPairs))</t>
  </si>
  <si>
    <t>TP1 read =DC_Rows*TotalLayers*TP1KernelLocalHeads*HeadDim*BF16Bytes+DecodeBatch*(WindowLayers*DC_RawPairs+ShortLayers*(DC_RawPairs+DC_ShortPairs)+LongLayers*(DC_RawPairs+DC_LongPairs))*HeadDim*BF16Bytes; write =DC_Rows*TotalLayers*TP1KernelLocalHeads*HeadDim*BF16Bytes
TP8 read =DC_Rows*TotalLayers*TP8KernelLocalHeads*HeadDim*BF16Bytes+DecodeBatch*(WindowLayers*DC_RawPairs+ShortLayers*(DC_RawPairs+DC_ShortPairs)+LongLayers*(DC_RawPairs+DC_LongPairs))*HeadDim*BF16Bytes; write =DC_Rows*TotalLayers*TP8KernelLocalHeads*HeadDim*BF16Bytes</t>
  </si>
  <si>
    <t>TP1 =2*DC_Rows*ShortLayers*(QLoraRank*TP1LocalIndexHeads*IndexHeadDim+HiddenSize*TP1LocalIndexHeads)
TP8 =2*DC_Rows*ShortLayers*(QLoraRank*TP8LocalIndexHeads*IndexHeadDim+HiddenSize*TP8LocalIndexHeads)</t>
  </si>
  <si>
    <t>TP1 read =ShortLayers*(((QLoraRank)*(TP1LocalIndexHeads*IndexHeadDim)*FP8Bytes+ROUNDUP((QLoraRank)/FP8Block,0)*ROUNDUP((TP1LocalIndexHeads*IndexHeadDim)/FP8Block,0)*ScaleBytes)+HiddenSize*TP1LocalIndexHeads*BF16Bytes)+DC_Rows*ShortLayers*(QLoraRank+HiddenSize)*BF16Bytes; write =DC_Rows*ShortLayers*TP1LocalIndexHeads*(IndexHeadDim+1)*BF16Bytes
TP8 read =ShortLayers*(((QLoraRank)*(TP8LocalIndexHeads*IndexHeadDim)*FP8Bytes+ROUNDUP((QLoraRank)/FP8Block,0)*ROUNDUP((TP8LocalIndexHeads*IndexHeadDim)/FP8Block,0)*ScaleBytes)+HiddenSize*TP8LocalIndexHeads*BF16Bytes)+DC_Rows*ShortLayers*(QLoraRank+HiddenSize)*BF16Bytes; write =DC_Rows*ShortLayers*TP8LocalIndexHeads*(IndexHeadDim+1)*BF16Bytes</t>
  </si>
  <si>
    <t>TP1 =2*DecodeBatch*ShortLayers*TP1LocalIndexHeads*IndexHeadDim*DC_IndexPairs
TP8 =2*DecodeBatch*ShortLayers*TP8LocalIndexHeads*IndexHeadDim*DC_IndexPairs</t>
  </si>
  <si>
    <t>TP1 read =DecodeBatch*ShortLayers*DC_IndexPairs*(IndexHeadDim*BF16Bytes+TP1LocalIndexHeads*BF16Bytes); write =DecodeBatch*ShortLayers*DC_IndexPairs*(TP1LocalIndexHeads*BF16Bytes+FP32Bytes)
TP8 read =DecodeBatch*ShortLayers*DC_IndexPairs*(IndexHeadDim*BF16Bytes+TP8LocalIndexHeads*BF16Bytes); write =DecodeBatch*ShortLayers*DC_IndexPairs*(TP8LocalIndexHeads*BF16Bytes+FP32Bytes)</t>
  </si>
  <si>
    <t>TP1 =DC_Rows*(ShortLayers*8*HiddenSize*HeadDim+LongLayers*4*HiddenSize*HeadDim)
TP8 =DC_Rows*(ShortLayers*8*HiddenSize*HeadDim+LongLayers*4*HiddenSize*HeadDim)</t>
  </si>
  <si>
    <t>TP1 read =ShortLayers*(2*HiddenSize*(2*HeadDim)*FP32Bytes+ShortRatio*2*HeadDim*FP32Bytes+HeadDim*FP32Bytes)+LongLayers*(2*HiddenSize*HeadDim*FP32Bytes+LongRatio*HeadDim*FP32Bytes+HeadDim*FP32Bytes)+DC_Rows*(ShortLayers+LongLayers)*HiddenSize*FP32Bytes; write =DC_Rows*(ShortLayers*4*HeadDim+LongLayers*2*HeadDim)*FP32Bytes
TP8 read =ShortLayers*(2*HiddenSize*(2*HeadDim)*FP32Bytes+ShortRatio*2*HeadDim*FP32Bytes+HeadDim*FP32Bytes)+LongLayers*(2*HiddenSize*HeadDim*FP32Bytes+LongRatio*HeadDim*FP32Bytes+HeadDim*FP32Bytes)+DC_Rows*(ShortLayers+LongLayers)*HiddenSize*FP32Bytes; write =DC_Rows*(ShortLayers*4*HeadDim+LongLayers*2*HeadDim)*FP32Bytes</t>
  </si>
  <si>
    <t>TP1 =DC_Rows*ShortLayers*8*HiddenSize*IndexHeadDim
TP8 =DC_Rows*ShortLayers*8*HiddenSize*IndexHeadDim</t>
  </si>
  <si>
    <t>TP1 read =ShortLayers*(2*HiddenSize*(2*IndexHeadDim)*FP32Bytes+ShortRatio*2*IndexHeadDim*FP32Bytes+IndexHeadDim*FP32Bytes)+DC_Rows*ShortLayers*HiddenSize*FP32Bytes; write =DC_Rows*ShortLayers*4*IndexHeadDim*FP32Bytes
TP8 read =ShortLayers*(2*HiddenSize*(2*IndexHeadDim)*FP32Bytes+ShortRatio*2*IndexHeadDim*FP32Bytes+IndexHeadDim*FP32Bytes)+DC_Rows*ShortLayers*HiddenSize*FP32Bytes; write =DC_Rows*ShortLayers*4*IndexHeadDim*FP32Bytes</t>
  </si>
  <si>
    <t>TP1 =2*DC_Rows*TotalLayers*HiddenSize*RoutedExperts
TP8 =2*DC_Rows*TotalLayers*HiddenSize*RoutedExperts</t>
  </si>
  <si>
    <t>TP1 read =TotalLayers*RoutedExperts*HiddenSize*BF16Bytes+(TotalLayers-ActiveHashLayers)*RoutedExperts*FP32Bytes+DC_Rows*TotalLayers*HiddenSize*BF16Bytes+DC_Rows*ActiveHashLayers*ActivatedExperts*INT32Bytes; write =DC_Rows*TotalLayers*RoutedExperts*FP32Bytes
TP8 read =TotalLayers*RoutedExperts*HiddenSize*BF16Bytes+(TotalLayers-ActiveHashLayers)*RoutedExperts*FP32Bytes+DC_Rows*TotalLayers*HiddenSize*BF16Bytes+DC_Rows*ActiveHashLayers*ActivatedExperts*INT32Bytes; write =DC_Rows*TotalLayers*RoutedExperts*FP32Bytes</t>
  </si>
  <si>
    <t>TP1 =DC_Rows*TotalLayers*(ActivatedExperts/TP1Size)*6*HiddenSize*ExpertInter
TP8 =DC_Rows*TotalLayers*(ActivatedExperts/TP8Size)*6*HiddenSize*ExpertInter</t>
  </si>
  <si>
    <t>TP1 read =TotalLayers*TP1LocalExperts*DC_ExpertActiveProbability*(3*HiddenSize*ExpertInter*FP4Bytes+3*HiddenSize*ExpertInter/FP4Block*ScaleBytes)+DC_Rows*TotalLayers*(ActivatedExperts/TP1Size)*HiddenSize*BF16Bytes; write =DC_Rows*TotalLayers*(ActivatedExperts/TP1Size)*HiddenSize*BF16Bytes
TP8 read =TotalLayers*TP8LocalExperts*DC_ExpertActiveProbability*(3*HiddenSize*ExpertInter*FP4Bytes+3*HiddenSize*ExpertInter/FP4Block*ScaleBytes)+DC_Rows*TotalLayers*(ActivatedExperts/TP8Size)*HiddenSize*BF16Bytes; write =DC_Rows*TotalLayers*(ActivatedExperts/TP8Size)*HiddenSize*BF16Bytes</t>
  </si>
  <si>
    <t>TP1 =DC_Rows*TotalLayers*SharedExperts*6*HiddenSize*ExpertInter
TP8 =DC_Rows*TotalLayers*SharedExperts*6*HiddenSize*ExpertInter</t>
  </si>
  <si>
    <t>TP1 read =TotalLayers*SharedExperts*(2*((HiddenSize)*(ExpertInter)*FP8Bytes+ROUNDUP((HiddenSize)/FP8Block,0)*ROUNDUP((ExpertInter)/FP8Block,0)*ScaleBytes)+((ExpertInter)*(HiddenSize)*FP8Bytes+ROUNDUP((ExpertInter)/FP8Block,0)*ROUNDUP((HiddenSize)/FP8Block,0)*ScaleBytes))+DC_Rows*TotalLayers*SharedExperts*HiddenSize*BF16Bytes; write =DC_Rows*TotalLayers*SharedExperts*HiddenSize*BF16Bytes
TP8 read =TotalLayers*SharedExperts*(2*((HiddenSize)*(ExpertInter)*FP8Bytes+ROUNDUP((HiddenSize)/FP8Block,0)*ROUNDUP((ExpertInter)/FP8Block,0)*ScaleBytes)+((ExpertInter)*(HiddenSize)*FP8Bytes+ROUNDUP((ExpertInter)/FP8Block,0)*ROUNDUP((HiddenSize)/FP8Block,0)*ScaleBytes))+DC_Rows*TotalLayers*SharedExperts*HiddenSize*BF16Bytes; write =DC_Rows*TotalLayers*SharedExperts*HiddenSize*BF16Bytes</t>
  </si>
  <si>
    <t>TP1 =TotalLayers*2*(2*DC_Rows*HCSlots*HiddenSize*((2+HCSlots)*HCSlots)+DC_Rows*(2*HCSlots*HiddenSize+1)+DC_Rows*HiddenSize*(2*HCSlots-1)+DC_Rows*HCSlots*HiddenSize*(2*HCSlots+1))
TP8 =TotalLayers*2*(2*DC_Rows*HCSlots*HiddenSize*((2+HCSlots)*HCSlots)+DC_Rows*(2*HCSlots*HiddenSize+1)+DC_Rows*HiddenSize*(2*HCSlots-1)+DC_Rows*HCSlots*HiddenSize*(2*HCSlots+1))</t>
  </si>
  <si>
    <t>TP1 read =TotalLayers*2*((2+HCSlots)*HCSlots*HCSlots*HiddenSize*FP32Bytes+((2+HCSlots)*HCSlots+3)*FP32Bytes)+DC_Rows*TotalLayers*4*HCSlots*HiddenSize*BF16Bytes; write =DC_Rows*TotalLayers*4*HCSlots*HiddenSize*BF16Bytes
TP8 read =TotalLayers*2*((2+HCSlots)*HCSlots*HCSlots*HiddenSize*FP32Bytes+((2+HCSlots)*HCSlots+3)*FP32Bytes)+DC_Rows*TotalLayers*4*HCSlots*HiddenSize*BF16Bytes; write =DC_Rows*TotalLayers*4*HCSlots*HiddenSize*BF16Bytes</t>
  </si>
  <si>
    <t>TP1 =2*DC_Rows*HiddenSize*TP1LocalVocab
TP8 =2*DC_Rows*HiddenSize*TP8LocalVocab</t>
  </si>
  <si>
    <t>TP1 read =TP1LocalVocab*HiddenSize*FP32Bytes+DC_Rows*HiddenSize*FP32Bytes; write =DC_Rows*TP1LocalVocab*FP32Bytes
TP8 read =TP8LocalVocab*HiddenSize*FP32Bytes+DC_Rows*HiddenSize*FP32Bytes; write =DC_Rows*TP8LocalVocab*FP32Bytes</t>
  </si>
  <si>
    <t>TP1 =SUM($U$33:$U$44)/(DecodeTargetMs/1000)/1E12
TP8 =SUM($V$33:$V$44)/(DecodeTargetMs/1000)/1E12</t>
  </si>
  <si>
    <t>TP1 =(SUM($W$33:$W$44)+SUM($X$33:$X$44))/(DecodeTargetMs/1000)/1E9
TP8 =(SUM($Y$33:$Y$44)+SUM($Z$33:$Z$44))/(DecodeTargetMs/1000)/1E9</t>
  </si>
  <si>
    <t>TP1 / TP8 每 Rank 推理参数与 KV 容量</t>
  </si>
  <si>
    <t>仅统计推理驻留数据；不含梯度、优化器、反向激活和训练状态。</t>
  </si>
  <si>
    <t>大类</t>
  </si>
  <si>
    <t>参数组件</t>
  </si>
  <si>
    <t>参数量公式（文本）</t>
  </si>
  <si>
    <t>容量公式（文本）</t>
  </si>
  <si>
    <t>全局参数量</t>
  </si>
  <si>
    <t>全局参数量单位</t>
  </si>
  <si>
    <t>TP1 参数量/rank</t>
  </si>
  <si>
    <t>TP1 参数量单位</t>
  </si>
  <si>
    <t>TP8 参数量/rank</t>
  </si>
  <si>
    <t>TP8 参数量单位</t>
  </si>
  <si>
    <t>TP1 容量/rank</t>
  </si>
  <si>
    <t>TP1 容量单位</t>
  </si>
  <si>
    <t>TP8 容量/rank</t>
  </si>
  <si>
    <t>TP8 容量单位</t>
  </si>
  <si>
    <t>说明</t>
  </si>
  <si>
    <t>Core Q/K/O projections</t>
  </si>
  <si>
    <t>Global =TotalLayers*(HiddenSize*QLoraRank+QLoraRank*NumHeads*HeadDim+HiddenSize*HeadDim+NumHeads*HeadDim*OLoraRank+OGroups*OLoraRank*HiddenSize)
TP1 =TotalLayers*(HiddenSize*QLoraRank+QLoraRank*TP1LocalHeads*HeadDim+HiddenSize*HeadDim+TP1LocalHeads*HeadDim*OLoraRank+TP1LocalOGroups*OLoraRank*HiddenSize)
TP8 =TotalLayers*(HiddenSize*QLoraRank+QLoraRank*TP8LocalHeads*HeadDim+HiddenSize*HeadDim+TP8LocalHeads*HeadDim*OLoraRank+TP8LocalOGroups*OLoraRank*HiddenSize)</t>
  </si>
  <si>
    <t>Global =TotalLayers*(((HiddenSize)*(QLoraRank)*FP8Bytes+ROUNDUP((HiddenSize)/FP8Block,0)*ROUNDUP((QLoraRank)/FP8Block,0)*ScaleBytes)+((QLoraRank)*(NumHeads*HeadDim)*FP8Bytes+ROUNDUP((QLoraRank)/FP8Block,0)*ROUNDUP((NumHeads*HeadDim)/FP8Block,0)*ScaleBytes)+((HiddenSize)*(HeadDim)*FP8Bytes+ROUNDUP((HiddenSize)/FP8Block,0)*ROUNDUP((HeadDim)/FP8Block,0)*ScaleBytes)+NumHeads*HeadDim*OLoraRank*BF16Bytes+((OGroups*OLoraRank)*(HiddenSize)*FP8Bytes+ROUNDUP((OGroups*OLoraRank)/FP8Block,0)*ROUNDUP((HiddenSize)/FP8Block,0)*ScaleBytes))
TP1 =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
TP8 =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</t>
  </si>
  <si>
    <t>Wq_a/Wkv replicated; Q/O output dimensions TP-sharded.</t>
  </si>
  <si>
    <t>KV compressors</t>
  </si>
  <si>
    <t>Global =ShortLayers*(2*HiddenSize*(2*HeadDim)+ShortRatio*2*HeadDim+HeadDim)+LongLayers*(2*HiddenSize*HeadDim+LongRatio*HeadDim+HeadDim)
TP1 =ShortLayers*(2*HiddenSize*(2*HeadDim)+ShortRatio*2*HeadDim+HeadDim)+LongLayers*(2*HiddenSize*HeadDim+LongRatio*HeadDim+HeadDim)
TP8 =ShortLayers*(2*HiddenSize*(2*HeadDim)+ShortRatio*2*HeadDim+HeadDim)+LongLayers*(2*HiddenSize*HeadDim+LongRatio*HeadDim+HeadDim)</t>
  </si>
  <si>
    <t>Global =ShortLayers*(2*HiddenSize*(2*HeadDim)*FP32Bytes+ShortRatio*2*HeadDim*FP32Bytes+HeadDim*FP32Bytes)+LongLayers*(2*HiddenSize*HeadDim*FP32Bytes+LongRatio*HeadDim*FP32Bytes+HeadDim*FP32Bytes)
TP1 =ShortLayers*(2*HiddenSize*(2*HeadDim)*FP32Bytes+ShortRatio*2*HeadDim*FP32Bytes+HeadDim*FP32Bytes)+LongLayers*(2*HiddenSize*HeadDim*FP32Bytes+LongRatio*HeadDim*FP32Bytes+HeadDim*FP32Bytes)
TP8 =ShortLayers*(2*HiddenSize*(2*HeadDim)*FP32Bytes+ShortRatio*2*HeadDim*FP32Bytes+HeadDim*FP32Bytes)+LongLayers*(2*HiddenSize*HeadDim*FP32Bytes+LongRatio*HeadDim*FP32Bytes+HeadDim*FP32Bytes)</t>
  </si>
  <si>
    <t>Replicated FP32 inference compressor parameters.</t>
  </si>
  <si>
    <t>Ratio-4 Indexers</t>
  </si>
  <si>
    <t>Global =ShortLayers*(QLoraRank*IndexHeads*IndexHeadDim+HiddenSize*IndexHeads+2*HiddenSize*(2*IndexHeadDim)+ShortRatio*2*IndexHeadDim+IndexHeadDim)
TP1 =ShortLayers*(QLoraRank*TP1LocalIndexHeads*IndexHeadDim+HiddenSize*TP1LocalIndexHeads+2*HiddenSize*(2*IndexHeadDim)+ShortRatio*2*IndexHeadDim+IndexHeadDim)
TP8 =ShortLayers*(QLoraRank*TP8LocalIndexHeads*IndexHeadDim+HiddenSize*TP8LocalIndexHeads+2*HiddenSize*(2*IndexHeadDim)+ShortRatio*2*IndexHeadDim+IndexHeadDim)</t>
  </si>
  <si>
    <t>Global =ShortLayers*(((QLoraRank)*(IndexHeads*IndexHeadDim)*FP8Bytes+ROUNDUP((QLoraRank)/FP8Block,0)*ROUNDUP((IndexHeads*IndexHeadDim)/FP8Block,0)*ScaleBytes)+HiddenSize*IndexHeads*BF16Bytes+2*HiddenSize*(2*IndexHeadDim)*FP32Bytes+ShortRatio*2*IndexHeadDim*FP32Bytes+IndexHeadDim*FP32Bytes)
TP1 =ShortLayers*(((QLoraRank)*(TP1LocalIndexHeads*IndexHeadDim)*FP8Bytes+ROUNDUP((QLoraRank)/FP8Block,0)*ROUNDUP((TP1LocalIndexHeads*IndexHeadDim)/FP8Block,0)*ScaleBytes)+HiddenSize*TP1LocalIndexHeads*BF16Bytes+2*HiddenSize*(2*IndexHeadDim)*FP32Bytes+ShortRatio*2*IndexHeadDim*FP32Bytes+IndexHeadDim*FP32Bytes)
TP8 =ShortLayers*(((QLoraRank)*(TP8LocalIndexHeads*IndexHeadDim)*FP8Bytes+ROUNDUP((QLoraRank)/FP8Block,0)*ROUNDUP((TP8LocalIndexHeads*IndexHeadDim)/FP8Block,0)*ScaleBytes)+HiddenSize*TP8LocalIndexHeads*BF16Bytes+2*HiddenSize*(2*IndexHeadDim)*FP32Bytes+ShortRatio*2*IndexHeadDim*FP32Bytes+IndexHeadDim*FP32Bytes)</t>
  </si>
  <si>
    <t>Indexer Q/weight projections are sharded; index compressor is replicated.</t>
  </si>
  <si>
    <t>Global =TotalLayers*RoutedExperts*3*HiddenSize*ExpertInter
TP1 =TotalLayers*TP1LocalExperts*3*HiddenSize*ExpertInter
TP8 =TotalLayers*TP8LocalExperts*3*HiddenSize*ExpertInter</t>
  </si>
  <si>
    <t>Global =TotalLayers*RoutedExperts*(3*HiddenSize*ExpertInter*FP4Bytes+3*HiddenSize*ExpertInter/FP4Block*ScaleBytes)
TP1 =TotalLayers*TP1LocalExperts*(3*HiddenSize*ExpertInter*FP4Bytes+3*HiddenSize*ExpertInter/FP4Block*ScaleBytes)
TP8 =TotalLayers*TP8LocalExperts*(3*HiddenSize*ExpertInter*FP4Bytes+3*HiddenSize*ExpertInter/FP4Block*ScaleBytes)</t>
  </si>
  <si>
    <t>FP4 routed experts are uniformly sharded across ranks.</t>
  </si>
  <si>
    <t>Global =TotalLayers*SharedExperts*3*HiddenSize*ExpertInter
TP1 =TotalLayers*SharedExperts*3*HiddenSize*ExpertInter
TP8 =TotalLayers*SharedExperts*3*HiddenSize*ExpertInter</t>
  </si>
  <si>
    <t>Global =TotalLayers*SharedExperts*(2*((HiddenSize)*(ExpertInter)*FP8Bytes+ROUNDUP((HiddenSize)/FP8Block,0)*ROUNDUP((ExpertInter)/FP8Block,0)*ScaleBytes)+((ExpertInter)*(HiddenSize)*FP8Bytes+ROUNDUP((ExpertInter)/FP8Block,0)*ROUNDUP((HiddenSize)/FP8Block,0)*ScaleBytes))
TP1 =TotalLayers*SharedExperts*(2*((HiddenSize)*(ExpertInter)*FP8Bytes+ROUNDUP((HiddenSize)/FP8Block,0)*ROUNDUP((ExpertInter)/FP8Block,0)*ScaleBytes)+((ExpertInter)*(HiddenSize)*FP8Bytes+ROUNDUP((ExpertInter)/FP8Block,0)*ROUNDUP((HiddenSize)/FP8Block,0)*ScaleBytes))
TP8 =TotalLayers*SharedExperts*(2*((HiddenSize)*(ExpertInter)*FP8Bytes+ROUNDUP((HiddenSize)/FP8Block,0)*ROUNDUP((ExpertInter)/FP8Block,0)*ScaleBytes)+((ExpertInter)*(HiddenSize)*FP8Bytes+ROUNDUP((ExpertInter)/FP8Block,0)*ROUNDUP((HiddenSize)/FP8Block,0)*ScaleBytes))</t>
  </si>
  <si>
    <t>Shared FP8 experts are replicated on every rank.</t>
  </si>
  <si>
    <t>Router and hash tables</t>
  </si>
  <si>
    <t>Global =TotalLayers*RoutedExperts*HiddenSize+(TotalLayers-ActiveHashLayers)*RoutedExperts+ActiveHashLayers*VocabSize*ActivatedExperts
TP1 =TotalLayers*RoutedExperts*HiddenSize+(TotalLayers-ActiveHashLayers)*RoutedExperts+ActiveHashLayers*VocabSize*ActivatedExperts
TP8 =TotalLayers*RoutedExperts*HiddenSize+(TotalLayers-ActiveHashLayers)*RoutedExperts+ActiveHashLayers*VocabSize*ActivatedExperts</t>
  </si>
  <si>
    <t>Global =TotalLayers*RoutedExperts*HiddenSize*BF16Bytes+(TotalLayers-ActiveHashLayers)*RoutedExperts*FP32Bytes+ActiveHashLayers*VocabSize*ActivatedExperts*INT32Bytes
TP1 =TotalLayers*RoutedExperts*HiddenSize*BF16Bytes+(TotalLayers-ActiveHashLayers)*RoutedExperts*FP32Bytes+ActiveHashLayers*VocabSize*ActivatedExperts*INT32Bytes
TP8 =TotalLayers*RoutedExperts*HiddenSize*BF16Bytes+(TotalLayers-ActiveHashLayers)*RoutedExperts*FP32Bytes+ActiveHashLayers*VocabSize*ActivatedExperts*INT32Bytes</t>
  </si>
  <si>
    <t>Gate, bias, and token-to-expert tables are replicated.</t>
  </si>
  <si>
    <t>Embedding</t>
  </si>
  <si>
    <t>Global =VocabSize*HiddenSize
TP1 =TP1LocalVocab*HiddenSize
TP8 =TP8LocalVocab*HiddenSize</t>
  </si>
  <si>
    <t>Global =VocabSize*HiddenSize*BF16Bytes
TP1 =TP1LocalVocab*HiddenSize*BF16Bytes
TP8 =TP8LocalVocab*HiddenSize*BF16Bytes</t>
  </si>
  <si>
    <t>Vocabulary-parallel embedding.</t>
  </si>
  <si>
    <t>Global =VocabSize*HiddenSize*FP32Bytes
TP1 =TP1LocalVocab*HiddenSize*FP32Bytes
TP8 =TP8LocalVocab*HiddenSize*FP32Bytes</t>
  </si>
  <si>
    <t>Vocabulary-parallel FP32 inference head.</t>
  </si>
  <si>
    <t>Hyper-Connections</t>
  </si>
  <si>
    <t>Global =TotalLayers*2*(((2+HCSlots)*HCSlots)*HCSlots*HiddenSize+((2+HCSlots)*HCSlots)+3)
TP1 =TotalLayers*2*(((2+HCSlots)*HCSlots)*HCSlots*HiddenSize+((2+HCSlots)*HCSlots)+3)
TP8 =TotalLayers*2*(((2+HCSlots)*HCSlots)*HCSlots*HiddenSize+((2+HCSlots)*HCSlots)+3)</t>
  </si>
  <si>
    <t>Global =(TotalLayers*2*(((2+HCSlots)*HCSlots)*HCSlots*HiddenSize+((2+HCSlots)*HCSlots)+3))*FP32Bytes
TP1 =(TotalLayers*2*(((2+HCSlots)*HCSlots)*HCSlots*HiddenSize+((2+HCSlots)*HCSlots)+3))*FP32Bytes
TP8 =(TotalLayers*2*(((2+HCSlots)*HCSlots)*HCSlots*HiddenSize+((2+HCSlots)*HCSlots)+3))*FP32Bytes</t>
  </si>
  <si>
    <t>Replicated HC parameters; inference only.</t>
  </si>
  <si>
    <t>Norms and attention sinks</t>
  </si>
  <si>
    <t>Global =TotalLayers*(2*HiddenSize+QLoraRank+HeadDim+NumHeads)
TP1 =TotalLayers*(2*HiddenSize+QLoraRank+HeadDim+TP1LocalHeads)
TP8 =TotalLayers*(2*HiddenSize+QLoraRank+HeadDim+TP8LocalHeads)</t>
  </si>
  <si>
    <t>Global =(TotalLayers*(2*HiddenSize+QLoraRank+HeadDim+NumHeads))*FP32Bytes
TP1 =(TotalLayers*(2*HiddenSize+QLoraRank+HeadDim+TP1LocalHeads))*FP32Bytes
TP8 =(TotalLayers*(2*HiddenSize+QLoraRank+HeadDim+TP8LocalHeads))*FP32Bytes</t>
  </si>
  <si>
    <t>Only local attention-sink vectors are sharded.</t>
  </si>
  <si>
    <t>Tail HC and final norm</t>
  </si>
  <si>
    <t>Global =HCSlots*HCSlots*HiddenSize+HCSlots+1+HiddenSize
TP1 =HCSlots*HCSlots*HiddenSize+HCSlots+1+HiddenSize
TP8 =HCSlots*HCSlots*HiddenSize+HCSlots+1+HiddenSize</t>
  </si>
  <si>
    <t>Global =(HCSlots*HCSlots*HiddenSize+HCSlots+1+HiddenSize)*FP32Bytes
TP1 =(HCSlots*HCSlots*HiddenSize+HCSlots+1+HiddenSize)*FP32Bytes
TP8 =(HCSlots*HCSlots*HiddenSize+HCSlots+1+HiddenSize)*FP32Bytes</t>
  </si>
  <si>
    <t>Replicated final inference tail.</t>
  </si>
  <si>
    <t>参数量与参数容量汇总</t>
  </si>
  <si>
    <t>单位</t>
  </si>
  <si>
    <t>Total</t>
  </si>
  <si>
    <t>KV Cache 与 Compressor State（每 Rank，TP 间复制）</t>
  </si>
  <si>
    <t>项目</t>
  </si>
  <si>
    <t>公式（文本）</t>
  </si>
  <si>
    <t>TP1/rank</t>
  </si>
  <si>
    <t>TP8/rank</t>
  </si>
  <si>
    <t>Prefill effective main KV</t>
  </si>
  <si>
    <t>=PrefillBatch*HeadDim*BF16Bytes*(WindowLayers*MIN(PrefillSequence,WindowSize)+ShortLayers*(MIN(PrefillSequence,WindowSize)+INT(PrefillSequence/ShortRatio))+LongLayers*(MIN(PrefillSequence,WindowSize)+INT(PrefillSequence/LongRatio)))</t>
  </si>
  <si>
    <t>8K Prefill 已生成的主 Attention KV。</t>
  </si>
  <si>
    <t>Prefill effective Indexer KV</t>
  </si>
  <si>
    <t>=PrefillBatch*ShortLayers*INT(PrefillSequence/ShortRatio)*IndexHeadDim*BF16Bytes</t>
  </si>
  <si>
    <t>8K Prefill 已生成的 ratio-4 Indexer KV。</t>
  </si>
  <si>
    <t>Prefill compressor states</t>
  </si>
  <si>
    <t>=PrefillBatch*FP32Bytes*(ShortLayers*2*(2*ShortRatio)*(2*HeadDim)+LongLayers*2*LongRatio*HeadDim+ShortLayers*2*(2*ShortRatio)*(2*IndexHeadDim))</t>
  </si>
  <si>
    <t>主 Compressor 与 Indexer Compressor 状态。</t>
  </si>
  <si>
    <t>Prefill preallocated KV + states</t>
  </si>
  <si>
    <t>=PrefillBatch*(HeadDim*BF16Bytes*(WindowLayers*WindowSize+ShortLayers*(WindowSize+INT(MaxContext/ShortRatio))+LongLayers*(WindowSize+INT(MaxContext/LongRatio)))+ShortLayers*INT(MaxContext/ShortRatio)*IndexHeadDim*BF16Bytes)+PrefillBatch*FP32Bytes*(ShortLayers*2*(2*ShortRatio)*(2*HeadDim)+LongLayers*2*LongRatio*HeadDim+ShortLayers*2*(2*ShortRatio)*(2*IndexHeadDim))</t>
  </si>
  <si>
    <t>按 MaxContext 预分配，适合评估实际设备容量。</t>
  </si>
  <si>
    <t>Decode effective main KV</t>
  </si>
  <si>
    <t>=DecodeBatch*HeadDim*BF16Bytes*(WindowLayers*MIN(DecodeContext,WindowSize)+ShortLayers*(MIN(DecodeContext,WindowSize)+INT(DecodeContext/ShortRatio))+LongLayers*(MIN(DecodeContext,WindowSize)+INT(DecodeContext/LongRatio)))</t>
  </si>
  <si>
    <t>DecodeContext 下的主 Attention KV。</t>
  </si>
  <si>
    <t>Decode effective Indexer KV</t>
  </si>
  <si>
    <t>=DecodeBatch*ShortLayers*INT(DecodeContext/ShortRatio)*IndexHeadDim*BF16Bytes</t>
  </si>
  <si>
    <t>DecodeContext 下的 ratio-4 Indexer KV。</t>
  </si>
  <si>
    <t>Decode compressor states</t>
  </si>
  <si>
    <t>=DecodeBatch*FP32Bytes*(ShortLayers*2*(2*ShortRatio)*(2*HeadDim)+LongLayers*2*LongRatio*HeadDim+ShortLayers*2*(2*ShortRatio)*(2*IndexHeadDim))</t>
  </si>
  <si>
    <t>Decode Batch 对应的 Compressor 状态。</t>
  </si>
  <si>
    <t>Decode preallocated KV + states</t>
  </si>
  <si>
    <t>=DecodeBatch*(HeadDim*BF16Bytes*(WindowLayers*WindowSize+ShortLayers*(WindowSize+INT(MaxContext/ShortRatio))+LongLayers*(WindowSize+INT(MaxContext/LongRatio)))+ShortLayers*INT(MaxContext/ShortRatio)*IndexHeadDim*BF16Bytes)+DecodeBatch*FP32Bytes*(ShortLayers*2*(2*ShortRatio)*(2*HeadDim)+LongLayers*2*LongRatio*HeadDim+ShortLayers*2*(2*ShortRatio)*(2*IndexHeadDim))</t>
  </si>
  <si>
    <t>按 MaxContext 预分配，KV 在每个 TP Rank 复制。</t>
  </si>
  <si>
    <t>单 Rank 设备驻留容量（默认均匀分片）</t>
  </si>
  <si>
    <t>配置</t>
  </si>
  <si>
    <t>Rank</t>
  </si>
  <si>
    <t>Attention 参数 GB</t>
  </si>
  <si>
    <t>MoE 参数 GB</t>
  </si>
  <si>
    <t>Other 参数 GB</t>
  </si>
  <si>
    <t>参数总计 GB</t>
  </si>
  <si>
    <t>Decode KV+State GB</t>
  </si>
  <si>
    <t>总驻留 GB</t>
  </si>
  <si>
    <t>逻辑参数量 G</t>
  </si>
  <si>
    <t>有效</t>
  </si>
  <si>
    <t>TP1</t>
  </si>
  <si>
    <t>任一 Rank</t>
  </si>
  <si>
    <t>1 个 Rank 均相同</t>
  </si>
  <si>
    <t>TP8</t>
  </si>
  <si>
    <t>8 个 Rank 均相同</t>
  </si>
  <si>
    <t>TP1 / TP8 推理资源对比图</t>
  </si>
  <si>
    <t>所有图表使用线性坐标与固定 M/G/T 单位，不显示科学计数法。</t>
  </si>
  <si>
    <t>Prefill TP1 TFLOPs</t>
  </si>
  <si>
    <t>Prefill TP8 TFLOPs</t>
  </si>
  <si>
    <t>Decode TP1 GFLOPs</t>
  </si>
  <si>
    <t>Decode TP8 GFLOPs</t>
  </si>
  <si>
    <t>Prefill TP1 GB</t>
  </si>
  <si>
    <t>Prefill TP8 GB</t>
  </si>
  <si>
    <t>Decode TP1 GB</t>
  </si>
  <si>
    <t>Decode TP8 GB</t>
  </si>
  <si>
    <t>静态参数大类（Prefill/Decode 共用）</t>
  </si>
  <si>
    <t>TP1 单 Rank GB</t>
  </si>
  <si>
    <t>TP8 单 Rank GB</t>
  </si>
  <si>
    <t>说明：参数容量只由模型结构、dtype 和 TP 分片决定，与 Prefill/Decode 场景无关；两列分别是单 Rank 值，不相加。</t>
  </si>
  <si>
    <t>推理场景容量项</t>
  </si>
  <si>
    <t>静态参数（场景共用）</t>
  </si>
  <si>
    <t>Prefill 预分配 KV+State</t>
  </si>
  <si>
    <t>Prefill 总驻留（参数+KV）</t>
  </si>
  <si>
    <t>Decode 预分配 KV+State</t>
  </si>
  <si>
    <t>Decode 总驻留（参数+KV）</t>
  </si>
  <si>
    <t>方法与统计边界</t>
  </si>
  <si>
    <t>主题</t>
  </si>
  <si>
    <t>定义</t>
  </si>
  <si>
    <t>统计范围</t>
  </si>
  <si>
    <t>仅统计 43 层主推理路径；不含 MTP、反向传播、梯度、优化器状态和训练激活。Layer_Config 最多可维护 64 层。</t>
  </si>
  <si>
    <t>计算量</t>
  </si>
  <si>
    <t>矩阵乘加按 2 FLOPs 计。Attention 与 MoE 主要 GEMM 使用显式公式；HC 与逐元素运算为近似估计。</t>
  </si>
  <si>
    <t>Prefill Attention</t>
  </si>
  <si>
    <t>使用因果候选对数量，不直接使用 S×S；Raw Window、Compressed KV 和 Indexer 扫描分别统计。</t>
  </si>
  <si>
    <t>Decode Attention</t>
  </si>
  <si>
    <t>每个 DecodeTokens 在 DecodeContext 下建模；ratio-4 主 Attention 取 Top-K，但 Indexer 需要扫描全部已完成压缩项。</t>
  </si>
  <si>
    <t>每 Token 执行 Top-K Routed Experts 和 Shared Experts。HBM 参数读取按专家至少被命中一次的概率估计。</t>
  </si>
  <si>
    <t>HBM 流量</t>
  </si>
  <si>
    <t>统计本地逻辑参数、激活和 KV 的读取与写入；不模拟 L2 命中、算子融合、分块、Allocator 或厂商 Kernel 内部复用。</t>
  </si>
  <si>
    <t>参数容量</t>
  </si>
  <si>
    <t>按推理运行 dtype 估算：Routed Expert FP4、多数投影 FP8、Wo_a BF16、Compressor FP32、LM Head FP32，并计入量化 Scale。</t>
  </si>
  <si>
    <t>KV Cache</t>
  </si>
  <si>
    <t>有效容量表示已填充项；预分配容量使用 MaxContext。当前实现的 KV 和 Compressor State 在每个 TP Rank 上完整复制。</t>
  </si>
  <si>
    <t>TP 分片</t>
  </si>
  <si>
    <t>Wq_a、Wkv、Compressor、Router、HC、Shared Expert 复制；Q/O 部分投影、Routed Experts、Embedding 和 LM Head 按 TP 分片。</t>
  </si>
  <si>
    <t>卡间通信</t>
  </si>
  <si>
    <t>Ring 公式给出每 Rank 发送加接收的数据量。TP1 为 0；该数值是传输量，不是实测 GB/s 或时延。</t>
  </si>
  <si>
    <t>硬件下界</t>
  </si>
  <si>
    <t>计算/HBM/互连下界使用 Parameters 中可编辑硬件峰值并假设互不重叠；真实运行时间必须通过 Profiling 验证。</t>
  </si>
  <si>
    <t>FLOPs 使用 M/G/T/P 十进制单位；容量与流量使用 KB/MB/GB/TB，1 GB=10^9 Bytes；Memory 明细保留原始公式。</t>
  </si>
  <si>
    <t>公式维护</t>
  </si>
  <si>
    <t>蓝色单元格为输入；结果由 Excel 公式计算并在打开时完整重算。隐藏列保留原始未缩放值，便于审计。</t>
  </si>
  <si>
    <t>单 Rank 推理硬件资源汇总</t>
  </si>
  <si>
    <t>TP1 与 TP8 分区独立展示；所有值均为单个 Rank，不进行跨 Rank 或跨 TP 求和。</t>
  </si>
  <si>
    <t>TP1（配置值=1）单 Rank 资源</t>
  </si>
  <si>
    <t>资源项目</t>
  </si>
  <si>
    <t>Prefill/rank</t>
  </si>
  <si>
    <t>Decode/rank</t>
  </si>
  <si>
    <t>Attention 计算量</t>
  </si>
  <si>
    <t>单次推理调用的单 Rank 计算量。</t>
  </si>
  <si>
    <t>MoE 计算量</t>
  </si>
  <si>
    <t>Other 推理计算量</t>
  </si>
  <si>
    <t>总推理计算量</t>
  </si>
  <si>
    <t>Attention HBM 流量</t>
  </si>
  <si>
    <t>本地逻辑 HBM 读写量，不含缓存复用。</t>
  </si>
  <si>
    <t>MoE HBM 流量</t>
  </si>
  <si>
    <t>Other HBM 流量</t>
  </si>
  <si>
    <t>总 HBM 流量</t>
  </si>
  <si>
    <t>Attention 所需 HBM 带宽</t>
  </si>
  <si>
    <t>按 Parameters 中目标时延换算。</t>
  </si>
  <si>
    <t>MoE 所需 HBM 带宽</t>
  </si>
  <si>
    <t>Other 所需 HBM 带宽</t>
  </si>
  <si>
    <t>目标时延所需计算性能</t>
  </si>
  <si>
    <t>单 Rank 最低计算吞吐需求。</t>
  </si>
  <si>
    <t>卡间互连传输量</t>
  </si>
  <si>
    <t>Ring 集合通信单 Rank 发送加接收；TP1 为 0。</t>
  </si>
  <si>
    <t>目标时延所需互连带宽</t>
  </si>
  <si>
    <t>未考虑通信与计算重叠、拓扑和协议效率。</t>
  </si>
  <si>
    <t>Attention 逻辑参数量</t>
  </si>
  <si>
    <t>投影、Compressor、Indexer。</t>
  </si>
  <si>
    <t>MoE 逻辑参数量</t>
  </si>
  <si>
    <t>Routed/Shared Expert 与 Router。</t>
  </si>
  <si>
    <t>Other 逻辑参数量</t>
  </si>
  <si>
    <t>Embedding、LM Head、HC、Norm。</t>
  </si>
  <si>
    <t>总逻辑参数量</t>
  </si>
  <si>
    <t>不含 MTP。</t>
  </si>
  <si>
    <t>Attention 参数容量</t>
  </si>
  <si>
    <t>按推理 dtype 与 Scale 计算。</t>
  </si>
  <si>
    <t>MoE 参数容量</t>
  </si>
  <si>
    <t>Routed FP4，Shared FP8。</t>
  </si>
  <si>
    <t>Other 参数容量</t>
  </si>
  <si>
    <t>总参数容量</t>
  </si>
  <si>
    <t>单 Rank 静态参数驻留。</t>
  </si>
  <si>
    <t>有效主 KV Cache</t>
  </si>
  <si>
    <t>KV/State 在当前实现中每个 TP Rank 复制。</t>
  </si>
  <si>
    <t>有效 Indexer KV Cache</t>
  </si>
  <si>
    <t>Compressor State</t>
  </si>
  <si>
    <t>预分配 KV + State</t>
  </si>
  <si>
    <t>总驻留容量</t>
  </si>
  <si>
    <t>参数 + 预分配 KV/State；不含临时 workspace。</t>
  </si>
  <si>
    <t>TP8（配置值=8）单 Rank 资源</t>
  </si>
</sst>
</file>

<file path=xl/styles.xml><?xml version="1.0" encoding="utf-8"?>
<styleSheet xmlns="http://schemas.openxmlformats.org/spreadsheetml/2006/main">
  <numFmts count="3">
    <numFmt numFmtId="164" formatCode="0.########"/>
    <numFmt numFmtId="165" formatCode="#,##0"/>
    <numFmt numFmtId="166" formatCode="#,##0.000"/>
  </numFmts>
  <fonts count="8">
    <font>
      <sz val="11"/>
      <color theme="1"/>
      <name val="Calibri"/>
      <family val="2"/>
      <scheme val="minor"/>
    </font>
    <font>
      <b/>
      <sz val="18"/>
      <color rgb="FF17324D"/>
      <name val="Calibri"/>
      <family val="2"/>
      <scheme val="minor"/>
    </font>
    <font>
      <i/>
      <sz val="11"/>
      <color rgb="FF555555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9"/>
      <color rgb="FF555555"/>
      <name val="Calibri"/>
      <family val="2"/>
      <scheme val="minor"/>
    </font>
    <font>
      <sz val="11"/>
      <color rgb="FF555555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34495E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8F5E9"/>
        <bgColor indexed="64"/>
      </patternFill>
    </fill>
    <fill>
      <patternFill patternType="solid">
        <fgColor rgb="FF21618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6EAF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164" fontId="0" fillId="3" borderId="1" xfId="0" applyNumberFormat="1" applyFill="1" applyBorder="1"/>
    <xf numFmtId="164" fontId="0" fillId="4" borderId="1" xfId="0" applyNumberFormat="1" applyFill="1" applyBorder="1"/>
    <xf numFmtId="0" fontId="3" fillId="5" borderId="1" xfId="0" applyFont="1" applyFill="1" applyBorder="1"/>
    <xf numFmtId="0" fontId="4" fillId="6" borderId="1" xfId="0" applyFont="1" applyFill="1" applyBorder="1"/>
    <xf numFmtId="165" fontId="0" fillId="0" borderId="1" xfId="0" applyNumberFormat="1" applyBorder="1"/>
    <xf numFmtId="0" fontId="5" fillId="0" borderId="1" xfId="0" applyFont="1" applyBorder="1" applyAlignment="1">
      <alignment vertical="top" wrapText="1"/>
    </xf>
    <xf numFmtId="0" fontId="6" fillId="0" borderId="1" xfId="0" applyFont="1" applyBorder="1" applyAlignment="1">
      <alignment horizontal="left"/>
    </xf>
    <xf numFmtId="166" fontId="0" fillId="0" borderId="1" xfId="0" applyNumberFormat="1" applyBorder="1" applyAlignment="1">
      <alignment horizontal="right"/>
    </xf>
    <xf numFmtId="166" fontId="0" fillId="0" borderId="1" xfId="0" applyNumberFormat="1" applyBorder="1"/>
    <xf numFmtId="166" fontId="7" fillId="7" borderId="1" xfId="0" applyNumberFormat="1" applyFont="1" applyFill="1" applyBorder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Prefill 每 Rank 计算量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TP1</c:v>
          </c:tx>
          <c:dLbls>
            <c:numFmt formatCode="0.0" sourceLinked="0"/>
            <c:showVal val="1"/>
          </c:dLbls>
          <c:cat>
            <c:strRef>
              <c:f>Comparison!$A$5:$A$7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Comparison!$B$5:$B$7</c:f>
              <c:numCache>
                <c:formatCode>General</c:formatCode>
                <c:ptCount val="3"/>
                <c:pt idx="0">
                  <c:v>102.836037746688</c:v>
                </c:pt>
                <c:pt idx="1">
                  <c:v>124.846109360128</c:v>
                </c:pt>
                <c:pt idx="2">
                  <c:v>0.702280286208</c:v>
                </c:pt>
              </c:numCache>
            </c:numRef>
          </c:val>
        </c:ser>
        <c:ser>
          <c:idx val="1"/>
          <c:order val="1"/>
          <c:tx>
            <c:v>TP8</c:v>
          </c:tx>
          <c:dLbls>
            <c:numFmt formatCode="0.0" sourceLinked="0"/>
            <c:showVal val="1"/>
          </c:dLbls>
          <c:cat>
            <c:strRef>
              <c:f>Comparison!$A$5:$A$7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Comparison!$C$5:$C$7</c:f>
              <c:numCache>
                <c:formatCode>General</c:formatCode>
                <c:ptCount val="3"/>
                <c:pt idx="0">
                  <c:v>23.172382457856</c:v>
                </c:pt>
                <c:pt idx="1">
                  <c:v>31.765578121216</c:v>
                </c:pt>
                <c:pt idx="2">
                  <c:v>0.701353607168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low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TFLOPs</a:t>
                </a:r>
              </a:p>
            </c:rich>
          </c:tx>
          <c:layout/>
        </c:title>
        <c:numFmt formatCode="0.0" sourceLinked="0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Decode 每 Rank 计算量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TP1</c:v>
          </c:tx>
          <c:dLbls>
            <c:numFmt formatCode="0.0" sourceLinked="0"/>
            <c:showVal val="1"/>
          </c:dLbls>
          <c:cat>
            <c:strRef>
              <c:f>Comparison!$A$5:$A$7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Comparison!$D$5:$D$7</c:f>
              <c:numCache>
                <c:formatCode>General</c:formatCode>
                <c:ptCount val="3"/>
                <c:pt idx="0">
                  <c:v>123.969470464</c:v>
                </c:pt>
                <c:pt idx="1">
                  <c:v>15.240003584</c:v>
                </c:pt>
                <c:pt idx="2">
                  <c:v>1.144660054</c:v>
                </c:pt>
              </c:numCache>
            </c:numRef>
          </c:val>
        </c:ser>
        <c:ser>
          <c:idx val="1"/>
          <c:order val="1"/>
          <c:tx>
            <c:v>TP8</c:v>
          </c:tx>
          <c:dLbls>
            <c:numFmt formatCode="0.0" sourceLinked="0"/>
            <c:showVal val="1"/>
          </c:dLbls>
          <c:cat>
            <c:strRef>
              <c:f>Comparison!$A$5:$A$7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Comparison!$E$5:$E$7</c:f>
              <c:numCache>
                <c:formatCode>General</c:formatCode>
                <c:ptCount val="3"/>
                <c:pt idx="0">
                  <c:v>19.452461056</c:v>
                </c:pt>
                <c:pt idx="1">
                  <c:v>3.877634048</c:v>
                </c:pt>
                <c:pt idx="2">
                  <c:v>0.217981014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ckLblPos val="low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GFLOPs</a:t>
                </a:r>
              </a:p>
            </c:rich>
          </c:tx>
          <c:layout/>
        </c:title>
        <c:numFmt formatCode="0.0" sourceLinked="0"/>
        <c:tickLblPos val="nextTo"/>
        <c:crossAx val="5002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Prefill 每 Rank HBM 流量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TP1</c:v>
          </c:tx>
          <c:dLbls>
            <c:numFmt formatCode="0.0" sourceLinked="0"/>
            <c:showVal val="1"/>
          </c:dLbls>
          <c:cat>
            <c:strRef>
              <c:f>Comparison!$A$11:$A$13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Comparison!$B$11:$B$13</c:f>
              <c:numCache>
                <c:formatCode>General</c:formatCode>
                <c:ptCount val="3"/>
                <c:pt idx="0">
                  <c:v>358.0378144</c:v>
                </c:pt>
                <c:pt idx="1">
                  <c:v>191.988670976</c:v>
                </c:pt>
                <c:pt idx="2">
                  <c:v>94.59572948</c:v>
                </c:pt>
              </c:numCache>
            </c:numRef>
          </c:val>
        </c:ser>
        <c:ser>
          <c:idx val="1"/>
          <c:order val="1"/>
          <c:tx>
            <c:v>TP8</c:v>
          </c:tx>
          <c:dLbls>
            <c:numFmt formatCode="0.0" sourceLinked="0"/>
            <c:showVal val="1"/>
          </c:dLbls>
          <c:cat>
            <c:strRef>
              <c:f>Comparison!$A$11:$A$13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Comparison!$C$11:$C$13</c:f>
              <c:numCache>
                <c:formatCode>General</c:formatCode>
                <c:ptCount val="3"/>
                <c:pt idx="0">
                  <c:v>231.531806144</c:v>
                </c:pt>
                <c:pt idx="1">
                  <c:v>32.915497472</c:v>
                </c:pt>
                <c:pt idx="2">
                  <c:v>92.74191892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b"/>
        <c:tickLblPos val="low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GB</a:t>
                </a:r>
              </a:p>
            </c:rich>
          </c:tx>
          <c:layout/>
        </c:title>
        <c:numFmt formatCode="0.0" sourceLinked="0"/>
        <c:tickLblPos val="nextTo"/>
        <c:crossAx val="5003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Decode 每 Rank HBM 流量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TP1</c:v>
          </c:tx>
          <c:dLbls>
            <c:numFmt formatCode="0.0" sourceLinked="0"/>
            <c:showVal val="1"/>
          </c:dLbls>
          <c:cat>
            <c:strRef>
              <c:f>Comparison!$A$11:$A$13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Comparison!$D$11:$D$13</c:f>
              <c:numCache>
                <c:formatCode>General</c:formatCode>
                <c:ptCount val="3"/>
                <c:pt idx="0">
                  <c:v>10.492228352</c:v>
                </c:pt>
                <c:pt idx="1">
                  <c:v>4.627033672</c:v>
                </c:pt>
                <c:pt idx="2">
                  <c:v>2.265204808</c:v>
                </c:pt>
              </c:numCache>
            </c:numRef>
          </c:val>
        </c:ser>
        <c:ser>
          <c:idx val="1"/>
          <c:order val="1"/>
          <c:tx>
            <c:v>TP8</c:v>
          </c:tx>
          <c:dLbls>
            <c:numFmt formatCode="0.0" sourceLinked="0"/>
            <c:showVal val="1"/>
          </c:dLbls>
          <c:cat>
            <c:strRef>
              <c:f>Comparison!$A$11:$A$13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Comparison!$E$11:$E$13</c:f>
              <c:numCache>
                <c:formatCode>General</c:formatCode>
                <c:ptCount val="3"/>
                <c:pt idx="0">
                  <c:v>4.035232528</c:v>
                </c:pt>
                <c:pt idx="1">
                  <c:v>1.605205576</c:v>
                </c:pt>
                <c:pt idx="2">
                  <c:v>0.411394248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b"/>
        <c:tickLblPos val="low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GB</a:t>
                </a:r>
              </a:p>
            </c:rich>
          </c:tx>
          <c:layout/>
        </c:title>
        <c:numFmt formatCode="0.0" sourceLinked="0"/>
        <c:tickLblPos val="nextTo"/>
        <c:crossAx val="5004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静态参数容量/单 Rank（Prefill/Decode 共用）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TP1 单 Rank</c:v>
          </c:tx>
          <c:dLbls>
            <c:numFmt formatCode="0.0" sourceLinked="0"/>
            <c:showVal val="1"/>
          </c:dLbls>
          <c:cat>
            <c:strRef>
              <c:f>Comparison!$A$17:$A$19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Comparison!$B$17:$B$19</c:f>
              <c:numCache>
                <c:formatCode>General</c:formatCode>
                <c:ptCount val="3"/>
                <c:pt idx="0">
                  <c:v>7.45138496</c:v>
                </c:pt>
                <c:pt idx="1">
                  <c:v>148.351461888</c:v>
                </c:pt>
                <c:pt idx="2">
                  <c:v>3.314423644</c:v>
                </c:pt>
              </c:numCache>
            </c:numRef>
          </c:val>
        </c:ser>
        <c:ser>
          <c:idx val="1"/>
          <c:order val="1"/>
          <c:tx>
            <c:v>TP8 单 Rank</c:v>
          </c:tx>
          <c:dLbls>
            <c:numFmt formatCode="0.0" sourceLinked="0"/>
            <c:showVal val="1"/>
          </c:dLbls>
          <c:cat>
            <c:strRef>
              <c:f>Comparison!$A$17:$A$19</c:f>
              <c:strCache>
                <c:ptCount val="3"/>
                <c:pt idx="0">
                  <c:v>Attention</c:v>
                </c:pt>
                <c:pt idx="1">
                  <c:v>MoE</c:v>
                </c:pt>
                <c:pt idx="2">
                  <c:v>Other</c:v>
                </c:pt>
              </c:strCache>
            </c:strRef>
          </c:cat>
          <c:val>
            <c:numRef>
              <c:f>Comparison!$C$17:$C$19</c:f>
              <c:numCache>
                <c:formatCode>General</c:formatCode>
                <c:ptCount val="3"/>
                <c:pt idx="0">
                  <c:v>2.23750496</c:v>
                </c:pt>
                <c:pt idx="1">
                  <c:v>19.57794048</c:v>
                </c:pt>
                <c:pt idx="2">
                  <c:v>0.534376892</c:v>
                </c:pt>
              </c:numCache>
            </c:numRef>
          </c:val>
        </c:ser>
        <c:axId val="50050001"/>
        <c:axId val="50050002"/>
      </c:barChart>
      <c:catAx>
        <c:axId val="50050001"/>
        <c:scaling>
          <c:orientation val="minMax"/>
        </c:scaling>
        <c:axPos val="b"/>
        <c:tickLblPos val="low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GB</a:t>
                </a:r>
              </a:p>
            </c:rich>
          </c:tx>
          <c:layout/>
        </c:title>
        <c:numFmt formatCode="0.0" sourceLinked="0"/>
        <c:tickLblPos val="nextTo"/>
        <c:crossAx val="5005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Prefill / Decode 单 Rank 容量（TP 配置独立）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TP1 单 Rank</c:v>
          </c:tx>
          <c:dLbls>
            <c:numFmt formatCode="0.0" sourceLinked="0"/>
            <c:showVal val="1"/>
          </c:dLbls>
          <c:cat>
            <c:strRef>
              <c:f>Comparison!$A$23:$A$27</c:f>
              <c:strCache>
                <c:ptCount val="5"/>
                <c:pt idx="0">
                  <c:v>静态参数（场景共用）</c:v>
                </c:pt>
                <c:pt idx="1">
                  <c:v>Prefill 预分配 KV+State</c:v>
                </c:pt>
                <c:pt idx="2">
                  <c:v>Prefill 总驻留（参数+KV）</c:v>
                </c:pt>
                <c:pt idx="3">
                  <c:v>Decode 预分配 KV+State</c:v>
                </c:pt>
                <c:pt idx="4">
                  <c:v>Decode 总驻留（参数+KV）</c:v>
                </c:pt>
              </c:strCache>
            </c:strRef>
          </c:cat>
          <c:val>
            <c:numRef>
              <c:f>Comparison!$B$23:$B$27</c:f>
              <c:numCache>
                <c:formatCode>General</c:formatCode>
                <c:ptCount val="5"/>
                <c:pt idx="0">
                  <c:v>159.117270492</c:v>
                </c:pt>
                <c:pt idx="1">
                  <c:v>7.232045056</c:v>
                </c:pt>
                <c:pt idx="2">
                  <c:v>166.349315548</c:v>
                </c:pt>
                <c:pt idx="3">
                  <c:v>7.232045056</c:v>
                </c:pt>
                <c:pt idx="4">
                  <c:v>166.349315548</c:v>
                </c:pt>
              </c:numCache>
            </c:numRef>
          </c:val>
        </c:ser>
        <c:ser>
          <c:idx val="1"/>
          <c:order val="1"/>
          <c:tx>
            <c:v>TP8 单 Rank</c:v>
          </c:tx>
          <c:dLbls>
            <c:numFmt formatCode="0.0" sourceLinked="0"/>
            <c:showVal val="1"/>
          </c:dLbls>
          <c:cat>
            <c:strRef>
              <c:f>Comparison!$A$23:$A$27</c:f>
              <c:strCache>
                <c:ptCount val="5"/>
                <c:pt idx="0">
                  <c:v>静态参数（场景共用）</c:v>
                </c:pt>
                <c:pt idx="1">
                  <c:v>Prefill 预分配 KV+State</c:v>
                </c:pt>
                <c:pt idx="2">
                  <c:v>Prefill 总驻留（参数+KV）</c:v>
                </c:pt>
                <c:pt idx="3">
                  <c:v>Decode 预分配 KV+State</c:v>
                </c:pt>
                <c:pt idx="4">
                  <c:v>Decode 总驻留（参数+KV）</c:v>
                </c:pt>
              </c:strCache>
            </c:strRef>
          </c:cat>
          <c:val>
            <c:numRef>
              <c:f>Comparison!$C$23:$C$27</c:f>
              <c:numCache>
                <c:formatCode>General</c:formatCode>
                <c:ptCount val="5"/>
                <c:pt idx="0">
                  <c:v>22.349822332</c:v>
                </c:pt>
                <c:pt idx="1">
                  <c:v>7.232045056</c:v>
                </c:pt>
                <c:pt idx="2">
                  <c:v>29.581867388</c:v>
                </c:pt>
                <c:pt idx="3">
                  <c:v>7.232045056</c:v>
                </c:pt>
                <c:pt idx="4">
                  <c:v>29.581867388</c:v>
                </c:pt>
              </c:numCache>
            </c:numRef>
          </c:val>
        </c:ser>
        <c:axId val="50060001"/>
        <c:axId val="50060002"/>
      </c:barChart>
      <c:catAx>
        <c:axId val="50060001"/>
        <c:scaling>
          <c:orientation val="minMax"/>
        </c:scaling>
        <c:axPos val="b"/>
        <c:tickLblPos val="low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GB</a:t>
                </a:r>
              </a:p>
            </c:rich>
          </c:tx>
          <c:layout/>
        </c:title>
        <c:numFmt formatCode="0.0" sourceLinked="0"/>
        <c:tickLblPos val="nextTo"/>
        <c:crossAx val="5006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15</xdr:col>
      <xdr:colOff>361950</xdr:colOff>
      <xdr:row>18</xdr:row>
      <xdr:rowOff>104775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0</xdr:colOff>
      <xdr:row>2</xdr:row>
      <xdr:rowOff>0</xdr:rowOff>
    </xdr:from>
    <xdr:to>
      <xdr:col>22</xdr:col>
      <xdr:colOff>361950</xdr:colOff>
      <xdr:row>18</xdr:row>
      <xdr:rowOff>104775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0</xdr:colOff>
      <xdr:row>19</xdr:row>
      <xdr:rowOff>0</xdr:rowOff>
    </xdr:from>
    <xdr:to>
      <xdr:col>15</xdr:col>
      <xdr:colOff>361950</xdr:colOff>
      <xdr:row>35</xdr:row>
      <xdr:rowOff>104775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0</xdr:colOff>
      <xdr:row>19</xdr:row>
      <xdr:rowOff>0</xdr:rowOff>
    </xdr:from>
    <xdr:to>
      <xdr:col>22</xdr:col>
      <xdr:colOff>361950</xdr:colOff>
      <xdr:row>35</xdr:row>
      <xdr:rowOff>104775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0</xdr:colOff>
      <xdr:row>36</xdr:row>
      <xdr:rowOff>0</xdr:rowOff>
    </xdr:from>
    <xdr:to>
      <xdr:col>15</xdr:col>
      <xdr:colOff>361950</xdr:colOff>
      <xdr:row>52</xdr:row>
      <xdr:rowOff>104775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0</xdr:colOff>
      <xdr:row>36</xdr:row>
      <xdr:rowOff>0</xdr:rowOff>
    </xdr:from>
    <xdr:to>
      <xdr:col>22</xdr:col>
      <xdr:colOff>361950</xdr:colOff>
      <xdr:row>52</xdr:row>
      <xdr:rowOff>104775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PF_Inference_Detail" displayName="PF_Inference_Detail" ref="A32:S44" totalsRowShown="0">
  <autoFilter ref="A32:S44"/>
  <tableColumns count="19">
    <tableColumn id="1" name="Category"/>
    <tableColumn id="2" name="Item"/>
    <tableColumn id="3" name="Layer scope"/>
    <tableColumn id="4" name="FLOPs formula (text)"/>
    <tableColumn id="5" name="HBM formula (text)"/>
    <tableColumn id="6" name="TP1 FLOPs"/>
    <tableColumn id="7" name="TP1 FLOPs unit"/>
    <tableColumn id="8" name="TP8 FLOPs/rank"/>
    <tableColumn id="9" name="TP8 FLOPs unit"/>
    <tableColumn id="10" name="TP1 HBM/rank"/>
    <tableColumn id="11" name="TP1 HBM unit"/>
    <tableColumn id="12" name="TP8 HBM/rank"/>
    <tableColumn id="13" name="TP8 HBM unit"/>
    <tableColumn id="14" name="TP1 Interconnect"/>
    <tableColumn id="15" name="TP1 interconnect unit"/>
    <tableColumn id="16" name="TP8 Interconnect/rank"/>
    <tableColumn id="17" name="TP8 interconnect unit"/>
    <tableColumn id="18" name="Accounting"/>
    <tableColumn id="19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DC_Inference_Detail" displayName="DC_Inference_Detail" ref="A32:S44" totalsRowShown="0">
  <autoFilter ref="A32:S44"/>
  <tableColumns count="19">
    <tableColumn id="1" name="Category"/>
    <tableColumn id="2" name="Item"/>
    <tableColumn id="3" name="Layer scope"/>
    <tableColumn id="4" name="FLOPs formula (text)"/>
    <tableColumn id="5" name="HBM formula (text)"/>
    <tableColumn id="6" name="TP1 FLOPs"/>
    <tableColumn id="7" name="TP1 FLOPs unit"/>
    <tableColumn id="8" name="TP8 FLOPs/rank"/>
    <tableColumn id="9" name="TP8 FLOPs unit"/>
    <tableColumn id="10" name="TP1 HBM/rank"/>
    <tableColumn id="11" name="TP1 HBM unit"/>
    <tableColumn id="12" name="TP8 HBM/rank"/>
    <tableColumn id="13" name="TP8 HBM unit"/>
    <tableColumn id="14" name="TP1 Interconnect"/>
    <tableColumn id="15" name="TP1 interconnect unit"/>
    <tableColumn id="16" name="TP8 Interconnect/rank"/>
    <tableColumn id="17" name="TP8 interconnect unit"/>
    <tableColumn id="18" name="Accounting"/>
    <tableColumn id="19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ference_Parameter_Detail" displayName="Inference_Parameter_Detail" ref="A3:O14" totalsRowShown="0">
  <autoFilter ref="A3:O14"/>
  <tableColumns count="15">
    <tableColumn id="1" name="大类"/>
    <tableColumn id="2" name="参数组件"/>
    <tableColumn id="3" name="参数量公式（文本）"/>
    <tableColumn id="4" name="容量公式（文本）"/>
    <tableColumn id="5" name="全局参数量"/>
    <tableColumn id="6" name="全局参数量单位"/>
    <tableColumn id="7" name="TP1 参数量/rank"/>
    <tableColumn id="8" name="TP1 参数量单位"/>
    <tableColumn id="9" name="TP8 参数量/rank"/>
    <tableColumn id="10" name="TP8 参数量单位"/>
    <tableColumn id="11" name="TP1 容量/rank"/>
    <tableColumn id="12" name="TP1 容量单位"/>
    <tableColumn id="13" name="TP8 容量/rank"/>
    <tableColumn id="14" name="TP8 容量单位"/>
    <tableColumn id="15" name="说明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Per_Rank_Inference_Memory" displayName="Per_Rank_Inference_Memory" ref="A37:J39" totalsRowShown="0">
  <autoFilter ref="A37:J39"/>
  <tableColumns count="10">
    <tableColumn id="1" name="配置"/>
    <tableColumn id="2" name="Rank"/>
    <tableColumn id="3" name="Attention 参数 GB"/>
    <tableColumn id="4" name="MoE 参数 GB"/>
    <tableColumn id="5" name="Other 参数 GB"/>
    <tableColumn id="6" name="参数总计 GB"/>
    <tableColumn id="7" name="Decode KV+State GB"/>
    <tableColumn id="8" name="总驻留 GB"/>
    <tableColumn id="9" name="逻辑参数量 G"/>
    <tableColumn id="10" name="有效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Relationship Id="rId2" Type="http://schemas.openxmlformats.org/officeDocument/2006/relationships/table" Target="../tables/table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72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16.7109375" customWidth="1"/>
    <col min="2" max="2" width="29.7109375" customWidth="1"/>
    <col min="3" max="3" width="25.7109375" customWidth="1"/>
    <col min="4" max="4" width="18.7109375" customWidth="1"/>
    <col min="5" max="5" width="16.7109375" customWidth="1"/>
    <col min="6" max="6" width="58.7109375" customWidth="1"/>
    <col min="7" max="7" width="16.7109375" customWidth="1"/>
  </cols>
  <sheetData>
    <row r="1" spans="1:7">
      <c r="A1" s="1" t="s">
        <v>0</v>
      </c>
    </row>
    <row r="2" spans="1:7">
      <c r="A2" s="2" t="s">
        <v>1</v>
      </c>
    </row>
    <row r="3" spans="1:7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</row>
    <row r="4" spans="1:7">
      <c r="A4" s="4" t="s">
        <v>9</v>
      </c>
      <c r="B4" s="4" t="s">
        <v>10</v>
      </c>
      <c r="C4" s="4" t="s">
        <v>11</v>
      </c>
      <c r="D4" s="5">
        <v>1</v>
      </c>
      <c r="E4" s="4" t="s">
        <v>12</v>
      </c>
      <c r="F4" s="4" t="s">
        <v>13</v>
      </c>
    </row>
    <row r="5" spans="1:7">
      <c r="A5" s="4" t="s">
        <v>9</v>
      </c>
      <c r="B5" s="4" t="s">
        <v>14</v>
      </c>
      <c r="C5" s="4" t="s">
        <v>15</v>
      </c>
      <c r="D5" s="5">
        <v>8</v>
      </c>
      <c r="E5" s="4" t="s">
        <v>12</v>
      </c>
      <c r="F5" s="4" t="s">
        <v>16</v>
      </c>
    </row>
    <row r="6" spans="1:7">
      <c r="A6" s="4" t="s">
        <v>17</v>
      </c>
      <c r="B6" s="4" t="s">
        <v>18</v>
      </c>
      <c r="C6" s="4" t="s">
        <v>19</v>
      </c>
      <c r="D6" s="5">
        <v>1</v>
      </c>
      <c r="E6" s="4" t="s">
        <v>20</v>
      </c>
      <c r="F6" s="4" t="s">
        <v>21</v>
      </c>
    </row>
    <row r="7" spans="1:7">
      <c r="A7" s="4" t="s">
        <v>17</v>
      </c>
      <c r="B7" s="4" t="s">
        <v>22</v>
      </c>
      <c r="C7" s="4" t="s">
        <v>23</v>
      </c>
      <c r="D7" s="5">
        <v>8192</v>
      </c>
      <c r="E7" s="4" t="s">
        <v>24</v>
      </c>
      <c r="F7" s="4" t="s">
        <v>25</v>
      </c>
    </row>
    <row r="8" spans="1:7">
      <c r="A8" s="4" t="s">
        <v>17</v>
      </c>
      <c r="B8" s="4" t="s">
        <v>26</v>
      </c>
      <c r="C8" s="4" t="s">
        <v>27</v>
      </c>
      <c r="D8" s="5">
        <v>1</v>
      </c>
      <c r="E8" s="4" t="s">
        <v>20</v>
      </c>
      <c r="F8" s="4" t="s">
        <v>28</v>
      </c>
    </row>
    <row r="9" spans="1:7">
      <c r="A9" s="4" t="s">
        <v>17</v>
      </c>
      <c r="B9" s="4" t="s">
        <v>29</v>
      </c>
      <c r="C9" s="4" t="s">
        <v>30</v>
      </c>
      <c r="D9" s="5">
        <v>1</v>
      </c>
      <c r="E9" s="4" t="s">
        <v>24</v>
      </c>
      <c r="F9" s="4" t="s">
        <v>31</v>
      </c>
    </row>
    <row r="10" spans="1:7">
      <c r="A10" s="4" t="s">
        <v>17</v>
      </c>
      <c r="B10" s="4" t="s">
        <v>32</v>
      </c>
      <c r="C10" s="4" t="s">
        <v>33</v>
      </c>
      <c r="D10" s="5">
        <v>1048576</v>
      </c>
      <c r="E10" s="4" t="s">
        <v>24</v>
      </c>
      <c r="F10" s="4" t="s">
        <v>34</v>
      </c>
    </row>
    <row r="11" spans="1:7">
      <c r="A11" s="4" t="s">
        <v>17</v>
      </c>
      <c r="B11" s="4" t="s">
        <v>35</v>
      </c>
      <c r="C11" s="4" t="s">
        <v>36</v>
      </c>
      <c r="D11" s="5">
        <v>1048576</v>
      </c>
      <c r="E11" s="4" t="s">
        <v>24</v>
      </c>
      <c r="F11" s="4" t="s">
        <v>37</v>
      </c>
    </row>
    <row r="12" spans="1:7">
      <c r="A12" s="4" t="s">
        <v>38</v>
      </c>
      <c r="B12" s="4" t="s">
        <v>39</v>
      </c>
      <c r="C12" s="4" t="s">
        <v>40</v>
      </c>
      <c r="D12" s="5">
        <v>4096</v>
      </c>
      <c r="E12" s="4" t="s">
        <v>41</v>
      </c>
      <c r="F12" s="4" t="s">
        <v>42</v>
      </c>
    </row>
    <row r="13" spans="1:7">
      <c r="A13" s="4" t="s">
        <v>38</v>
      </c>
      <c r="B13" s="4" t="s">
        <v>43</v>
      </c>
      <c r="C13" s="4" t="s">
        <v>44</v>
      </c>
      <c r="D13" s="5">
        <v>129280</v>
      </c>
      <c r="E13" s="4" t="s">
        <v>24</v>
      </c>
      <c r="F13" s="4" t="s">
        <v>45</v>
      </c>
    </row>
    <row r="14" spans="1:7">
      <c r="A14" s="4" t="s">
        <v>46</v>
      </c>
      <c r="B14" s="4" t="s">
        <v>47</v>
      </c>
      <c r="C14" s="4" t="s">
        <v>48</v>
      </c>
      <c r="D14" s="5">
        <v>64</v>
      </c>
      <c r="E14" s="4" t="s">
        <v>49</v>
      </c>
      <c r="F14" s="4" t="s">
        <v>50</v>
      </c>
    </row>
    <row r="15" spans="1:7">
      <c r="A15" s="4" t="s">
        <v>46</v>
      </c>
      <c r="B15" s="4" t="s">
        <v>51</v>
      </c>
      <c r="C15" s="4" t="s">
        <v>52</v>
      </c>
      <c r="D15" s="5">
        <v>512</v>
      </c>
      <c r="E15" s="4" t="s">
        <v>41</v>
      </c>
      <c r="F15" s="4" t="s">
        <v>53</v>
      </c>
    </row>
    <row r="16" spans="1:7">
      <c r="A16" s="4" t="s">
        <v>46</v>
      </c>
      <c r="B16" s="4" t="s">
        <v>54</v>
      </c>
      <c r="C16" s="4" t="s">
        <v>55</v>
      </c>
      <c r="D16" s="5">
        <v>64</v>
      </c>
      <c r="E16" s="4" t="s">
        <v>41</v>
      </c>
      <c r="F16" s="4" t="s">
        <v>56</v>
      </c>
    </row>
    <row r="17" spans="1:6">
      <c r="A17" s="4" t="s">
        <v>46</v>
      </c>
      <c r="B17" s="4" t="s">
        <v>57</v>
      </c>
      <c r="C17" s="4" t="s">
        <v>58</v>
      </c>
      <c r="D17" s="5">
        <v>1024</v>
      </c>
      <c r="E17" s="4" t="s">
        <v>41</v>
      </c>
      <c r="F17" s="4" t="s">
        <v>59</v>
      </c>
    </row>
    <row r="18" spans="1:6">
      <c r="A18" s="4" t="s">
        <v>46</v>
      </c>
      <c r="B18" s="4" t="s">
        <v>60</v>
      </c>
      <c r="C18" s="4" t="s">
        <v>61</v>
      </c>
      <c r="D18" s="5">
        <v>8</v>
      </c>
      <c r="E18" s="4" t="s">
        <v>62</v>
      </c>
      <c r="F18" s="4" t="s">
        <v>63</v>
      </c>
    </row>
    <row r="19" spans="1:6">
      <c r="A19" s="4" t="s">
        <v>46</v>
      </c>
      <c r="B19" s="4" t="s">
        <v>64</v>
      </c>
      <c r="C19" s="4" t="s">
        <v>65</v>
      </c>
      <c r="D19" s="5">
        <v>1024</v>
      </c>
      <c r="E19" s="4" t="s">
        <v>41</v>
      </c>
      <c r="F19" s="4" t="s">
        <v>66</v>
      </c>
    </row>
    <row r="20" spans="1:6">
      <c r="A20" s="4" t="s">
        <v>67</v>
      </c>
      <c r="B20" s="4" t="s">
        <v>68</v>
      </c>
      <c r="C20" s="4" t="s">
        <v>69</v>
      </c>
      <c r="D20" s="5">
        <v>256</v>
      </c>
      <c r="E20" s="4" t="s">
        <v>70</v>
      </c>
      <c r="F20" s="4" t="s">
        <v>71</v>
      </c>
    </row>
    <row r="21" spans="1:6">
      <c r="A21" s="4" t="s">
        <v>67</v>
      </c>
      <c r="B21" s="4" t="s">
        <v>72</v>
      </c>
      <c r="C21" s="4" t="s">
        <v>73</v>
      </c>
      <c r="D21" s="5">
        <v>6</v>
      </c>
      <c r="E21" s="4" t="s">
        <v>74</v>
      </c>
      <c r="F21" s="4" t="s">
        <v>75</v>
      </c>
    </row>
    <row r="22" spans="1:6">
      <c r="A22" s="4" t="s">
        <v>67</v>
      </c>
      <c r="B22" s="4" t="s">
        <v>76</v>
      </c>
      <c r="C22" s="4" t="s">
        <v>77</v>
      </c>
      <c r="D22" s="5">
        <v>1</v>
      </c>
      <c r="E22" s="4" t="s">
        <v>70</v>
      </c>
      <c r="F22" s="4" t="s">
        <v>78</v>
      </c>
    </row>
    <row r="23" spans="1:6">
      <c r="A23" s="4" t="s">
        <v>67</v>
      </c>
      <c r="B23" s="4" t="s">
        <v>79</v>
      </c>
      <c r="C23" s="4" t="s">
        <v>80</v>
      </c>
      <c r="D23" s="5">
        <v>2048</v>
      </c>
      <c r="E23" s="4" t="s">
        <v>41</v>
      </c>
      <c r="F23" s="4" t="s">
        <v>81</v>
      </c>
    </row>
    <row r="24" spans="1:6">
      <c r="A24" s="4" t="s">
        <v>82</v>
      </c>
      <c r="B24" s="4" t="s">
        <v>83</v>
      </c>
      <c r="C24" s="4" t="s">
        <v>84</v>
      </c>
      <c r="D24" s="5">
        <v>128</v>
      </c>
      <c r="E24" s="4" t="s">
        <v>24</v>
      </c>
      <c r="F24" s="4" t="s">
        <v>85</v>
      </c>
    </row>
    <row r="25" spans="1:6">
      <c r="A25" s="4" t="s">
        <v>82</v>
      </c>
      <c r="B25" s="4" t="s">
        <v>86</v>
      </c>
      <c r="C25" s="4" t="s">
        <v>87</v>
      </c>
      <c r="D25" s="5">
        <v>4</v>
      </c>
      <c r="E25" s="4" t="s">
        <v>88</v>
      </c>
      <c r="F25" s="4" t="s">
        <v>89</v>
      </c>
    </row>
    <row r="26" spans="1:6">
      <c r="A26" s="4" t="s">
        <v>82</v>
      </c>
      <c r="B26" s="4" t="s">
        <v>90</v>
      </c>
      <c r="C26" s="4" t="s">
        <v>91</v>
      </c>
      <c r="D26" s="5">
        <v>128</v>
      </c>
      <c r="E26" s="4" t="s">
        <v>88</v>
      </c>
      <c r="F26" s="4" t="s">
        <v>92</v>
      </c>
    </row>
    <row r="27" spans="1:6">
      <c r="A27" s="4" t="s">
        <v>93</v>
      </c>
      <c r="B27" s="4" t="s">
        <v>94</v>
      </c>
      <c r="C27" s="4" t="s">
        <v>95</v>
      </c>
      <c r="D27" s="5">
        <v>64</v>
      </c>
      <c r="E27" s="4" t="s">
        <v>49</v>
      </c>
      <c r="F27" s="4" t="s">
        <v>96</v>
      </c>
    </row>
    <row r="28" spans="1:6">
      <c r="A28" s="4" t="s">
        <v>93</v>
      </c>
      <c r="B28" s="4" t="s">
        <v>97</v>
      </c>
      <c r="C28" s="4" t="s">
        <v>98</v>
      </c>
      <c r="D28" s="5">
        <v>128</v>
      </c>
      <c r="E28" s="4" t="s">
        <v>41</v>
      </c>
      <c r="F28" s="4" t="s">
        <v>99</v>
      </c>
    </row>
    <row r="29" spans="1:6">
      <c r="A29" s="4" t="s">
        <v>93</v>
      </c>
      <c r="B29" s="4" t="s">
        <v>100</v>
      </c>
      <c r="C29" s="4" t="s">
        <v>101</v>
      </c>
      <c r="D29" s="5">
        <v>512</v>
      </c>
      <c r="E29" s="4" t="s">
        <v>102</v>
      </c>
      <c r="F29" s="4" t="s">
        <v>103</v>
      </c>
    </row>
    <row r="30" spans="1:6">
      <c r="A30" s="4" t="s">
        <v>104</v>
      </c>
      <c r="B30" s="4" t="s">
        <v>105</v>
      </c>
      <c r="C30" s="4" t="s">
        <v>106</v>
      </c>
      <c r="D30" s="5">
        <v>4</v>
      </c>
      <c r="E30" s="4" t="s">
        <v>107</v>
      </c>
      <c r="F30" s="4" t="s">
        <v>108</v>
      </c>
    </row>
    <row r="31" spans="1:6">
      <c r="A31" s="4" t="s">
        <v>104</v>
      </c>
      <c r="B31" s="4" t="s">
        <v>109</v>
      </c>
      <c r="C31" s="4" t="s">
        <v>110</v>
      </c>
      <c r="D31" s="5">
        <v>20</v>
      </c>
      <c r="E31" s="4" t="s">
        <v>111</v>
      </c>
      <c r="F31" s="4" t="s">
        <v>112</v>
      </c>
    </row>
    <row r="32" spans="1:6">
      <c r="A32" s="4" t="s">
        <v>113</v>
      </c>
      <c r="B32" s="4" t="s">
        <v>114</v>
      </c>
      <c r="C32" s="4" t="s">
        <v>115</v>
      </c>
      <c r="D32" s="5">
        <v>3</v>
      </c>
      <c r="E32" s="4" t="s">
        <v>116</v>
      </c>
      <c r="F32" s="4" t="s">
        <v>117</v>
      </c>
    </row>
    <row r="33" spans="1:6">
      <c r="A33" s="4" t="s">
        <v>118</v>
      </c>
      <c r="B33" s="4" t="s">
        <v>119</v>
      </c>
      <c r="C33" s="4" t="s">
        <v>120</v>
      </c>
      <c r="D33" s="5">
        <v>2</v>
      </c>
      <c r="E33" s="4" t="s">
        <v>121</v>
      </c>
      <c r="F33" s="4" t="s">
        <v>122</v>
      </c>
    </row>
    <row r="34" spans="1:6">
      <c r="A34" s="4" t="s">
        <v>118</v>
      </c>
      <c r="B34" s="4" t="s">
        <v>123</v>
      </c>
      <c r="C34" s="4" t="s">
        <v>124</v>
      </c>
      <c r="D34" s="5">
        <v>4</v>
      </c>
      <c r="E34" s="4" t="s">
        <v>121</v>
      </c>
      <c r="F34" s="4" t="s">
        <v>125</v>
      </c>
    </row>
    <row r="35" spans="1:6">
      <c r="A35" s="4" t="s">
        <v>118</v>
      </c>
      <c r="B35" s="4" t="s">
        <v>126</v>
      </c>
      <c r="C35" s="4" t="s">
        <v>127</v>
      </c>
      <c r="D35" s="5">
        <v>1</v>
      </c>
      <c r="E35" s="4" t="s">
        <v>121</v>
      </c>
      <c r="F35" s="4" t="s">
        <v>128</v>
      </c>
    </row>
    <row r="36" spans="1:6">
      <c r="A36" s="4" t="s">
        <v>118</v>
      </c>
      <c r="B36" s="4" t="s">
        <v>129</v>
      </c>
      <c r="C36" s="4" t="s">
        <v>130</v>
      </c>
      <c r="D36" s="5">
        <v>0.5</v>
      </c>
      <c r="E36" s="4" t="s">
        <v>121</v>
      </c>
      <c r="F36" s="4" t="s">
        <v>131</v>
      </c>
    </row>
    <row r="37" spans="1:6">
      <c r="A37" s="4" t="s">
        <v>118</v>
      </c>
      <c r="B37" s="4" t="s">
        <v>132</v>
      </c>
      <c r="C37" s="4" t="s">
        <v>133</v>
      </c>
      <c r="D37" s="5">
        <v>1</v>
      </c>
      <c r="E37" s="4" t="s">
        <v>121</v>
      </c>
      <c r="F37" s="4" t="s">
        <v>134</v>
      </c>
    </row>
    <row r="38" spans="1:6">
      <c r="A38" s="4" t="s">
        <v>118</v>
      </c>
      <c r="B38" s="4" t="s">
        <v>135</v>
      </c>
      <c r="C38" s="4" t="s">
        <v>136</v>
      </c>
      <c r="D38" s="5">
        <v>4</v>
      </c>
      <c r="E38" s="4" t="s">
        <v>121</v>
      </c>
      <c r="F38" s="4" t="s">
        <v>137</v>
      </c>
    </row>
    <row r="39" spans="1:6">
      <c r="A39" s="4" t="s">
        <v>118</v>
      </c>
      <c r="B39" s="4" t="s">
        <v>138</v>
      </c>
      <c r="C39" s="4" t="s">
        <v>139</v>
      </c>
      <c r="D39" s="5">
        <v>8</v>
      </c>
      <c r="E39" s="4" t="s">
        <v>121</v>
      </c>
      <c r="F39" s="4" t="s">
        <v>140</v>
      </c>
    </row>
    <row r="40" spans="1:6">
      <c r="A40" s="4" t="s">
        <v>141</v>
      </c>
      <c r="B40" s="4" t="s">
        <v>142</v>
      </c>
      <c r="C40" s="4" t="s">
        <v>143</v>
      </c>
      <c r="D40" s="5">
        <v>128</v>
      </c>
      <c r="E40" s="4" t="s">
        <v>41</v>
      </c>
      <c r="F40" s="4" t="s">
        <v>144</v>
      </c>
    </row>
    <row r="41" spans="1:6">
      <c r="A41" s="4" t="s">
        <v>141</v>
      </c>
      <c r="B41" s="4" t="s">
        <v>145</v>
      </c>
      <c r="C41" s="4" t="s">
        <v>146</v>
      </c>
      <c r="D41" s="5">
        <v>32</v>
      </c>
      <c r="E41" s="4" t="s">
        <v>41</v>
      </c>
      <c r="F41" s="4" t="s">
        <v>147</v>
      </c>
    </row>
    <row r="42" spans="1:6">
      <c r="A42" s="4" t="s">
        <v>148</v>
      </c>
      <c r="B42" s="4" t="s">
        <v>149</v>
      </c>
      <c r="C42" s="4" t="s">
        <v>150</v>
      </c>
      <c r="D42" s="5">
        <v>16</v>
      </c>
      <c r="E42" s="4" t="s">
        <v>49</v>
      </c>
      <c r="F42" s="4" t="s">
        <v>151</v>
      </c>
    </row>
    <row r="43" spans="1:6">
      <c r="A43" s="4" t="s">
        <v>152</v>
      </c>
      <c r="B43" s="4" t="s">
        <v>153</v>
      </c>
      <c r="C43" s="4" t="s">
        <v>154</v>
      </c>
      <c r="D43" s="5">
        <v>1000</v>
      </c>
      <c r="E43" s="4" t="s">
        <v>155</v>
      </c>
      <c r="F43" s="4" t="s">
        <v>156</v>
      </c>
    </row>
    <row r="44" spans="1:6">
      <c r="A44" s="4" t="s">
        <v>152</v>
      </c>
      <c r="B44" s="4" t="s">
        <v>157</v>
      </c>
      <c r="C44" s="4" t="s">
        <v>158</v>
      </c>
      <c r="D44" s="5">
        <v>3000</v>
      </c>
      <c r="E44" s="4" t="s">
        <v>159</v>
      </c>
      <c r="F44" s="4" t="s">
        <v>160</v>
      </c>
    </row>
    <row r="45" spans="1:6">
      <c r="A45" s="4" t="s">
        <v>152</v>
      </c>
      <c r="B45" s="4" t="s">
        <v>161</v>
      </c>
      <c r="C45" s="4" t="s">
        <v>162</v>
      </c>
      <c r="D45" s="5">
        <v>900</v>
      </c>
      <c r="E45" s="4" t="s">
        <v>159</v>
      </c>
      <c r="F45" s="4" t="s">
        <v>163</v>
      </c>
    </row>
    <row r="46" spans="1:6">
      <c r="A46" s="4" t="s">
        <v>152</v>
      </c>
      <c r="B46" s="4" t="s">
        <v>164</v>
      </c>
      <c r="C46" s="4" t="s">
        <v>165</v>
      </c>
      <c r="D46" s="5">
        <v>1000</v>
      </c>
      <c r="E46" s="4" t="s">
        <v>166</v>
      </c>
      <c r="F46" s="4" t="s">
        <v>167</v>
      </c>
    </row>
    <row r="47" spans="1:6">
      <c r="A47" s="4" t="s">
        <v>152</v>
      </c>
      <c r="B47" s="4" t="s">
        <v>168</v>
      </c>
      <c r="C47" s="4" t="s">
        <v>169</v>
      </c>
      <c r="D47" s="5">
        <v>10</v>
      </c>
      <c r="E47" s="4" t="s">
        <v>166</v>
      </c>
      <c r="F47" s="4" t="s">
        <v>167</v>
      </c>
    </row>
    <row r="48" spans="1:6">
      <c r="A48" s="4" t="s">
        <v>170</v>
      </c>
      <c r="B48" s="4" t="s">
        <v>171</v>
      </c>
      <c r="C48" s="4" t="s">
        <v>172</v>
      </c>
      <c r="D48" s="6">
        <f>SUM(Layer_Config!$B$4:$B$67)</f>
        <v>43</v>
      </c>
      <c r="E48" s="4" t="s">
        <v>116</v>
      </c>
      <c r="F48" s="4" t="s">
        <v>173</v>
      </c>
    </row>
    <row r="49" spans="1:6">
      <c r="A49" s="4" t="s">
        <v>170</v>
      </c>
      <c r="B49" s="4" t="s">
        <v>174</v>
      </c>
      <c r="C49" s="4" t="s">
        <v>175</v>
      </c>
      <c r="D49" s="6">
        <f>COUNTIFS(Layer_Config!$B$4:$B$67,1,Layer_Config!$C$4:$C$67,"window")</f>
        <v>2</v>
      </c>
      <c r="E49" s="4" t="s">
        <v>116</v>
      </c>
      <c r="F49" s="4" t="s">
        <v>176</v>
      </c>
    </row>
    <row r="50" spans="1:6">
      <c r="A50" s="4" t="s">
        <v>170</v>
      </c>
      <c r="B50" s="4" t="s">
        <v>177</v>
      </c>
      <c r="C50" s="4" t="s">
        <v>178</v>
      </c>
      <c r="D50" s="6">
        <f>COUNTIFS(Layer_Config!$B$4:$B$67,1,Layer_Config!$C$4:$C$67,"short")</f>
        <v>21</v>
      </c>
      <c r="E50" s="4" t="s">
        <v>116</v>
      </c>
      <c r="F50" s="4" t="s">
        <v>179</v>
      </c>
    </row>
    <row r="51" spans="1:6">
      <c r="A51" s="4" t="s">
        <v>170</v>
      </c>
      <c r="B51" s="4" t="s">
        <v>180</v>
      </c>
      <c r="C51" s="4" t="s">
        <v>181</v>
      </c>
      <c r="D51" s="6">
        <f>COUNTIFS(Layer_Config!$B$4:$B$67,1,Layer_Config!$C$4:$C$67,"long")</f>
        <v>20</v>
      </c>
      <c r="E51" s="4" t="s">
        <v>116</v>
      </c>
      <c r="F51" s="4" t="s">
        <v>182</v>
      </c>
    </row>
    <row r="52" spans="1:6">
      <c r="A52" s="4" t="s">
        <v>170</v>
      </c>
      <c r="B52" s="4" t="s">
        <v>183</v>
      </c>
      <c r="C52" s="4" t="s">
        <v>184</v>
      </c>
      <c r="D52" s="6">
        <f>COUNTIFS(Layer_Config!$B$4:$B$67,1,Layer_Config!$A$4:$A$67,"&lt;"&amp;HashLayers)</f>
        <v>3</v>
      </c>
      <c r="E52" s="4" t="s">
        <v>116</v>
      </c>
      <c r="F52" s="4" t="s">
        <v>185</v>
      </c>
    </row>
    <row r="53" spans="1:6">
      <c r="A53" s="4" t="s">
        <v>170</v>
      </c>
      <c r="B53" s="4" t="s">
        <v>186</v>
      </c>
      <c r="C53" s="4" t="s">
        <v>187</v>
      </c>
      <c r="D53" s="6">
        <f>NumHeads/TP1Size</f>
        <v>64.0</v>
      </c>
      <c r="E53" s="4" t="s">
        <v>188</v>
      </c>
      <c r="F53" s="4" t="s">
        <v>189</v>
      </c>
    </row>
    <row r="54" spans="1:6">
      <c r="A54" s="4" t="s">
        <v>170</v>
      </c>
      <c r="B54" s="4" t="s">
        <v>190</v>
      </c>
      <c r="C54" s="4" t="s">
        <v>191</v>
      </c>
      <c r="D54" s="6">
        <f>MAX(TP1LocalHeads,KernelMinHeads)</f>
        <v>64.0</v>
      </c>
      <c r="E54" s="4" t="s">
        <v>188</v>
      </c>
      <c r="F54" s="4" t="s">
        <v>192</v>
      </c>
    </row>
    <row r="55" spans="1:6">
      <c r="A55" s="4" t="s">
        <v>170</v>
      </c>
      <c r="B55" s="4" t="s">
        <v>193</v>
      </c>
      <c r="C55" s="4" t="s">
        <v>194</v>
      </c>
      <c r="D55" s="6">
        <f>IndexHeads/TP1Size</f>
        <v>64.0</v>
      </c>
      <c r="E55" s="4" t="s">
        <v>188</v>
      </c>
      <c r="F55" s="4" t="s">
        <v>195</v>
      </c>
    </row>
    <row r="56" spans="1:6">
      <c r="A56" s="4" t="s">
        <v>170</v>
      </c>
      <c r="B56" s="4" t="s">
        <v>196</v>
      </c>
      <c r="C56" s="4" t="s">
        <v>197</v>
      </c>
      <c r="D56" s="6">
        <f>RoutedExperts/TP1Size</f>
        <v>256.0</v>
      </c>
      <c r="E56" s="4" t="s">
        <v>198</v>
      </c>
      <c r="F56" s="4" t="s">
        <v>199</v>
      </c>
    </row>
    <row r="57" spans="1:6">
      <c r="A57" s="4" t="s">
        <v>170</v>
      </c>
      <c r="B57" s="4" t="s">
        <v>200</v>
      </c>
      <c r="C57" s="4" t="s">
        <v>201</v>
      </c>
      <c r="D57" s="6">
        <f>OGroups/TP1Size</f>
        <v>8.0</v>
      </c>
      <c r="E57" s="4" t="s">
        <v>202</v>
      </c>
      <c r="F57" s="4" t="s">
        <v>203</v>
      </c>
    </row>
    <row r="58" spans="1:6">
      <c r="A58" s="4" t="s">
        <v>170</v>
      </c>
      <c r="B58" s="4" t="s">
        <v>204</v>
      </c>
      <c r="C58" s="4" t="s">
        <v>205</v>
      </c>
      <c r="D58" s="6">
        <f>VocabSize/TP1Size</f>
        <v>129280.0</v>
      </c>
      <c r="E58" s="4" t="s">
        <v>206</v>
      </c>
      <c r="F58" s="4" t="s">
        <v>207</v>
      </c>
    </row>
    <row r="59" spans="1:6">
      <c r="A59" s="4" t="s">
        <v>170</v>
      </c>
      <c r="B59" s="4" t="s">
        <v>208</v>
      </c>
      <c r="C59" s="4" t="s">
        <v>209</v>
      </c>
      <c r="D59" s="6">
        <f>NumHeads/TP8Size</f>
        <v>8.0</v>
      </c>
      <c r="E59" s="4" t="s">
        <v>188</v>
      </c>
      <c r="F59" s="4" t="s">
        <v>210</v>
      </c>
    </row>
    <row r="60" spans="1:6">
      <c r="A60" s="4" t="s">
        <v>170</v>
      </c>
      <c r="B60" s="4" t="s">
        <v>211</v>
      </c>
      <c r="C60" s="4" t="s">
        <v>212</v>
      </c>
      <c r="D60" s="6">
        <f>MAX(TP8LocalHeads,KernelMinHeads)</f>
        <v>16</v>
      </c>
      <c r="E60" s="4" t="s">
        <v>188</v>
      </c>
      <c r="F60" s="4" t="s">
        <v>192</v>
      </c>
    </row>
    <row r="61" spans="1:6">
      <c r="A61" s="4" t="s">
        <v>170</v>
      </c>
      <c r="B61" s="4" t="s">
        <v>213</v>
      </c>
      <c r="C61" s="4" t="s">
        <v>214</v>
      </c>
      <c r="D61" s="6">
        <f>IndexHeads/TP8Size</f>
        <v>8.0</v>
      </c>
      <c r="E61" s="4" t="s">
        <v>188</v>
      </c>
      <c r="F61" s="4" t="s">
        <v>215</v>
      </c>
    </row>
    <row r="62" spans="1:6">
      <c r="A62" s="4" t="s">
        <v>170</v>
      </c>
      <c r="B62" s="4" t="s">
        <v>216</v>
      </c>
      <c r="C62" s="4" t="s">
        <v>217</v>
      </c>
      <c r="D62" s="6">
        <f>RoutedExperts/TP8Size</f>
        <v>32.0</v>
      </c>
      <c r="E62" s="4" t="s">
        <v>198</v>
      </c>
      <c r="F62" s="4" t="s">
        <v>218</v>
      </c>
    </row>
    <row r="63" spans="1:6">
      <c r="A63" s="4" t="s">
        <v>170</v>
      </c>
      <c r="B63" s="4" t="s">
        <v>219</v>
      </c>
      <c r="C63" s="4" t="s">
        <v>220</v>
      </c>
      <c r="D63" s="6">
        <f>OGroups/TP8Size</f>
        <v>1.0</v>
      </c>
      <c r="E63" s="4" t="s">
        <v>202</v>
      </c>
      <c r="F63" s="4" t="s">
        <v>221</v>
      </c>
    </row>
    <row r="64" spans="1:6">
      <c r="A64" s="4" t="s">
        <v>170</v>
      </c>
      <c r="B64" s="4" t="s">
        <v>222</v>
      </c>
      <c r="C64" s="4" t="s">
        <v>223</v>
      </c>
      <c r="D64" s="6">
        <f>VocabSize/TP8Size</f>
        <v>16160.0</v>
      </c>
      <c r="E64" s="4" t="s">
        <v>206</v>
      </c>
      <c r="F64" s="4" t="s">
        <v>224</v>
      </c>
    </row>
    <row r="66" spans="1:7">
      <c r="A66" s="7" t="s">
        <v>225</v>
      </c>
      <c r="B66" s="7"/>
      <c r="C66" s="7"/>
      <c r="D66" s="7"/>
      <c r="E66" s="7"/>
      <c r="F66" s="7"/>
      <c r="G66" s="7"/>
    </row>
    <row r="67" spans="1:7">
      <c r="A67" s="4" t="s">
        <v>226</v>
      </c>
      <c r="G67" s="8" t="str">
        <f>IF(AND(MOD(NumHeads,TP1Size)=0,MOD(NumHeads,TP8Size)=0),"OK","ERROR")</f>
        <v>OK</v>
      </c>
    </row>
    <row r="68" spans="1:7">
      <c r="A68" s="4" t="s">
        <v>227</v>
      </c>
      <c r="G68" s="8" t="str">
        <f>IF(AND(MOD(RoutedExperts,TP1Size)=0,MOD(RoutedExperts,TP8Size)=0),"OK","ERROR")</f>
        <v>OK</v>
      </c>
    </row>
    <row r="69" spans="1:7">
      <c r="A69" s="4" t="s">
        <v>228</v>
      </c>
      <c r="G69" s="8" t="str">
        <f>IF(AND(MOD(OGroups,TP1Size)=0,MOD(OGroups,TP8Size)=0),"OK","ERROR")</f>
        <v>OK</v>
      </c>
    </row>
    <row r="70" spans="1:7">
      <c r="A70" s="4" t="s">
        <v>229</v>
      </c>
      <c r="G70" s="8" t="str">
        <f>IF(AND(MOD(IndexHeads,TP1Size)=0,MOD(IndexHeads,TP8Size)=0),"OK","ERROR")</f>
        <v>OK</v>
      </c>
    </row>
    <row r="71" spans="1:7">
      <c r="A71" s="4" t="s">
        <v>230</v>
      </c>
      <c r="G71" s="8" t="str">
        <f>IF(ActivatedExperts&lt;=RoutedExperts,"OK","ERROR")</f>
        <v>OK</v>
      </c>
    </row>
    <row r="72" spans="1:7">
      <c r="A72" s="4" t="s">
        <v>231</v>
      </c>
      <c r="G72" s="8" t="str">
        <f>IF(RopeDim&lt;=HeadDim,"OK","ERROR")</f>
        <v>OK</v>
      </c>
    </row>
  </sheetData>
  <autoFilter ref="A3:G64"/>
  <mergeCells count="1">
    <mergeCell ref="A66:G66"/>
  </mergeCells>
  <conditionalFormatting sqref="G4:G73">
    <cfRule type="containsText" dxfId="0" priority="1" operator="containsText" text="ERROR">
      <formula>NOT(ISERROR(SEARCH("ERROR",G4)))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7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2" width="12.7109375" customWidth="1"/>
    <col min="3" max="4" width="20.7109375" customWidth="1"/>
    <col min="5" max="6" width="34.7109375" customWidth="1"/>
  </cols>
  <sheetData>
    <row r="1" spans="1:6">
      <c r="A1" s="1" t="s">
        <v>232</v>
      </c>
    </row>
    <row r="2" spans="1:6">
      <c r="A2" s="2" t="s">
        <v>233</v>
      </c>
    </row>
    <row r="3" spans="1:6">
      <c r="A3" s="3" t="s">
        <v>234</v>
      </c>
      <c r="B3" s="3" t="s">
        <v>235</v>
      </c>
      <c r="C3" s="3" t="s">
        <v>236</v>
      </c>
      <c r="D3" s="3" t="s">
        <v>237</v>
      </c>
      <c r="E3" s="3" t="s">
        <v>238</v>
      </c>
      <c r="F3" s="3" t="s">
        <v>239</v>
      </c>
    </row>
    <row r="4" spans="1:6">
      <c r="A4" s="9">
        <v>0</v>
      </c>
      <c r="B4" s="5">
        <v>1</v>
      </c>
      <c r="C4" s="5" t="s">
        <v>240</v>
      </c>
      <c r="D4" s="6">
        <f>IF(C4="window",0,IF(C4="short",ShortRatio,LongRatio))</f>
        <v>0</v>
      </c>
      <c r="E4" s="4" t="str">
        <f>IF(B4=0,"inactive",IF(C4="window","raw sliding window",IF(C4="short","compressed KV + Indexer Top-K","deterministic compressed KV")))</f>
        <v>raw sliding window</v>
      </c>
      <c r="F4" s="4" t="str">
        <f>IF(B4=0,"inactive",IF(A4&lt;HashLayers,"hash","score"))</f>
        <v>hash</v>
      </c>
    </row>
    <row r="5" spans="1:6">
      <c r="A5" s="9">
        <v>1</v>
      </c>
      <c r="B5" s="5">
        <v>1</v>
      </c>
      <c r="C5" s="5" t="s">
        <v>240</v>
      </c>
      <c r="D5" s="6">
        <f>IF(C5="window",0,IF(C5="short",ShortRatio,LongRatio))</f>
        <v>0</v>
      </c>
      <c r="E5" s="4" t="str">
        <f>IF(B5=0,"inactive",IF(C5="window","raw sliding window",IF(C5="short","compressed KV + Indexer Top-K","deterministic compressed KV")))</f>
        <v>raw sliding window</v>
      </c>
      <c r="F5" s="4" t="str">
        <f>IF(B5=0,"inactive",IF(A5&lt;HashLayers,"hash","score"))</f>
        <v>hash</v>
      </c>
    </row>
    <row r="6" spans="1:6">
      <c r="A6" s="9">
        <v>2</v>
      </c>
      <c r="B6" s="5">
        <v>1</v>
      </c>
      <c r="C6" s="5" t="s">
        <v>241</v>
      </c>
      <c r="D6" s="6">
        <f>IF(C6="window",0,IF(C6="short",ShortRatio,LongRatio))</f>
        <v>4</v>
      </c>
      <c r="E6" s="4" t="str">
        <f>IF(B6=0,"inactive",IF(C6="window","raw sliding window",IF(C6="short","compressed KV + Indexer Top-K","deterministic compressed KV")))</f>
        <v>compressed KV + Indexer Top-K</v>
      </c>
      <c r="F6" s="4" t="str">
        <f>IF(B6=0,"inactive",IF(A6&lt;HashLayers,"hash","score"))</f>
        <v>hash</v>
      </c>
    </row>
    <row r="7" spans="1:6">
      <c r="A7" s="9">
        <v>3</v>
      </c>
      <c r="B7" s="5">
        <v>1</v>
      </c>
      <c r="C7" s="5" t="s">
        <v>242</v>
      </c>
      <c r="D7" s="6">
        <f>IF(C7="window",0,IF(C7="short",ShortRatio,LongRatio))</f>
        <v>128</v>
      </c>
      <c r="E7" s="4" t="str">
        <f>IF(B7=0,"inactive",IF(C7="window","raw sliding window",IF(C7="short","compressed KV + Indexer Top-K","deterministic compressed KV")))</f>
        <v>deterministic compressed KV</v>
      </c>
      <c r="F7" s="4" t="str">
        <f>IF(B7=0,"inactive",IF(A7&lt;HashLayers,"hash","score"))</f>
        <v>score</v>
      </c>
    </row>
    <row r="8" spans="1:6">
      <c r="A8" s="9">
        <v>4</v>
      </c>
      <c r="B8" s="5">
        <v>1</v>
      </c>
      <c r="C8" s="5" t="s">
        <v>241</v>
      </c>
      <c r="D8" s="6">
        <f>IF(C8="window",0,IF(C8="short",ShortRatio,LongRatio))</f>
        <v>4</v>
      </c>
      <c r="E8" s="4" t="str">
        <f>IF(B8=0,"inactive",IF(C8="window","raw sliding window",IF(C8="short","compressed KV + Indexer Top-K","deterministic compressed KV")))</f>
        <v>compressed KV + Indexer Top-K</v>
      </c>
      <c r="F8" s="4" t="str">
        <f>IF(B8=0,"inactive",IF(A8&lt;HashLayers,"hash","score"))</f>
        <v>score</v>
      </c>
    </row>
    <row r="9" spans="1:6">
      <c r="A9" s="9">
        <v>5</v>
      </c>
      <c r="B9" s="5">
        <v>1</v>
      </c>
      <c r="C9" s="5" t="s">
        <v>242</v>
      </c>
      <c r="D9" s="6">
        <f>IF(C9="window",0,IF(C9="short",ShortRatio,LongRatio))</f>
        <v>128</v>
      </c>
      <c r="E9" s="4" t="str">
        <f>IF(B9=0,"inactive",IF(C9="window","raw sliding window",IF(C9="short","compressed KV + Indexer Top-K","deterministic compressed KV")))</f>
        <v>deterministic compressed KV</v>
      </c>
      <c r="F9" s="4" t="str">
        <f>IF(B9=0,"inactive",IF(A9&lt;HashLayers,"hash","score"))</f>
        <v>score</v>
      </c>
    </row>
    <row r="10" spans="1:6">
      <c r="A10" s="9">
        <v>6</v>
      </c>
      <c r="B10" s="5">
        <v>1</v>
      </c>
      <c r="C10" s="5" t="s">
        <v>241</v>
      </c>
      <c r="D10" s="6">
        <f>IF(C10="window",0,IF(C10="short",ShortRatio,LongRatio))</f>
        <v>4</v>
      </c>
      <c r="E10" s="4" t="str">
        <f>IF(B10=0,"inactive",IF(C10="window","raw sliding window",IF(C10="short","compressed KV + Indexer Top-K","deterministic compressed KV")))</f>
        <v>compressed KV + Indexer Top-K</v>
      </c>
      <c r="F10" s="4" t="str">
        <f>IF(B10=0,"inactive",IF(A10&lt;HashLayers,"hash","score"))</f>
        <v>score</v>
      </c>
    </row>
    <row r="11" spans="1:6">
      <c r="A11" s="9">
        <v>7</v>
      </c>
      <c r="B11" s="5">
        <v>1</v>
      </c>
      <c r="C11" s="5" t="s">
        <v>242</v>
      </c>
      <c r="D11" s="6">
        <f>IF(C11="window",0,IF(C11="short",ShortRatio,LongRatio))</f>
        <v>128</v>
      </c>
      <c r="E11" s="4" t="str">
        <f>IF(B11=0,"inactive",IF(C11="window","raw sliding window",IF(C11="short","compressed KV + Indexer Top-K","deterministic compressed KV")))</f>
        <v>deterministic compressed KV</v>
      </c>
      <c r="F11" s="4" t="str">
        <f>IF(B11=0,"inactive",IF(A11&lt;HashLayers,"hash","score"))</f>
        <v>score</v>
      </c>
    </row>
    <row r="12" spans="1:6">
      <c r="A12" s="9">
        <v>8</v>
      </c>
      <c r="B12" s="5">
        <v>1</v>
      </c>
      <c r="C12" s="5" t="s">
        <v>241</v>
      </c>
      <c r="D12" s="6">
        <f>IF(C12="window",0,IF(C12="short",ShortRatio,LongRatio))</f>
        <v>4</v>
      </c>
      <c r="E12" s="4" t="str">
        <f>IF(B12=0,"inactive",IF(C12="window","raw sliding window",IF(C12="short","compressed KV + Indexer Top-K","deterministic compressed KV")))</f>
        <v>compressed KV + Indexer Top-K</v>
      </c>
      <c r="F12" s="4" t="str">
        <f>IF(B12=0,"inactive",IF(A12&lt;HashLayers,"hash","score"))</f>
        <v>score</v>
      </c>
    </row>
    <row r="13" spans="1:6">
      <c r="A13" s="9">
        <v>9</v>
      </c>
      <c r="B13" s="5">
        <v>1</v>
      </c>
      <c r="C13" s="5" t="s">
        <v>242</v>
      </c>
      <c r="D13" s="6">
        <f>IF(C13="window",0,IF(C13="short",ShortRatio,LongRatio))</f>
        <v>128</v>
      </c>
      <c r="E13" s="4" t="str">
        <f>IF(B13=0,"inactive",IF(C13="window","raw sliding window",IF(C13="short","compressed KV + Indexer Top-K","deterministic compressed KV")))</f>
        <v>deterministic compressed KV</v>
      </c>
      <c r="F13" s="4" t="str">
        <f>IF(B13=0,"inactive",IF(A13&lt;HashLayers,"hash","score"))</f>
        <v>score</v>
      </c>
    </row>
    <row r="14" spans="1:6">
      <c r="A14" s="9">
        <v>10</v>
      </c>
      <c r="B14" s="5">
        <v>1</v>
      </c>
      <c r="C14" s="5" t="s">
        <v>241</v>
      </c>
      <c r="D14" s="6">
        <f>IF(C14="window",0,IF(C14="short",ShortRatio,LongRatio))</f>
        <v>4</v>
      </c>
      <c r="E14" s="4" t="str">
        <f>IF(B14=0,"inactive",IF(C14="window","raw sliding window",IF(C14="short","compressed KV + Indexer Top-K","deterministic compressed KV")))</f>
        <v>compressed KV + Indexer Top-K</v>
      </c>
      <c r="F14" s="4" t="str">
        <f>IF(B14=0,"inactive",IF(A14&lt;HashLayers,"hash","score"))</f>
        <v>score</v>
      </c>
    </row>
    <row r="15" spans="1:6">
      <c r="A15" s="9">
        <v>11</v>
      </c>
      <c r="B15" s="5">
        <v>1</v>
      </c>
      <c r="C15" s="5" t="s">
        <v>242</v>
      </c>
      <c r="D15" s="6">
        <f>IF(C15="window",0,IF(C15="short",ShortRatio,LongRatio))</f>
        <v>128</v>
      </c>
      <c r="E15" s="4" t="str">
        <f>IF(B15=0,"inactive",IF(C15="window","raw sliding window",IF(C15="short","compressed KV + Indexer Top-K","deterministic compressed KV")))</f>
        <v>deterministic compressed KV</v>
      </c>
      <c r="F15" s="4" t="str">
        <f>IF(B15=0,"inactive",IF(A15&lt;HashLayers,"hash","score"))</f>
        <v>score</v>
      </c>
    </row>
    <row r="16" spans="1:6">
      <c r="A16" s="9">
        <v>12</v>
      </c>
      <c r="B16" s="5">
        <v>1</v>
      </c>
      <c r="C16" s="5" t="s">
        <v>241</v>
      </c>
      <c r="D16" s="6">
        <f>IF(C16="window",0,IF(C16="short",ShortRatio,LongRatio))</f>
        <v>4</v>
      </c>
      <c r="E16" s="4" t="str">
        <f>IF(B16=0,"inactive",IF(C16="window","raw sliding window",IF(C16="short","compressed KV + Indexer Top-K","deterministic compressed KV")))</f>
        <v>compressed KV + Indexer Top-K</v>
      </c>
      <c r="F16" s="4" t="str">
        <f>IF(B16=0,"inactive",IF(A16&lt;HashLayers,"hash","score"))</f>
        <v>score</v>
      </c>
    </row>
    <row r="17" spans="1:6">
      <c r="A17" s="9">
        <v>13</v>
      </c>
      <c r="B17" s="5">
        <v>1</v>
      </c>
      <c r="C17" s="5" t="s">
        <v>242</v>
      </c>
      <c r="D17" s="6">
        <f>IF(C17="window",0,IF(C17="short",ShortRatio,LongRatio))</f>
        <v>128</v>
      </c>
      <c r="E17" s="4" t="str">
        <f>IF(B17=0,"inactive",IF(C17="window","raw sliding window",IF(C17="short","compressed KV + Indexer Top-K","deterministic compressed KV")))</f>
        <v>deterministic compressed KV</v>
      </c>
      <c r="F17" s="4" t="str">
        <f>IF(B17=0,"inactive",IF(A17&lt;HashLayers,"hash","score"))</f>
        <v>score</v>
      </c>
    </row>
    <row r="18" spans="1:6">
      <c r="A18" s="9">
        <v>14</v>
      </c>
      <c r="B18" s="5">
        <v>1</v>
      </c>
      <c r="C18" s="5" t="s">
        <v>241</v>
      </c>
      <c r="D18" s="6">
        <f>IF(C18="window",0,IF(C18="short",ShortRatio,LongRatio))</f>
        <v>4</v>
      </c>
      <c r="E18" s="4" t="str">
        <f>IF(B18=0,"inactive",IF(C18="window","raw sliding window",IF(C18="short","compressed KV + Indexer Top-K","deterministic compressed KV")))</f>
        <v>compressed KV + Indexer Top-K</v>
      </c>
      <c r="F18" s="4" t="str">
        <f>IF(B18=0,"inactive",IF(A18&lt;HashLayers,"hash","score"))</f>
        <v>score</v>
      </c>
    </row>
    <row r="19" spans="1:6">
      <c r="A19" s="9">
        <v>15</v>
      </c>
      <c r="B19" s="5">
        <v>1</v>
      </c>
      <c r="C19" s="5" t="s">
        <v>242</v>
      </c>
      <c r="D19" s="6">
        <f>IF(C19="window",0,IF(C19="short",ShortRatio,LongRatio))</f>
        <v>128</v>
      </c>
      <c r="E19" s="4" t="str">
        <f>IF(B19=0,"inactive",IF(C19="window","raw sliding window",IF(C19="short","compressed KV + Indexer Top-K","deterministic compressed KV")))</f>
        <v>deterministic compressed KV</v>
      </c>
      <c r="F19" s="4" t="str">
        <f>IF(B19=0,"inactive",IF(A19&lt;HashLayers,"hash","score"))</f>
        <v>score</v>
      </c>
    </row>
    <row r="20" spans="1:6">
      <c r="A20" s="9">
        <v>16</v>
      </c>
      <c r="B20" s="5">
        <v>1</v>
      </c>
      <c r="C20" s="5" t="s">
        <v>241</v>
      </c>
      <c r="D20" s="6">
        <f>IF(C20="window",0,IF(C20="short",ShortRatio,LongRatio))</f>
        <v>4</v>
      </c>
      <c r="E20" s="4" t="str">
        <f>IF(B20=0,"inactive",IF(C20="window","raw sliding window",IF(C20="short","compressed KV + Indexer Top-K","deterministic compressed KV")))</f>
        <v>compressed KV + Indexer Top-K</v>
      </c>
      <c r="F20" s="4" t="str">
        <f>IF(B20=0,"inactive",IF(A20&lt;HashLayers,"hash","score"))</f>
        <v>score</v>
      </c>
    </row>
    <row r="21" spans="1:6">
      <c r="A21" s="9">
        <v>17</v>
      </c>
      <c r="B21" s="5">
        <v>1</v>
      </c>
      <c r="C21" s="5" t="s">
        <v>242</v>
      </c>
      <c r="D21" s="6">
        <f>IF(C21="window",0,IF(C21="short",ShortRatio,LongRatio))</f>
        <v>128</v>
      </c>
      <c r="E21" s="4" t="str">
        <f>IF(B21=0,"inactive",IF(C21="window","raw sliding window",IF(C21="short","compressed KV + Indexer Top-K","deterministic compressed KV")))</f>
        <v>deterministic compressed KV</v>
      </c>
      <c r="F21" s="4" t="str">
        <f>IF(B21=0,"inactive",IF(A21&lt;HashLayers,"hash","score"))</f>
        <v>score</v>
      </c>
    </row>
    <row r="22" spans="1:6">
      <c r="A22" s="9">
        <v>18</v>
      </c>
      <c r="B22" s="5">
        <v>1</v>
      </c>
      <c r="C22" s="5" t="s">
        <v>241</v>
      </c>
      <c r="D22" s="6">
        <f>IF(C22="window",0,IF(C22="short",ShortRatio,LongRatio))</f>
        <v>4</v>
      </c>
      <c r="E22" s="4" t="str">
        <f>IF(B22=0,"inactive",IF(C22="window","raw sliding window",IF(C22="short","compressed KV + Indexer Top-K","deterministic compressed KV")))</f>
        <v>compressed KV + Indexer Top-K</v>
      </c>
      <c r="F22" s="4" t="str">
        <f>IF(B22=0,"inactive",IF(A22&lt;HashLayers,"hash","score"))</f>
        <v>score</v>
      </c>
    </row>
    <row r="23" spans="1:6">
      <c r="A23" s="9">
        <v>19</v>
      </c>
      <c r="B23" s="5">
        <v>1</v>
      </c>
      <c r="C23" s="5" t="s">
        <v>242</v>
      </c>
      <c r="D23" s="6">
        <f>IF(C23="window",0,IF(C23="short",ShortRatio,LongRatio))</f>
        <v>128</v>
      </c>
      <c r="E23" s="4" t="str">
        <f>IF(B23=0,"inactive",IF(C23="window","raw sliding window",IF(C23="short","compressed KV + Indexer Top-K","deterministic compressed KV")))</f>
        <v>deterministic compressed KV</v>
      </c>
      <c r="F23" s="4" t="str">
        <f>IF(B23=0,"inactive",IF(A23&lt;HashLayers,"hash","score"))</f>
        <v>score</v>
      </c>
    </row>
    <row r="24" spans="1:6">
      <c r="A24" s="9">
        <v>20</v>
      </c>
      <c r="B24" s="5">
        <v>1</v>
      </c>
      <c r="C24" s="5" t="s">
        <v>241</v>
      </c>
      <c r="D24" s="6">
        <f>IF(C24="window",0,IF(C24="short",ShortRatio,LongRatio))</f>
        <v>4</v>
      </c>
      <c r="E24" s="4" t="str">
        <f>IF(B24=0,"inactive",IF(C24="window","raw sliding window",IF(C24="short","compressed KV + Indexer Top-K","deterministic compressed KV")))</f>
        <v>compressed KV + Indexer Top-K</v>
      </c>
      <c r="F24" s="4" t="str">
        <f>IF(B24=0,"inactive",IF(A24&lt;HashLayers,"hash","score"))</f>
        <v>score</v>
      </c>
    </row>
    <row r="25" spans="1:6">
      <c r="A25" s="9">
        <v>21</v>
      </c>
      <c r="B25" s="5">
        <v>1</v>
      </c>
      <c r="C25" s="5" t="s">
        <v>242</v>
      </c>
      <c r="D25" s="6">
        <f>IF(C25="window",0,IF(C25="short",ShortRatio,LongRatio))</f>
        <v>128</v>
      </c>
      <c r="E25" s="4" t="str">
        <f>IF(B25=0,"inactive",IF(C25="window","raw sliding window",IF(C25="short","compressed KV + Indexer Top-K","deterministic compressed KV")))</f>
        <v>deterministic compressed KV</v>
      </c>
      <c r="F25" s="4" t="str">
        <f>IF(B25=0,"inactive",IF(A25&lt;HashLayers,"hash","score"))</f>
        <v>score</v>
      </c>
    </row>
    <row r="26" spans="1:6">
      <c r="A26" s="9">
        <v>22</v>
      </c>
      <c r="B26" s="5">
        <v>1</v>
      </c>
      <c r="C26" s="5" t="s">
        <v>241</v>
      </c>
      <c r="D26" s="6">
        <f>IF(C26="window",0,IF(C26="short",ShortRatio,LongRatio))</f>
        <v>4</v>
      </c>
      <c r="E26" s="4" t="str">
        <f>IF(B26=0,"inactive",IF(C26="window","raw sliding window",IF(C26="short","compressed KV + Indexer Top-K","deterministic compressed KV")))</f>
        <v>compressed KV + Indexer Top-K</v>
      </c>
      <c r="F26" s="4" t="str">
        <f>IF(B26=0,"inactive",IF(A26&lt;HashLayers,"hash","score"))</f>
        <v>score</v>
      </c>
    </row>
    <row r="27" spans="1:6">
      <c r="A27" s="9">
        <v>23</v>
      </c>
      <c r="B27" s="5">
        <v>1</v>
      </c>
      <c r="C27" s="5" t="s">
        <v>242</v>
      </c>
      <c r="D27" s="6">
        <f>IF(C27="window",0,IF(C27="short",ShortRatio,LongRatio))</f>
        <v>128</v>
      </c>
      <c r="E27" s="4" t="str">
        <f>IF(B27=0,"inactive",IF(C27="window","raw sliding window",IF(C27="short","compressed KV + Indexer Top-K","deterministic compressed KV")))</f>
        <v>deterministic compressed KV</v>
      </c>
      <c r="F27" s="4" t="str">
        <f>IF(B27=0,"inactive",IF(A27&lt;HashLayers,"hash","score"))</f>
        <v>score</v>
      </c>
    </row>
    <row r="28" spans="1:6">
      <c r="A28" s="9">
        <v>24</v>
      </c>
      <c r="B28" s="5">
        <v>1</v>
      </c>
      <c r="C28" s="5" t="s">
        <v>241</v>
      </c>
      <c r="D28" s="6">
        <f>IF(C28="window",0,IF(C28="short",ShortRatio,LongRatio))</f>
        <v>4</v>
      </c>
      <c r="E28" s="4" t="str">
        <f>IF(B28=0,"inactive",IF(C28="window","raw sliding window",IF(C28="short","compressed KV + Indexer Top-K","deterministic compressed KV")))</f>
        <v>compressed KV + Indexer Top-K</v>
      </c>
      <c r="F28" s="4" t="str">
        <f>IF(B28=0,"inactive",IF(A28&lt;HashLayers,"hash","score"))</f>
        <v>score</v>
      </c>
    </row>
    <row r="29" spans="1:6">
      <c r="A29" s="9">
        <v>25</v>
      </c>
      <c r="B29" s="5">
        <v>1</v>
      </c>
      <c r="C29" s="5" t="s">
        <v>242</v>
      </c>
      <c r="D29" s="6">
        <f>IF(C29="window",0,IF(C29="short",ShortRatio,LongRatio))</f>
        <v>128</v>
      </c>
      <c r="E29" s="4" t="str">
        <f>IF(B29=0,"inactive",IF(C29="window","raw sliding window",IF(C29="short","compressed KV + Indexer Top-K","deterministic compressed KV")))</f>
        <v>deterministic compressed KV</v>
      </c>
      <c r="F29" s="4" t="str">
        <f>IF(B29=0,"inactive",IF(A29&lt;HashLayers,"hash","score"))</f>
        <v>score</v>
      </c>
    </row>
    <row r="30" spans="1:6">
      <c r="A30" s="9">
        <v>26</v>
      </c>
      <c r="B30" s="5">
        <v>1</v>
      </c>
      <c r="C30" s="5" t="s">
        <v>241</v>
      </c>
      <c r="D30" s="6">
        <f>IF(C30="window",0,IF(C30="short",ShortRatio,LongRatio))</f>
        <v>4</v>
      </c>
      <c r="E30" s="4" t="str">
        <f>IF(B30=0,"inactive",IF(C30="window","raw sliding window",IF(C30="short","compressed KV + Indexer Top-K","deterministic compressed KV")))</f>
        <v>compressed KV + Indexer Top-K</v>
      </c>
      <c r="F30" s="4" t="str">
        <f>IF(B30=0,"inactive",IF(A30&lt;HashLayers,"hash","score"))</f>
        <v>score</v>
      </c>
    </row>
    <row r="31" spans="1:6">
      <c r="A31" s="9">
        <v>27</v>
      </c>
      <c r="B31" s="5">
        <v>1</v>
      </c>
      <c r="C31" s="5" t="s">
        <v>242</v>
      </c>
      <c r="D31" s="6">
        <f>IF(C31="window",0,IF(C31="short",ShortRatio,LongRatio))</f>
        <v>128</v>
      </c>
      <c r="E31" s="4" t="str">
        <f>IF(B31=0,"inactive",IF(C31="window","raw sliding window",IF(C31="short","compressed KV + Indexer Top-K","deterministic compressed KV")))</f>
        <v>deterministic compressed KV</v>
      </c>
      <c r="F31" s="4" t="str">
        <f>IF(B31=0,"inactive",IF(A31&lt;HashLayers,"hash","score"))</f>
        <v>score</v>
      </c>
    </row>
    <row r="32" spans="1:6">
      <c r="A32" s="9">
        <v>28</v>
      </c>
      <c r="B32" s="5">
        <v>1</v>
      </c>
      <c r="C32" s="5" t="s">
        <v>241</v>
      </c>
      <c r="D32" s="6">
        <f>IF(C32="window",0,IF(C32="short",ShortRatio,LongRatio))</f>
        <v>4</v>
      </c>
      <c r="E32" s="4" t="str">
        <f>IF(B32=0,"inactive",IF(C32="window","raw sliding window",IF(C32="short","compressed KV + Indexer Top-K","deterministic compressed KV")))</f>
        <v>compressed KV + Indexer Top-K</v>
      </c>
      <c r="F32" s="4" t="str">
        <f>IF(B32=0,"inactive",IF(A32&lt;HashLayers,"hash","score"))</f>
        <v>score</v>
      </c>
    </row>
    <row r="33" spans="1:6">
      <c r="A33" s="9">
        <v>29</v>
      </c>
      <c r="B33" s="5">
        <v>1</v>
      </c>
      <c r="C33" s="5" t="s">
        <v>242</v>
      </c>
      <c r="D33" s="6">
        <f>IF(C33="window",0,IF(C33="short",ShortRatio,LongRatio))</f>
        <v>128</v>
      </c>
      <c r="E33" s="4" t="str">
        <f>IF(B33=0,"inactive",IF(C33="window","raw sliding window",IF(C33="short","compressed KV + Indexer Top-K","deterministic compressed KV")))</f>
        <v>deterministic compressed KV</v>
      </c>
      <c r="F33" s="4" t="str">
        <f>IF(B33=0,"inactive",IF(A33&lt;HashLayers,"hash","score"))</f>
        <v>score</v>
      </c>
    </row>
    <row r="34" spans="1:6">
      <c r="A34" s="9">
        <v>30</v>
      </c>
      <c r="B34" s="5">
        <v>1</v>
      </c>
      <c r="C34" s="5" t="s">
        <v>241</v>
      </c>
      <c r="D34" s="6">
        <f>IF(C34="window",0,IF(C34="short",ShortRatio,LongRatio))</f>
        <v>4</v>
      </c>
      <c r="E34" s="4" t="str">
        <f>IF(B34=0,"inactive",IF(C34="window","raw sliding window",IF(C34="short","compressed KV + Indexer Top-K","deterministic compressed KV")))</f>
        <v>compressed KV + Indexer Top-K</v>
      </c>
      <c r="F34" s="4" t="str">
        <f>IF(B34=0,"inactive",IF(A34&lt;HashLayers,"hash","score"))</f>
        <v>score</v>
      </c>
    </row>
    <row r="35" spans="1:6">
      <c r="A35" s="9">
        <v>31</v>
      </c>
      <c r="B35" s="5">
        <v>1</v>
      </c>
      <c r="C35" s="5" t="s">
        <v>242</v>
      </c>
      <c r="D35" s="6">
        <f>IF(C35="window",0,IF(C35="short",ShortRatio,LongRatio))</f>
        <v>128</v>
      </c>
      <c r="E35" s="4" t="str">
        <f>IF(B35=0,"inactive",IF(C35="window","raw sliding window",IF(C35="short","compressed KV + Indexer Top-K","deterministic compressed KV")))</f>
        <v>deterministic compressed KV</v>
      </c>
      <c r="F35" s="4" t="str">
        <f>IF(B35=0,"inactive",IF(A35&lt;HashLayers,"hash","score"))</f>
        <v>score</v>
      </c>
    </row>
    <row r="36" spans="1:6">
      <c r="A36" s="9">
        <v>32</v>
      </c>
      <c r="B36" s="5">
        <v>1</v>
      </c>
      <c r="C36" s="5" t="s">
        <v>241</v>
      </c>
      <c r="D36" s="6">
        <f>IF(C36="window",0,IF(C36="short",ShortRatio,LongRatio))</f>
        <v>4</v>
      </c>
      <c r="E36" s="4" t="str">
        <f>IF(B36=0,"inactive",IF(C36="window","raw sliding window",IF(C36="short","compressed KV + Indexer Top-K","deterministic compressed KV")))</f>
        <v>compressed KV + Indexer Top-K</v>
      </c>
      <c r="F36" s="4" t="str">
        <f>IF(B36=0,"inactive",IF(A36&lt;HashLayers,"hash","score"))</f>
        <v>score</v>
      </c>
    </row>
    <row r="37" spans="1:6">
      <c r="A37" s="9">
        <v>33</v>
      </c>
      <c r="B37" s="5">
        <v>1</v>
      </c>
      <c r="C37" s="5" t="s">
        <v>242</v>
      </c>
      <c r="D37" s="6">
        <f>IF(C37="window",0,IF(C37="short",ShortRatio,LongRatio))</f>
        <v>128</v>
      </c>
      <c r="E37" s="4" t="str">
        <f>IF(B37=0,"inactive",IF(C37="window","raw sliding window",IF(C37="short","compressed KV + Indexer Top-K","deterministic compressed KV")))</f>
        <v>deterministic compressed KV</v>
      </c>
      <c r="F37" s="4" t="str">
        <f>IF(B37=0,"inactive",IF(A37&lt;HashLayers,"hash","score"))</f>
        <v>score</v>
      </c>
    </row>
    <row r="38" spans="1:6">
      <c r="A38" s="9">
        <v>34</v>
      </c>
      <c r="B38" s="5">
        <v>1</v>
      </c>
      <c r="C38" s="5" t="s">
        <v>241</v>
      </c>
      <c r="D38" s="6">
        <f>IF(C38="window",0,IF(C38="short",ShortRatio,LongRatio))</f>
        <v>4</v>
      </c>
      <c r="E38" s="4" t="str">
        <f>IF(B38=0,"inactive",IF(C38="window","raw sliding window",IF(C38="short","compressed KV + Indexer Top-K","deterministic compressed KV")))</f>
        <v>compressed KV + Indexer Top-K</v>
      </c>
      <c r="F38" s="4" t="str">
        <f>IF(B38=0,"inactive",IF(A38&lt;HashLayers,"hash","score"))</f>
        <v>score</v>
      </c>
    </row>
    <row r="39" spans="1:6">
      <c r="A39" s="9">
        <v>35</v>
      </c>
      <c r="B39" s="5">
        <v>1</v>
      </c>
      <c r="C39" s="5" t="s">
        <v>242</v>
      </c>
      <c r="D39" s="6">
        <f>IF(C39="window",0,IF(C39="short",ShortRatio,LongRatio))</f>
        <v>128</v>
      </c>
      <c r="E39" s="4" t="str">
        <f>IF(B39=0,"inactive",IF(C39="window","raw sliding window",IF(C39="short","compressed KV + Indexer Top-K","deterministic compressed KV")))</f>
        <v>deterministic compressed KV</v>
      </c>
      <c r="F39" s="4" t="str">
        <f>IF(B39=0,"inactive",IF(A39&lt;HashLayers,"hash","score"))</f>
        <v>score</v>
      </c>
    </row>
    <row r="40" spans="1:6">
      <c r="A40" s="9">
        <v>36</v>
      </c>
      <c r="B40" s="5">
        <v>1</v>
      </c>
      <c r="C40" s="5" t="s">
        <v>241</v>
      </c>
      <c r="D40" s="6">
        <f>IF(C40="window",0,IF(C40="short",ShortRatio,LongRatio))</f>
        <v>4</v>
      </c>
      <c r="E40" s="4" t="str">
        <f>IF(B40=0,"inactive",IF(C40="window","raw sliding window",IF(C40="short","compressed KV + Indexer Top-K","deterministic compressed KV")))</f>
        <v>compressed KV + Indexer Top-K</v>
      </c>
      <c r="F40" s="4" t="str">
        <f>IF(B40=0,"inactive",IF(A40&lt;HashLayers,"hash","score"))</f>
        <v>score</v>
      </c>
    </row>
    <row r="41" spans="1:6">
      <c r="A41" s="9">
        <v>37</v>
      </c>
      <c r="B41" s="5">
        <v>1</v>
      </c>
      <c r="C41" s="5" t="s">
        <v>242</v>
      </c>
      <c r="D41" s="6">
        <f>IF(C41="window",0,IF(C41="short",ShortRatio,LongRatio))</f>
        <v>128</v>
      </c>
      <c r="E41" s="4" t="str">
        <f>IF(B41=0,"inactive",IF(C41="window","raw sliding window",IF(C41="short","compressed KV + Indexer Top-K","deterministic compressed KV")))</f>
        <v>deterministic compressed KV</v>
      </c>
      <c r="F41" s="4" t="str">
        <f>IF(B41=0,"inactive",IF(A41&lt;HashLayers,"hash","score"))</f>
        <v>score</v>
      </c>
    </row>
    <row r="42" spans="1:6">
      <c r="A42" s="9">
        <v>38</v>
      </c>
      <c r="B42" s="5">
        <v>1</v>
      </c>
      <c r="C42" s="5" t="s">
        <v>241</v>
      </c>
      <c r="D42" s="6">
        <f>IF(C42="window",0,IF(C42="short",ShortRatio,LongRatio))</f>
        <v>4</v>
      </c>
      <c r="E42" s="4" t="str">
        <f>IF(B42=0,"inactive",IF(C42="window","raw sliding window",IF(C42="short","compressed KV + Indexer Top-K","deterministic compressed KV")))</f>
        <v>compressed KV + Indexer Top-K</v>
      </c>
      <c r="F42" s="4" t="str">
        <f>IF(B42=0,"inactive",IF(A42&lt;HashLayers,"hash","score"))</f>
        <v>score</v>
      </c>
    </row>
    <row r="43" spans="1:6">
      <c r="A43" s="9">
        <v>39</v>
      </c>
      <c r="B43" s="5">
        <v>1</v>
      </c>
      <c r="C43" s="5" t="s">
        <v>242</v>
      </c>
      <c r="D43" s="6">
        <f>IF(C43="window",0,IF(C43="short",ShortRatio,LongRatio))</f>
        <v>128</v>
      </c>
      <c r="E43" s="4" t="str">
        <f>IF(B43=0,"inactive",IF(C43="window","raw sliding window",IF(C43="short","compressed KV + Indexer Top-K","deterministic compressed KV")))</f>
        <v>deterministic compressed KV</v>
      </c>
      <c r="F43" s="4" t="str">
        <f>IF(B43=0,"inactive",IF(A43&lt;HashLayers,"hash","score"))</f>
        <v>score</v>
      </c>
    </row>
    <row r="44" spans="1:6">
      <c r="A44" s="9">
        <v>40</v>
      </c>
      <c r="B44" s="5">
        <v>1</v>
      </c>
      <c r="C44" s="5" t="s">
        <v>241</v>
      </c>
      <c r="D44" s="6">
        <f>IF(C44="window",0,IF(C44="short",ShortRatio,LongRatio))</f>
        <v>4</v>
      </c>
      <c r="E44" s="4" t="str">
        <f>IF(B44=0,"inactive",IF(C44="window","raw sliding window",IF(C44="short","compressed KV + Indexer Top-K","deterministic compressed KV")))</f>
        <v>compressed KV + Indexer Top-K</v>
      </c>
      <c r="F44" s="4" t="str">
        <f>IF(B44=0,"inactive",IF(A44&lt;HashLayers,"hash","score"))</f>
        <v>score</v>
      </c>
    </row>
    <row r="45" spans="1:6">
      <c r="A45" s="9">
        <v>41</v>
      </c>
      <c r="B45" s="5">
        <v>1</v>
      </c>
      <c r="C45" s="5" t="s">
        <v>242</v>
      </c>
      <c r="D45" s="6">
        <f>IF(C45="window",0,IF(C45="short",ShortRatio,LongRatio))</f>
        <v>128</v>
      </c>
      <c r="E45" s="4" t="str">
        <f>IF(B45=0,"inactive",IF(C45="window","raw sliding window",IF(C45="short","compressed KV + Indexer Top-K","deterministic compressed KV")))</f>
        <v>deterministic compressed KV</v>
      </c>
      <c r="F45" s="4" t="str">
        <f>IF(B45=0,"inactive",IF(A45&lt;HashLayers,"hash","score"))</f>
        <v>score</v>
      </c>
    </row>
    <row r="46" spans="1:6">
      <c r="A46" s="9">
        <v>42</v>
      </c>
      <c r="B46" s="5">
        <v>1</v>
      </c>
      <c r="C46" s="5" t="s">
        <v>241</v>
      </c>
      <c r="D46" s="6">
        <f>IF(C46="window",0,IF(C46="short",ShortRatio,LongRatio))</f>
        <v>4</v>
      </c>
      <c r="E46" s="4" t="str">
        <f>IF(B46=0,"inactive",IF(C46="window","raw sliding window",IF(C46="short","compressed KV + Indexer Top-K","deterministic compressed KV")))</f>
        <v>compressed KV + Indexer Top-K</v>
      </c>
      <c r="F46" s="4" t="str">
        <f>IF(B46=0,"inactive",IF(A46&lt;HashLayers,"hash","score"))</f>
        <v>score</v>
      </c>
    </row>
    <row r="47" spans="1:6">
      <c r="A47" s="9">
        <v>43</v>
      </c>
      <c r="B47" s="5">
        <v>0</v>
      </c>
      <c r="C47" s="5" t="s">
        <v>240</v>
      </c>
      <c r="D47" s="6">
        <f>IF(C47="window",0,IF(C47="short",ShortRatio,LongRatio))</f>
        <v>0</v>
      </c>
      <c r="E47" s="4" t="str">
        <f>IF(B47=0,"inactive",IF(C47="window","raw sliding window",IF(C47="short","compressed KV + Indexer Top-K","deterministic compressed KV")))</f>
        <v>inactive</v>
      </c>
      <c r="F47" s="4" t="str">
        <f>IF(B47=0,"inactive",IF(A47&lt;HashLayers,"hash","score"))</f>
        <v>inactive</v>
      </c>
    </row>
    <row r="48" spans="1:6">
      <c r="A48" s="9">
        <v>44</v>
      </c>
      <c r="B48" s="5">
        <v>0</v>
      </c>
      <c r="C48" s="5" t="s">
        <v>240</v>
      </c>
      <c r="D48" s="6">
        <f>IF(C48="window",0,IF(C48="short",ShortRatio,LongRatio))</f>
        <v>0</v>
      </c>
      <c r="E48" s="4" t="str">
        <f>IF(B48=0,"inactive",IF(C48="window","raw sliding window",IF(C48="short","compressed KV + Indexer Top-K","deterministic compressed KV")))</f>
        <v>inactive</v>
      </c>
      <c r="F48" s="4" t="str">
        <f>IF(B48=0,"inactive",IF(A48&lt;HashLayers,"hash","score"))</f>
        <v>inactive</v>
      </c>
    </row>
    <row r="49" spans="1:6">
      <c r="A49" s="9">
        <v>45</v>
      </c>
      <c r="B49" s="5">
        <v>0</v>
      </c>
      <c r="C49" s="5" t="s">
        <v>240</v>
      </c>
      <c r="D49" s="6">
        <f>IF(C49="window",0,IF(C49="short",ShortRatio,LongRatio))</f>
        <v>0</v>
      </c>
      <c r="E49" s="4" t="str">
        <f>IF(B49=0,"inactive",IF(C49="window","raw sliding window",IF(C49="short","compressed KV + Indexer Top-K","deterministic compressed KV")))</f>
        <v>inactive</v>
      </c>
      <c r="F49" s="4" t="str">
        <f>IF(B49=0,"inactive",IF(A49&lt;HashLayers,"hash","score"))</f>
        <v>inactive</v>
      </c>
    </row>
    <row r="50" spans="1:6">
      <c r="A50" s="9">
        <v>46</v>
      </c>
      <c r="B50" s="5">
        <v>0</v>
      </c>
      <c r="C50" s="5" t="s">
        <v>240</v>
      </c>
      <c r="D50" s="6">
        <f>IF(C50="window",0,IF(C50="short",ShortRatio,LongRatio))</f>
        <v>0</v>
      </c>
      <c r="E50" s="4" t="str">
        <f>IF(B50=0,"inactive",IF(C50="window","raw sliding window",IF(C50="short","compressed KV + Indexer Top-K","deterministic compressed KV")))</f>
        <v>inactive</v>
      </c>
      <c r="F50" s="4" t="str">
        <f>IF(B50=0,"inactive",IF(A50&lt;HashLayers,"hash","score"))</f>
        <v>inactive</v>
      </c>
    </row>
    <row r="51" spans="1:6">
      <c r="A51" s="9">
        <v>47</v>
      </c>
      <c r="B51" s="5">
        <v>0</v>
      </c>
      <c r="C51" s="5" t="s">
        <v>240</v>
      </c>
      <c r="D51" s="6">
        <f>IF(C51="window",0,IF(C51="short",ShortRatio,LongRatio))</f>
        <v>0</v>
      </c>
      <c r="E51" s="4" t="str">
        <f>IF(B51=0,"inactive",IF(C51="window","raw sliding window",IF(C51="short","compressed KV + Indexer Top-K","deterministic compressed KV")))</f>
        <v>inactive</v>
      </c>
      <c r="F51" s="4" t="str">
        <f>IF(B51=0,"inactive",IF(A51&lt;HashLayers,"hash","score"))</f>
        <v>inactive</v>
      </c>
    </row>
    <row r="52" spans="1:6">
      <c r="A52" s="9">
        <v>48</v>
      </c>
      <c r="B52" s="5">
        <v>0</v>
      </c>
      <c r="C52" s="5" t="s">
        <v>240</v>
      </c>
      <c r="D52" s="6">
        <f>IF(C52="window",0,IF(C52="short",ShortRatio,LongRatio))</f>
        <v>0</v>
      </c>
      <c r="E52" s="4" t="str">
        <f>IF(B52=0,"inactive",IF(C52="window","raw sliding window",IF(C52="short","compressed KV + Indexer Top-K","deterministic compressed KV")))</f>
        <v>inactive</v>
      </c>
      <c r="F52" s="4" t="str">
        <f>IF(B52=0,"inactive",IF(A52&lt;HashLayers,"hash","score"))</f>
        <v>inactive</v>
      </c>
    </row>
    <row r="53" spans="1:6">
      <c r="A53" s="9">
        <v>49</v>
      </c>
      <c r="B53" s="5">
        <v>0</v>
      </c>
      <c r="C53" s="5" t="s">
        <v>240</v>
      </c>
      <c r="D53" s="6">
        <f>IF(C53="window",0,IF(C53="short",ShortRatio,LongRatio))</f>
        <v>0</v>
      </c>
      <c r="E53" s="4" t="str">
        <f>IF(B53=0,"inactive",IF(C53="window","raw sliding window",IF(C53="short","compressed KV + Indexer Top-K","deterministic compressed KV")))</f>
        <v>inactive</v>
      </c>
      <c r="F53" s="4" t="str">
        <f>IF(B53=0,"inactive",IF(A53&lt;HashLayers,"hash","score"))</f>
        <v>inactive</v>
      </c>
    </row>
    <row r="54" spans="1:6">
      <c r="A54" s="9">
        <v>50</v>
      </c>
      <c r="B54" s="5">
        <v>0</v>
      </c>
      <c r="C54" s="5" t="s">
        <v>240</v>
      </c>
      <c r="D54" s="6">
        <f>IF(C54="window",0,IF(C54="short",ShortRatio,LongRatio))</f>
        <v>0</v>
      </c>
      <c r="E54" s="4" t="str">
        <f>IF(B54=0,"inactive",IF(C54="window","raw sliding window",IF(C54="short","compressed KV + Indexer Top-K","deterministic compressed KV")))</f>
        <v>inactive</v>
      </c>
      <c r="F54" s="4" t="str">
        <f>IF(B54=0,"inactive",IF(A54&lt;HashLayers,"hash","score"))</f>
        <v>inactive</v>
      </c>
    </row>
    <row r="55" spans="1:6">
      <c r="A55" s="9">
        <v>51</v>
      </c>
      <c r="B55" s="5">
        <v>0</v>
      </c>
      <c r="C55" s="5" t="s">
        <v>240</v>
      </c>
      <c r="D55" s="6">
        <f>IF(C55="window",0,IF(C55="short",ShortRatio,LongRatio))</f>
        <v>0</v>
      </c>
      <c r="E55" s="4" t="str">
        <f>IF(B55=0,"inactive",IF(C55="window","raw sliding window",IF(C55="short","compressed KV + Indexer Top-K","deterministic compressed KV")))</f>
        <v>inactive</v>
      </c>
      <c r="F55" s="4" t="str">
        <f>IF(B55=0,"inactive",IF(A55&lt;HashLayers,"hash","score"))</f>
        <v>inactive</v>
      </c>
    </row>
    <row r="56" spans="1:6">
      <c r="A56" s="9">
        <v>52</v>
      </c>
      <c r="B56" s="5">
        <v>0</v>
      </c>
      <c r="C56" s="5" t="s">
        <v>240</v>
      </c>
      <c r="D56" s="6">
        <f>IF(C56="window",0,IF(C56="short",ShortRatio,LongRatio))</f>
        <v>0</v>
      </c>
      <c r="E56" s="4" t="str">
        <f>IF(B56=0,"inactive",IF(C56="window","raw sliding window",IF(C56="short","compressed KV + Indexer Top-K","deterministic compressed KV")))</f>
        <v>inactive</v>
      </c>
      <c r="F56" s="4" t="str">
        <f>IF(B56=0,"inactive",IF(A56&lt;HashLayers,"hash","score"))</f>
        <v>inactive</v>
      </c>
    </row>
    <row r="57" spans="1:6">
      <c r="A57" s="9">
        <v>53</v>
      </c>
      <c r="B57" s="5">
        <v>0</v>
      </c>
      <c r="C57" s="5" t="s">
        <v>240</v>
      </c>
      <c r="D57" s="6">
        <f>IF(C57="window",0,IF(C57="short",ShortRatio,LongRatio))</f>
        <v>0</v>
      </c>
      <c r="E57" s="4" t="str">
        <f>IF(B57=0,"inactive",IF(C57="window","raw sliding window",IF(C57="short","compressed KV + Indexer Top-K","deterministic compressed KV")))</f>
        <v>inactive</v>
      </c>
      <c r="F57" s="4" t="str">
        <f>IF(B57=0,"inactive",IF(A57&lt;HashLayers,"hash","score"))</f>
        <v>inactive</v>
      </c>
    </row>
    <row r="58" spans="1:6">
      <c r="A58" s="9">
        <v>54</v>
      </c>
      <c r="B58" s="5">
        <v>0</v>
      </c>
      <c r="C58" s="5" t="s">
        <v>240</v>
      </c>
      <c r="D58" s="6">
        <f>IF(C58="window",0,IF(C58="short",ShortRatio,LongRatio))</f>
        <v>0</v>
      </c>
      <c r="E58" s="4" t="str">
        <f>IF(B58=0,"inactive",IF(C58="window","raw sliding window",IF(C58="short","compressed KV + Indexer Top-K","deterministic compressed KV")))</f>
        <v>inactive</v>
      </c>
      <c r="F58" s="4" t="str">
        <f>IF(B58=0,"inactive",IF(A58&lt;HashLayers,"hash","score"))</f>
        <v>inactive</v>
      </c>
    </row>
    <row r="59" spans="1:6">
      <c r="A59" s="9">
        <v>55</v>
      </c>
      <c r="B59" s="5">
        <v>0</v>
      </c>
      <c r="C59" s="5" t="s">
        <v>240</v>
      </c>
      <c r="D59" s="6">
        <f>IF(C59="window",0,IF(C59="short",ShortRatio,LongRatio))</f>
        <v>0</v>
      </c>
      <c r="E59" s="4" t="str">
        <f>IF(B59=0,"inactive",IF(C59="window","raw sliding window",IF(C59="short","compressed KV + Indexer Top-K","deterministic compressed KV")))</f>
        <v>inactive</v>
      </c>
      <c r="F59" s="4" t="str">
        <f>IF(B59=0,"inactive",IF(A59&lt;HashLayers,"hash","score"))</f>
        <v>inactive</v>
      </c>
    </row>
    <row r="60" spans="1:6">
      <c r="A60" s="9">
        <v>56</v>
      </c>
      <c r="B60" s="5">
        <v>0</v>
      </c>
      <c r="C60" s="5" t="s">
        <v>240</v>
      </c>
      <c r="D60" s="6">
        <f>IF(C60="window",0,IF(C60="short",ShortRatio,LongRatio))</f>
        <v>0</v>
      </c>
      <c r="E60" s="4" t="str">
        <f>IF(B60=0,"inactive",IF(C60="window","raw sliding window",IF(C60="short","compressed KV + Indexer Top-K","deterministic compressed KV")))</f>
        <v>inactive</v>
      </c>
      <c r="F60" s="4" t="str">
        <f>IF(B60=0,"inactive",IF(A60&lt;HashLayers,"hash","score"))</f>
        <v>inactive</v>
      </c>
    </row>
    <row r="61" spans="1:6">
      <c r="A61" s="9">
        <v>57</v>
      </c>
      <c r="B61" s="5">
        <v>0</v>
      </c>
      <c r="C61" s="5" t="s">
        <v>240</v>
      </c>
      <c r="D61" s="6">
        <f>IF(C61="window",0,IF(C61="short",ShortRatio,LongRatio))</f>
        <v>0</v>
      </c>
      <c r="E61" s="4" t="str">
        <f>IF(B61=0,"inactive",IF(C61="window","raw sliding window",IF(C61="short","compressed KV + Indexer Top-K","deterministic compressed KV")))</f>
        <v>inactive</v>
      </c>
      <c r="F61" s="4" t="str">
        <f>IF(B61=0,"inactive",IF(A61&lt;HashLayers,"hash","score"))</f>
        <v>inactive</v>
      </c>
    </row>
    <row r="62" spans="1:6">
      <c r="A62" s="9">
        <v>58</v>
      </c>
      <c r="B62" s="5">
        <v>0</v>
      </c>
      <c r="C62" s="5" t="s">
        <v>240</v>
      </c>
      <c r="D62" s="6">
        <f>IF(C62="window",0,IF(C62="short",ShortRatio,LongRatio))</f>
        <v>0</v>
      </c>
      <c r="E62" s="4" t="str">
        <f>IF(B62=0,"inactive",IF(C62="window","raw sliding window",IF(C62="short","compressed KV + Indexer Top-K","deterministic compressed KV")))</f>
        <v>inactive</v>
      </c>
      <c r="F62" s="4" t="str">
        <f>IF(B62=0,"inactive",IF(A62&lt;HashLayers,"hash","score"))</f>
        <v>inactive</v>
      </c>
    </row>
    <row r="63" spans="1:6">
      <c r="A63" s="9">
        <v>59</v>
      </c>
      <c r="B63" s="5">
        <v>0</v>
      </c>
      <c r="C63" s="5" t="s">
        <v>240</v>
      </c>
      <c r="D63" s="6">
        <f>IF(C63="window",0,IF(C63="short",ShortRatio,LongRatio))</f>
        <v>0</v>
      </c>
      <c r="E63" s="4" t="str">
        <f>IF(B63=0,"inactive",IF(C63="window","raw sliding window",IF(C63="short","compressed KV + Indexer Top-K","deterministic compressed KV")))</f>
        <v>inactive</v>
      </c>
      <c r="F63" s="4" t="str">
        <f>IF(B63=0,"inactive",IF(A63&lt;HashLayers,"hash","score"))</f>
        <v>inactive</v>
      </c>
    </row>
    <row r="64" spans="1:6">
      <c r="A64" s="9">
        <v>60</v>
      </c>
      <c r="B64" s="5">
        <v>0</v>
      </c>
      <c r="C64" s="5" t="s">
        <v>240</v>
      </c>
      <c r="D64" s="6">
        <f>IF(C64="window",0,IF(C64="short",ShortRatio,LongRatio))</f>
        <v>0</v>
      </c>
      <c r="E64" s="4" t="str">
        <f>IF(B64=0,"inactive",IF(C64="window","raw sliding window",IF(C64="short","compressed KV + Indexer Top-K","deterministic compressed KV")))</f>
        <v>inactive</v>
      </c>
      <c r="F64" s="4" t="str">
        <f>IF(B64=0,"inactive",IF(A64&lt;HashLayers,"hash","score"))</f>
        <v>inactive</v>
      </c>
    </row>
    <row r="65" spans="1:6">
      <c r="A65" s="9">
        <v>61</v>
      </c>
      <c r="B65" s="5">
        <v>0</v>
      </c>
      <c r="C65" s="5" t="s">
        <v>240</v>
      </c>
      <c r="D65" s="6">
        <f>IF(C65="window",0,IF(C65="short",ShortRatio,LongRatio))</f>
        <v>0</v>
      </c>
      <c r="E65" s="4" t="str">
        <f>IF(B65=0,"inactive",IF(C65="window","raw sliding window",IF(C65="short","compressed KV + Indexer Top-K","deterministic compressed KV")))</f>
        <v>inactive</v>
      </c>
      <c r="F65" s="4" t="str">
        <f>IF(B65=0,"inactive",IF(A65&lt;HashLayers,"hash","score"))</f>
        <v>inactive</v>
      </c>
    </row>
    <row r="66" spans="1:6">
      <c r="A66" s="9">
        <v>62</v>
      </c>
      <c r="B66" s="5">
        <v>0</v>
      </c>
      <c r="C66" s="5" t="s">
        <v>240</v>
      </c>
      <c r="D66" s="6">
        <f>IF(C66="window",0,IF(C66="short",ShortRatio,LongRatio))</f>
        <v>0</v>
      </c>
      <c r="E66" s="4" t="str">
        <f>IF(B66=0,"inactive",IF(C66="window","raw sliding window",IF(C66="short","compressed KV + Indexer Top-K","deterministic compressed KV")))</f>
        <v>inactive</v>
      </c>
      <c r="F66" s="4" t="str">
        <f>IF(B66=0,"inactive",IF(A66&lt;HashLayers,"hash","score"))</f>
        <v>inactive</v>
      </c>
    </row>
    <row r="67" spans="1:6">
      <c r="A67" s="9">
        <v>63</v>
      </c>
      <c r="B67" s="5">
        <v>0</v>
      </c>
      <c r="C67" s="5" t="s">
        <v>240</v>
      </c>
      <c r="D67" s="6">
        <f>IF(C67="window",0,IF(C67="short",ShortRatio,LongRatio))</f>
        <v>0</v>
      </c>
      <c r="E67" s="4" t="str">
        <f>IF(B67=0,"inactive",IF(C67="window","raw sliding window",IF(C67="short","compressed KV + Indexer Top-K","deterministic compressed KV")))</f>
        <v>inactive</v>
      </c>
      <c r="F67" s="4" t="str">
        <f>IF(B67=0,"inactive",IF(A67&lt;HashLayers,"hash","score"))</f>
        <v>inactive</v>
      </c>
    </row>
  </sheetData>
  <autoFilter ref="A3:F67"/>
  <dataValidations count="2">
    <dataValidation type="list" allowBlank="1" showInputMessage="1" showErrorMessage="1" sqref="B4:B67">
      <formula1>"0,1"</formula1>
    </dataValidation>
    <dataValidation type="list" allowBlank="1" showInputMessage="1" showErrorMessage="1" sqref="C4:C67">
      <formula1>"window,short,long"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F44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23.7109375" customWidth="1"/>
    <col min="2" max="2" width="64.7109375" customWidth="1"/>
    <col min="3" max="3" width="24.7109375" customWidth="1"/>
    <col min="4" max="5" width="52.7109375" customWidth="1"/>
    <col min="6" max="16" width="16.7109375" customWidth="1"/>
    <col min="17" max="18" width="13.7109375" customWidth="1"/>
    <col min="19" max="19" width="60.7109375" customWidth="1"/>
    <col min="20" max="32" width="0" hidden="1" customWidth="1"/>
  </cols>
  <sheetData>
    <row r="1" spans="1:32">
      <c r="A1" s="1" t="s">
        <v>243</v>
      </c>
    </row>
    <row r="2" spans="1:32">
      <c r="A2" s="2" t="s">
        <v>244</v>
      </c>
    </row>
    <row r="3" spans="1:32">
      <c r="A3" s="3" t="s">
        <v>245</v>
      </c>
      <c r="B3" s="3" t="s">
        <v>246</v>
      </c>
      <c r="C3" s="3" t="s">
        <v>5</v>
      </c>
      <c r="D3" s="3" t="s">
        <v>6</v>
      </c>
    </row>
    <row r="4" spans="1:32">
      <c r="A4" s="4" t="s">
        <v>247</v>
      </c>
      <c r="B4" s="10" t="s">
        <v>248</v>
      </c>
      <c r="C4" s="6">
        <f>PrefillBatch*PrefillSequence</f>
        <v>8192</v>
      </c>
      <c r="D4" s="11" t="s">
        <v>249</v>
      </c>
    </row>
    <row r="5" spans="1:32">
      <c r="A5" s="4" t="s">
        <v>250</v>
      </c>
      <c r="B5" s="10" t="s">
        <v>251</v>
      </c>
      <c r="C5" s="6">
        <f>IF(PrefillSequence&lt;=WindowSize,PrefillSequence*(PrefillSequence+1)/2,WindowSize*(WindowSize+1)/2+(PrefillSequence-WindowSize)*WindowSize)</f>
        <v>1040448</v>
      </c>
      <c r="D5" s="11" t="s">
        <v>252</v>
      </c>
    </row>
    <row r="6" spans="1:32">
      <c r="A6" s="4" t="s">
        <v>253</v>
      </c>
      <c r="B6" s="10" t="s">
        <v>254</v>
      </c>
      <c r="C6" s="6">
        <f>IF(PrefillSequence&lt;IndexTopK*ShortRatio,ShortRatio*INT(PrefillSequence/ShortRatio)*(INT(PrefillSequence/ShortRatio)-1)/2+INT(PrefillSequence/ShortRatio)*(MOD(PrefillSequence,ShortRatio)+1),ShortRatio*IndexTopK*(IndexTopK-1)/2+(PrefillSequence-IndexTopK*ShortRatio+1)*IndexTopK)</f>
        <v>3669504</v>
      </c>
      <c r="D6" s="11" t="s">
        <v>252</v>
      </c>
    </row>
    <row r="7" spans="1:32">
      <c r="A7" s="4" t="s">
        <v>255</v>
      </c>
      <c r="B7" s="10" t="s">
        <v>256</v>
      </c>
      <c r="C7" s="6">
        <f>LongRatio*INT(PrefillSequence/LongRatio)*(INT(PrefillSequence/LongRatio)-1)/2+INT(PrefillSequence/LongRatio)*(MOD(PrefillSequence,LongRatio)+1)</f>
        <v>258112</v>
      </c>
      <c r="D7" s="11" t="s">
        <v>252</v>
      </c>
    </row>
    <row r="8" spans="1:32">
      <c r="A8" s="4" t="s">
        <v>257</v>
      </c>
      <c r="B8" s="10" t="s">
        <v>258</v>
      </c>
      <c r="C8" s="6">
        <f>ShortRatio*INT(PrefillSequence/ShortRatio)*(INT(PrefillSequence/ShortRatio)-1)/2+INT(PrefillSequence/ShortRatio)*(MOD(PrefillSequence,ShortRatio)+1)</f>
        <v>8386560</v>
      </c>
      <c r="D8" s="11" t="s">
        <v>252</v>
      </c>
    </row>
    <row r="9" spans="1:32">
      <c r="A9" s="4" t="s">
        <v>259</v>
      </c>
      <c r="B9" s="10" t="s">
        <v>260</v>
      </c>
      <c r="C9" s="6">
        <f>1-(1-ActivatedExperts/RoutedExperts)^PF_Rows</f>
        <v>1.0</v>
      </c>
      <c r="D9" s="11" t="s">
        <v>261</v>
      </c>
    </row>
    <row r="11" spans="1:32">
      <c r="A11" s="7" t="s">
        <v>338</v>
      </c>
      <c r="B11" s="7"/>
      <c r="C11" s="7"/>
      <c r="D11" s="7"/>
      <c r="E11" s="7"/>
      <c r="F11" s="7"/>
    </row>
    <row r="12" spans="1:32">
      <c r="A12" s="3" t="s">
        <v>339</v>
      </c>
      <c r="B12" s="3" t="s">
        <v>246</v>
      </c>
      <c r="C12" s="3" t="s">
        <v>340</v>
      </c>
      <c r="D12" s="3" t="s">
        <v>6</v>
      </c>
      <c r="E12" s="3" t="s">
        <v>341</v>
      </c>
      <c r="F12" s="3" t="s">
        <v>6</v>
      </c>
    </row>
    <row r="13" spans="1:32">
      <c r="A13" s="4" t="s">
        <v>342</v>
      </c>
      <c r="B13" s="10" t="s">
        <v>343</v>
      </c>
      <c r="C13" s="12">
        <f>IF(ABS(AE13)&gt;=1E15,AE13/1E15,IF(ABS(AE13)&gt;=1E12,AE13/1E12,IF(ABS(AE13)&gt;=1E9,AE13/1E9,IF(ABS(AE13)&gt;=1E6,AE13/1E6,AE13))))</f>
        <v>102.836037746688</v>
      </c>
      <c r="D13" s="11" t="str">
        <f>IF(ABS(AE13)&gt;=1E15,"PFLOPs",IF(ABS(AE13)&gt;=1E12,"TFLOPs",IF(ABS(AE13)&gt;=1E9,"GFLOPs",IF(ABS(AE13)&gt;=1E6,"MFLOPs","flops"))))</f>
        <v>TFLOPs</v>
      </c>
      <c r="E13" s="12">
        <f>IF(ABS(AF13)&gt;=1E15,AF13/1E15,IF(ABS(AF13)&gt;=1E12,AF13/1E12,IF(ABS(AF13)&gt;=1E9,AF13/1E9,IF(ABS(AF13)&gt;=1E6,AF13/1E6,AF13))))</f>
        <v>23.172382457856</v>
      </c>
      <c r="F13" s="11" t="str">
        <f>IF(ABS(AF13)&gt;=1E15,"PFLOPs",IF(ABS(AF13)&gt;=1E12,"TFLOPs",IF(ABS(AF13)&gt;=1E9,"GFLOPs",IF(ABS(AF13)&gt;=1E6,"MFLOPs","flops"))))</f>
        <v>TFLOPs</v>
      </c>
      <c r="AE13" s="13">
        <f>SUMIFS($U$33:$U$44,$A$33:$A$44,"Attention",$R$33:$R$44,"Major")</f>
        <v>102836037746688.0</v>
      </c>
      <c r="AF13" s="13">
        <f>SUMIFS($V$33:$V$44,$A$33:$A$44,"Attention",$R$33:$R$44,"Major")</f>
        <v>23172382457856.0</v>
      </c>
    </row>
    <row r="14" spans="1:32">
      <c r="A14" s="4" t="s">
        <v>344</v>
      </c>
      <c r="B14" s="10" t="s">
        <v>345</v>
      </c>
      <c r="C14" s="12">
        <f>IF(ABS(AE14)&gt;=1E15,AE14/1E15,IF(ABS(AE14)&gt;=1E12,AE14/1E12,IF(ABS(AE14)&gt;=1E9,AE14/1E9,IF(ABS(AE14)&gt;=1E6,AE14/1E6,AE14))))</f>
        <v>124.846109360128</v>
      </c>
      <c r="D14" s="11" t="str">
        <f>IF(ABS(AE14)&gt;=1E15,"PFLOPs",IF(ABS(AE14)&gt;=1E12,"TFLOPs",IF(ABS(AE14)&gt;=1E9,"GFLOPs",IF(ABS(AE14)&gt;=1E6,"MFLOPs","flops"))))</f>
        <v>TFLOPs</v>
      </c>
      <c r="E14" s="12">
        <f>IF(ABS(AF14)&gt;=1E15,AF14/1E15,IF(ABS(AF14)&gt;=1E12,AF14/1E12,IF(ABS(AF14)&gt;=1E9,AF14/1E9,IF(ABS(AF14)&gt;=1E6,AF14/1E6,AF14))))</f>
        <v>31.765578121216</v>
      </c>
      <c r="F14" s="11" t="str">
        <f>IF(ABS(AF14)&gt;=1E15,"PFLOPs",IF(ABS(AF14)&gt;=1E12,"TFLOPs",IF(ABS(AF14)&gt;=1E9,"GFLOPs",IF(ABS(AF14)&gt;=1E6,"MFLOPs","flops"))))</f>
        <v>TFLOPs</v>
      </c>
      <c r="AE14" s="13">
        <f>SUMIFS($U$33:$U$44,$A$33:$A$44,"MoE",$R$33:$R$44,"Major")</f>
        <v>124846109360128.0</v>
      </c>
      <c r="AF14" s="13">
        <f>SUMIFS($V$33:$V$44,$A$33:$A$44,"MoE",$R$33:$R$44,"Major")</f>
        <v>31765578121216.0</v>
      </c>
    </row>
    <row r="15" spans="1:32">
      <c r="A15" s="4" t="s">
        <v>346</v>
      </c>
      <c r="B15" s="10" t="s">
        <v>347</v>
      </c>
      <c r="C15" s="12">
        <f>IF(ABS(AE15)&gt;=1E15,AE15/1E15,IF(ABS(AE15)&gt;=1E12,AE15/1E12,IF(ABS(AE15)&gt;=1E9,AE15/1E9,IF(ABS(AE15)&gt;=1E6,AE15/1E6,AE15))))</f>
        <v>702.280286208</v>
      </c>
      <c r="D15" s="11" t="str">
        <f>IF(ABS(AE15)&gt;=1E15,"PFLOPs",IF(ABS(AE15)&gt;=1E12,"TFLOPs",IF(ABS(AE15)&gt;=1E9,"GFLOPs",IF(ABS(AE15)&gt;=1E6,"MFLOPs","flops"))))</f>
        <v>GFLOPs</v>
      </c>
      <c r="E15" s="12">
        <f>IF(ABS(AF15)&gt;=1E15,AF15/1E15,IF(ABS(AF15)&gt;=1E12,AF15/1E12,IF(ABS(AF15)&gt;=1E9,AF15/1E9,IF(ABS(AF15)&gt;=1E6,AF15/1E6,AF15))))</f>
        <v>701.353607168</v>
      </c>
      <c r="F15" s="11" t="str">
        <f>IF(ABS(AF15)&gt;=1E15,"PFLOPs",IF(ABS(AF15)&gt;=1E12,"TFLOPs",IF(ABS(AF15)&gt;=1E9,"GFLOPs",IF(ABS(AF15)&gt;=1E6,"MFLOPs","flops"))))</f>
        <v>GFLOPs</v>
      </c>
      <c r="AE15" s="13">
        <f>SUMIF($A$33:$A$44,"Other",$U$33:$U$44)</f>
        <v>702280286208.0</v>
      </c>
      <c r="AF15" s="13">
        <f>SUMIF($A$33:$A$44,"Other",$V$33:$V$44)</f>
        <v>701353607168.0</v>
      </c>
    </row>
    <row r="16" spans="1:32">
      <c r="A16" s="4" t="s">
        <v>348</v>
      </c>
      <c r="B16" s="10" t="s">
        <v>349</v>
      </c>
      <c r="C16" s="14">
        <f>IF(ABS(AE16)&gt;=1E15,AE16/1E15,IF(ABS(AE16)&gt;=1E12,AE16/1E12,IF(ABS(AE16)&gt;=1E9,AE16/1E9,IF(ABS(AE16)&gt;=1E6,AE16/1E6,AE16))))</f>
        <v>228.384427393024</v>
      </c>
      <c r="D16" s="11" t="str">
        <f>IF(ABS(AE16)&gt;=1E15,"PFLOPs",IF(ABS(AE16)&gt;=1E12,"TFLOPs",IF(ABS(AE16)&gt;=1E9,"GFLOPs",IF(ABS(AE16)&gt;=1E6,"MFLOPs","flops"))))</f>
        <v>TFLOPs</v>
      </c>
      <c r="E16" s="14">
        <f>IF(ABS(AF16)&gt;=1E15,AF16/1E15,IF(ABS(AF16)&gt;=1E12,AF16/1E12,IF(ABS(AF16)&gt;=1E9,AF16/1E9,IF(ABS(AF16)&gt;=1E6,AF16/1E6,AF16))))</f>
        <v>55.63931418624</v>
      </c>
      <c r="F16" s="11" t="str">
        <f>IF(ABS(AF16)&gt;=1E15,"PFLOPs",IF(ABS(AF16)&gt;=1E12,"TFLOPs",IF(ABS(AF16)&gt;=1E9,"GFLOPs",IF(ABS(AF16)&gt;=1E6,"MFLOPs","flops"))))</f>
        <v>TFLOPs</v>
      </c>
      <c r="AE16" s="13">
        <f>SUM($U$33:$U$44)</f>
        <v>228384427393024.0</v>
      </c>
      <c r="AF16" s="13">
        <f>SUM($V$33:$V$44)</f>
        <v>55639314186240.0</v>
      </c>
    </row>
    <row r="17" spans="1:32">
      <c r="A17" s="4" t="s">
        <v>350</v>
      </c>
      <c r="B17" s="10" t="s">
        <v>351</v>
      </c>
      <c r="C17" s="12">
        <f>IF(ABS(AE17)&gt;=1E12,AE17/1E12,IF(ABS(AE17)&gt;=1E9,AE17/1E9,IF(ABS(AE17)&gt;=1E6,AE17/1E6,IF(ABS(AE17)&gt;=1E3,AE17/1E3,AE17))))</f>
        <v>358.0378144</v>
      </c>
      <c r="D17" s="11" t="str">
        <f>IF(ABS(AE17)&gt;=1E12,"TB",IF(ABS(AE17)&gt;=1E9,"GB",IF(ABS(AE17)&gt;=1E6,"MB",IF(ABS(AE17)&gt;=1E3,"KB","bytes"))))</f>
        <v>GB</v>
      </c>
      <c r="E17" s="12">
        <f>IF(ABS(AF17)&gt;=1E12,AF17/1E12,IF(ABS(AF17)&gt;=1E9,AF17/1E9,IF(ABS(AF17)&gt;=1E6,AF17/1E6,IF(ABS(AF17)&gt;=1E3,AF17/1E3,AF17))))</f>
        <v>231.531806144</v>
      </c>
      <c r="F17" s="11" t="str">
        <f>IF(ABS(AF17)&gt;=1E12,"TB",IF(ABS(AF17)&gt;=1E9,"GB",IF(ABS(AF17)&gt;=1E6,"MB",IF(ABS(AF17)&gt;=1E3,"KB","bytes"))))</f>
        <v>GB</v>
      </c>
      <c r="AE17" s="13">
        <f>SUMIF($A$33:$A$44,"Attention",$W$33:$W$44)+SUMIF($A$33:$A$44,"Attention",$X$33:$X$44)</f>
        <v>358037814400.0</v>
      </c>
      <c r="AF17" s="13">
        <f>SUMIF($A$33:$A$44,"Attention",$Y$33:$Y$44)+SUMIF($A$33:$A$44,"Attention",$Z$33:$Z$44)</f>
        <v>231531806144.0</v>
      </c>
    </row>
    <row r="18" spans="1:32">
      <c r="A18" s="4" t="s">
        <v>352</v>
      </c>
      <c r="B18" s="10" t="s">
        <v>353</v>
      </c>
      <c r="C18" s="12">
        <f>IF(ABS(AE18)&gt;=1E12,AE18/1E12,IF(ABS(AE18)&gt;=1E9,AE18/1E9,IF(ABS(AE18)&gt;=1E6,AE18/1E6,IF(ABS(AE18)&gt;=1E3,AE18/1E3,AE18))))</f>
        <v>191.988670976</v>
      </c>
      <c r="D18" s="11" t="str">
        <f>IF(ABS(AE18)&gt;=1E12,"TB",IF(ABS(AE18)&gt;=1E9,"GB",IF(ABS(AE18)&gt;=1E6,"MB",IF(ABS(AE18)&gt;=1E3,"KB","bytes"))))</f>
        <v>GB</v>
      </c>
      <c r="E18" s="12">
        <f>IF(ABS(AF18)&gt;=1E12,AF18/1E12,IF(ABS(AF18)&gt;=1E9,AF18/1E9,IF(ABS(AF18)&gt;=1E6,AF18/1E6,IF(ABS(AF18)&gt;=1E3,AF18/1E3,AF18))))</f>
        <v>32.915497472</v>
      </c>
      <c r="F18" s="11" t="str">
        <f>IF(ABS(AF18)&gt;=1E12,"TB",IF(ABS(AF18)&gt;=1E9,"GB",IF(ABS(AF18)&gt;=1E6,"MB",IF(ABS(AF18)&gt;=1E3,"KB","bytes"))))</f>
        <v>GB</v>
      </c>
      <c r="AE18" s="13">
        <f>SUMIF($A$33:$A$44,"MoE",$W$33:$W$44)+SUMIF($A$33:$A$44,"MoE",$X$33:$X$44)</f>
        <v>191988670976.0</v>
      </c>
      <c r="AF18" s="13">
        <f>SUMIF($A$33:$A$44,"MoE",$Y$33:$Y$44)+SUMIF($A$33:$A$44,"MoE",$Z$33:$Z$44)</f>
        <v>32915497472.0</v>
      </c>
    </row>
    <row r="19" spans="1:32">
      <c r="A19" s="4" t="s">
        <v>354</v>
      </c>
      <c r="B19" s="10" t="s">
        <v>355</v>
      </c>
      <c r="C19" s="12">
        <f>IF(ABS(AE19)&gt;=1E12,AE19/1E12,IF(ABS(AE19)&gt;=1E9,AE19/1E9,IF(ABS(AE19)&gt;=1E6,AE19/1E6,IF(ABS(AE19)&gt;=1E3,AE19/1E3,AE19))))</f>
        <v>94.59572948</v>
      </c>
      <c r="D19" s="11" t="str">
        <f>IF(ABS(AE19)&gt;=1E12,"TB",IF(ABS(AE19)&gt;=1E9,"GB",IF(ABS(AE19)&gt;=1E6,"MB",IF(ABS(AE19)&gt;=1E3,"KB","bytes"))))</f>
        <v>GB</v>
      </c>
      <c r="E19" s="12">
        <f>IF(ABS(AF19)&gt;=1E12,AF19/1E12,IF(ABS(AF19)&gt;=1E9,AF19/1E9,IF(ABS(AF19)&gt;=1E6,AF19/1E6,IF(ABS(AF19)&gt;=1E3,AF19/1E3,AF19))))</f>
        <v>92.74191892</v>
      </c>
      <c r="F19" s="11" t="str">
        <f>IF(ABS(AF19)&gt;=1E12,"TB",IF(ABS(AF19)&gt;=1E9,"GB",IF(ABS(AF19)&gt;=1E6,"MB",IF(ABS(AF19)&gt;=1E3,"KB","bytes"))))</f>
        <v>GB</v>
      </c>
      <c r="AE19" s="13">
        <f>SUMIF($A$33:$A$44,"Other",$W$33:$W$44)+SUMIF($A$33:$A$44,"Other",$X$33:$X$44)</f>
        <v>94595729480.0</v>
      </c>
      <c r="AF19" s="13">
        <f>SUMIF($A$33:$A$44,"Other",$Y$33:$Y$44)+SUMIF($A$33:$A$44,"Other",$Z$33:$Z$44)</f>
        <v>92741918920.0</v>
      </c>
    </row>
    <row r="20" spans="1:32">
      <c r="A20" s="4" t="s">
        <v>356</v>
      </c>
      <c r="B20" s="10" t="s">
        <v>357</v>
      </c>
      <c r="C20" s="14">
        <f>IF(ABS(AE20)&gt;=1E12,AE20/1E12,IF(ABS(AE20)&gt;=1E9,AE20/1E9,IF(ABS(AE20)&gt;=1E6,AE20/1E6,IF(ABS(AE20)&gt;=1E3,AE20/1E3,AE20))))</f>
        <v>644.622214856</v>
      </c>
      <c r="D20" s="11" t="str">
        <f>IF(ABS(AE20)&gt;=1E12,"TB",IF(ABS(AE20)&gt;=1E9,"GB",IF(ABS(AE20)&gt;=1E6,"MB",IF(ABS(AE20)&gt;=1E3,"KB","bytes"))))</f>
        <v>GB</v>
      </c>
      <c r="E20" s="14">
        <f>IF(ABS(AF20)&gt;=1E12,AF20/1E12,IF(ABS(AF20)&gt;=1E9,AF20/1E9,IF(ABS(AF20)&gt;=1E6,AF20/1E6,IF(ABS(AF20)&gt;=1E3,AF20/1E3,AF20))))</f>
        <v>357.189222536</v>
      </c>
      <c r="F20" s="11" t="str">
        <f>IF(ABS(AF20)&gt;=1E12,"TB",IF(ABS(AF20)&gt;=1E9,"GB",IF(ABS(AF20)&gt;=1E6,"MB",IF(ABS(AF20)&gt;=1E3,"KB","bytes"))))</f>
        <v>GB</v>
      </c>
      <c r="AE20" s="13">
        <f>SUM($W$33:$X$44)</f>
        <v>644622214856.0</v>
      </c>
      <c r="AF20" s="13">
        <f>SUM($Y$33:$Z$44)</f>
        <v>357189222536.0</v>
      </c>
    </row>
    <row r="21" spans="1:32">
      <c r="A21" s="4" t="s">
        <v>358</v>
      </c>
      <c r="B21" s="10" t="s">
        <v>359</v>
      </c>
      <c r="C21" s="12">
        <f>IF(ABS(AE21)&gt;=1E12,AE21/1E12,IF(ABS(AE21)&gt;=1E9,AE21/1E9,IF(ABS(AE21)&gt;=1E6,AE21/1E6,IF(ABS(AE21)&gt;=1E3,AE21/1E3,AE21))))</f>
        <v>0.0</v>
      </c>
      <c r="D21" s="11" t="str">
        <f>IF(ABS(AE21)&gt;=1E12,"TB",IF(ABS(AE21)&gt;=1E9,"GB",IF(ABS(AE21)&gt;=1E6,"MB",IF(ABS(AE21)&gt;=1E3,"KB","bytes"))))</f>
        <v>B</v>
      </c>
      <c r="E21" s="12">
        <f>IF(ABS(AF21)&gt;=1E12,AF21/1E12,IF(ABS(AF21)&gt;=1E9,AF21/1E9,IF(ABS(AF21)&gt;=1E6,AF21/1E6,IF(ABS(AF21)&gt;=1E3,AF21/1E3,AF21))))</f>
        <v>40.635322112</v>
      </c>
      <c r="F21" s="11" t="str">
        <f>IF(ABS(AF21)&gt;=1E12,"TB",IF(ABS(AF21)&gt;=1E9,"GB",IF(ABS(AF21)&gt;=1E6,"MB",IF(ABS(AF21)&gt;=1E3,"KB","bytes"))))</f>
        <v>GB</v>
      </c>
      <c r="AE21" s="13">
        <f>SUM($AA$33:$AA$44)</f>
        <v>0.0</v>
      </c>
      <c r="AF21" s="13">
        <f>SUM($AB$33:$AB$44)</f>
        <v>40635322112.0</v>
      </c>
    </row>
    <row r="22" spans="1:32">
      <c r="A22" s="4" t="s">
        <v>360</v>
      </c>
      <c r="B22" s="10" t="s">
        <v>361</v>
      </c>
      <c r="C22" s="12">
        <f>AE22</f>
        <v>354.29189706724895</v>
      </c>
      <c r="D22" s="11" t="s">
        <v>362</v>
      </c>
      <c r="E22" s="12">
        <f>AF22</f>
        <v>155.76985719559968</v>
      </c>
      <c r="F22" s="11" t="s">
        <v>362</v>
      </c>
      <c r="AE22" s="13">
        <f>SUM($U$33:$U$44)/(SUM($W$33:$W$44)+SUM($X$33:$X$44))</f>
        <v>354.29189706724895</v>
      </c>
      <c r="AF22" s="13">
        <f>SUM($V$33:$V$44)/(SUM($Y$33:$Y$44)+SUM($Z$33:$Z$44))</f>
        <v>155.76985719559968</v>
      </c>
    </row>
    <row r="23" spans="1:32">
      <c r="A23" s="4" t="s">
        <v>363</v>
      </c>
      <c r="B23" s="10" t="s">
        <v>364</v>
      </c>
      <c r="C23" s="12">
        <f>AE23</f>
        <v>228.384427393024</v>
      </c>
      <c r="D23" s="11" t="s">
        <v>155</v>
      </c>
      <c r="E23" s="12">
        <f>AF23</f>
        <v>55.63931418624</v>
      </c>
      <c r="F23" s="11" t="s">
        <v>155</v>
      </c>
      <c r="AE23" s="13">
        <f>SUM($U$33:$U$44)/(PrefillTargetMs/1000)/1E12</f>
        <v>228.384427393024</v>
      </c>
      <c r="AF23" s="13">
        <f>SUM($V$33:$V$44)/(PrefillTargetMs/1000)/1E12</f>
        <v>55.63931418624</v>
      </c>
    </row>
    <row r="24" spans="1:32">
      <c r="A24" s="4" t="s">
        <v>365</v>
      </c>
      <c r="B24" s="10" t="s">
        <v>366</v>
      </c>
      <c r="C24" s="12">
        <f>AE24</f>
        <v>644.622214856</v>
      </c>
      <c r="D24" s="11" t="s">
        <v>159</v>
      </c>
      <c r="E24" s="12">
        <f>AF24</f>
        <v>357.189222536</v>
      </c>
      <c r="F24" s="11" t="s">
        <v>159</v>
      </c>
      <c r="AE24" s="13">
        <f>(SUM($W$33:$W$44)+SUM($X$33:$X$44))/(PrefillTargetMs/1000)/1E9</f>
        <v>644.622214856</v>
      </c>
      <c r="AF24" s="13">
        <f>(SUM($Y$33:$Y$44)+SUM($Z$33:$Z$44))/(PrefillTargetMs/1000)/1E9</f>
        <v>357.189222536</v>
      </c>
    </row>
    <row r="31" spans="1:32">
      <c r="A31" s="7" t="s">
        <v>262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</row>
    <row r="32" spans="1:32">
      <c r="A32" t="s">
        <v>2</v>
      </c>
      <c r="B32" t="s">
        <v>263</v>
      </c>
      <c r="C32" t="s">
        <v>264</v>
      </c>
      <c r="D32" t="s">
        <v>265</v>
      </c>
      <c r="E32" t="s">
        <v>266</v>
      </c>
      <c r="F32" t="s">
        <v>267</v>
      </c>
      <c r="G32" t="s">
        <v>268</v>
      </c>
      <c r="H32" t="s">
        <v>269</v>
      </c>
      <c r="I32" t="s">
        <v>270</v>
      </c>
      <c r="J32" t="s">
        <v>271</v>
      </c>
      <c r="K32" t="s">
        <v>272</v>
      </c>
      <c r="L32" t="s">
        <v>273</v>
      </c>
      <c r="M32" t="s">
        <v>274</v>
      </c>
      <c r="N32" t="s">
        <v>275</v>
      </c>
      <c r="O32" t="s">
        <v>276</v>
      </c>
      <c r="P32" t="s">
        <v>277</v>
      </c>
      <c r="Q32" t="s">
        <v>278</v>
      </c>
      <c r="R32" t="s">
        <v>279</v>
      </c>
      <c r="S32" t="s">
        <v>280</v>
      </c>
    </row>
    <row r="33" spans="1:30">
      <c r="A33" s="4" t="s">
        <v>46</v>
      </c>
      <c r="B33" s="4" t="s">
        <v>281</v>
      </c>
      <c r="C33" s="4" t="s">
        <v>282</v>
      </c>
      <c r="D33" s="10" t="s">
        <v>283</v>
      </c>
      <c r="E33" s="10" t="s">
        <v>284</v>
      </c>
      <c r="F33" s="12">
        <f>IF(ABS(U33)&gt;=1E15,U33/1E15,IF(ABS(U33)&gt;=1E12,U33/1E12,IF(ABS(U33)&gt;=1E9,U33/1E9,IF(ABS(U33)&gt;=1E6,U33/1E6,U33))))</f>
        <v>75.350906241024</v>
      </c>
      <c r="G33" s="11" t="str">
        <f>IF(ABS(U33)&gt;=1E15,"PFLOPs",IF(ABS(U33)&gt;=1E12,"TFLOPs",IF(ABS(U33)&gt;=1E9,"GFLOPs",IF(ABS(U33)&gt;=1E6,"MFLOPs","flops"))))</f>
        <v>TFLOPs</v>
      </c>
      <c r="H33" s="12">
        <f>IF(ABS(V33)&gt;=1E15,V33/1E15,IF(ABS(V33)&gt;=1E12,V33/1E12,IF(ABS(V33)&gt;=1E9,V33/1E9,IF(ABS(V33)&gt;=1E6,V33/1E6,V33))))</f>
        <v>13.297218748416</v>
      </c>
      <c r="I33" s="11" t="str">
        <f>IF(ABS(V33)&gt;=1E15,"PFLOPs",IF(ABS(V33)&gt;=1E12,"TFLOPs",IF(ABS(V33)&gt;=1E9,"GFLOPs",IF(ABS(V33)&gt;=1E6,"MFLOPs","flops"))))</f>
        <v>TFLOPs</v>
      </c>
      <c r="J33" s="12">
        <f>IF(ABS(AC33)&gt;=1E12,AC33/1E12,IF(ABS(AC33)&gt;=1E9,AC33/1E9,IF(ABS(AC33)&gt;=1E6,AC33/1E6,IF(ABS(AC33)&gt;=1E3,AC33/1E3,AC33))))</f>
        <v>74.216304768</v>
      </c>
      <c r="K33" s="11" t="str">
        <f>IF(ABS(AC33)&gt;=1E12,"TB",IF(ABS(AC33)&gt;=1E9,"GB",IF(ABS(AC33)&gt;=1E6,"MB",IF(ABS(AC33)&gt;=1E3,"KB","bytes"))))</f>
        <v>GB</v>
      </c>
      <c r="L33" s="12">
        <f>IF(ABS(AD33)&gt;=1E12,AD33/1E12,IF(ABS(AD33)&gt;=1E9,AD33/1E9,IF(ABS(AD33)&gt;=1E6,AD33/1E6,IF(ABS(AD33)&gt;=1E3,AD33/1E3,AD33))))</f>
        <v>24.438150784</v>
      </c>
      <c r="M33" s="11" t="str">
        <f>IF(ABS(AD33)&gt;=1E12,"TB",IF(ABS(AD33)&gt;=1E9,"GB",IF(ABS(AD33)&gt;=1E6,"MB",IF(ABS(AD33)&gt;=1E3,"KB","bytes"))))</f>
        <v>GB</v>
      </c>
      <c r="N33" s="12">
        <f>IF(ABS(AA33)&gt;=1E12,AA33/1E12,IF(ABS(AA33)&gt;=1E9,AA33/1E9,IF(ABS(AA33)&gt;=1E6,AA33/1E6,IF(ABS(AA33)&gt;=1E3,AA33/1E3,AA33))))</f>
        <v>0.0</v>
      </c>
      <c r="O33" s="11" t="str">
        <f>IF(ABS(AA33)&gt;=1E12,"TB",IF(ABS(AA33)&gt;=1E9,"GB",IF(ABS(AA33)&gt;=1E6,"MB",IF(ABS(AA33)&gt;=1E3,"KB","bytes"))))</f>
        <v>B</v>
      </c>
      <c r="P33" s="12">
        <f>IF(ABS(AB33)&gt;=1E12,AB33/1E12,IF(ABS(AB33)&gt;=1E9,AB33/1E9,IF(ABS(AB33)&gt;=1E6,AB33/1E6,IF(ABS(AB33)&gt;=1E3,AB33/1E3,AB33))))</f>
        <v>0.0</v>
      </c>
      <c r="Q33" s="11" t="str">
        <f>IF(ABS(AB33)&gt;=1E12,"TB",IF(ABS(AB33)&gt;=1E9,"GB",IF(ABS(AB33)&gt;=1E6,"MB",IF(ABS(AB33)&gt;=1E3,"KB","bytes"))))</f>
        <v>B</v>
      </c>
      <c r="R33" s="4" t="s">
        <v>285</v>
      </c>
      <c r="S33" s="4" t="s">
        <v>286</v>
      </c>
      <c r="T33" s="13">
        <f>PF_Rows*TotalLayers*2*(HiddenSize*QLoraRank+QLoraRank*NumHeads*HeadDim+HiddenSize*HeadDim+NumHeads*HeadDim*OLoraRank+OGroups*OLoraRank*HiddenSize)</f>
        <v>75350906241024</v>
      </c>
      <c r="U33" s="13">
        <f>PF_Rows*TotalLayers*2*(HiddenSize*QLoraRank+QLoraRank*TP1LocalHeads*HeadDim+HiddenSize*HeadDim+TP1LocalHeads*HeadDim*OLoraRank+TP1LocalOGroups*OLoraRank*HiddenSize)</f>
        <v>75350906241024.0</v>
      </c>
      <c r="V33" s="13">
        <f>PF_Rows*TotalLayers*2*(HiddenSize*QLoraRank+QLoraRank*TP8LocalHeads*HeadDim+HiddenSize*HeadDim+TP8LocalHeads*HeadDim*OLoraRank+TP8LocalOGroups*OLoraRank*HiddenSize)</f>
        <v>13297218748416.0</v>
      </c>
      <c r="W33" s="13">
        <f>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+PF_Rows*TotalLayers*(2*HiddenSize*BF16Bytes+QLoraRank*BF16Bytes+TP1KernelLocalHeads*HeadDim*BF16Bytes+TP1LocalOGroups*OLoraRank*BF16Bytes)</f>
        <v>41391681664.0</v>
      </c>
      <c r="X33" s="13">
        <f>PF_Rows*TotalLayers*(QLoraRank+TP1KernelLocalHeads*HeadDim+HeadDim+TP1LocalOGroups*OLoraRank+HiddenSize)*BF16Bytes</f>
        <v>32824623104.0</v>
      </c>
      <c r="Y33" s="13">
        <f>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+PF_Rows*TotalLayers*(2*HiddenSize*BF16Bytes+QLoraRank*BF16Bytes+TP8KernelLocalHeads*HeadDim*BF16Bytes+TP8LocalOGroups*OLoraRank*BF16Bytes)</f>
        <v>13977556608.0</v>
      </c>
      <c r="Z33" s="13">
        <f>PF_Rows*TotalLayers*(QLoraRank+TP8KernelLocalHeads*HeadDim+HeadDim+TP8LocalOGroups*OLoraRank+HiddenSize)*BF16Bytes</f>
        <v>10460594176.0</v>
      </c>
      <c r="AA33" s="13">
        <f>0</f>
        <v>0</v>
      </c>
      <c r="AB33" s="13">
        <f>0</f>
        <v>0</v>
      </c>
      <c r="AC33" s="13">
        <f>(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+PF_Rows*TotalLayers*(2*HiddenSize*BF16Bytes+QLoraRank*BF16Bytes+TP1KernelLocalHeads*HeadDim*BF16Bytes+TP1LocalOGroups*OLoraRank*BF16Bytes))+(PF_Rows*TotalLayers*(QLoraRank+TP1KernelLocalHeads*HeadDim+HeadDim+TP1LocalOGroups*OLoraRank+HiddenSize)*BF16Bytes)</f>
        <v>74216304768.0</v>
      </c>
      <c r="AD33" s="13">
        <f>(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+PF_Rows*TotalLayers*(2*HiddenSize*BF16Bytes+QLoraRank*BF16Bytes+TP8KernelLocalHeads*HeadDim*BF16Bytes+TP8LocalOGroups*OLoraRank*BF16Bytes))+(PF_Rows*TotalLayers*(QLoraRank+TP8KernelLocalHeads*HeadDim+HeadDim+TP8LocalOGroups*OLoraRank+HiddenSize)*BF16Bytes)</f>
        <v>24438150784.0</v>
      </c>
    </row>
    <row r="34" spans="1:30">
      <c r="A34" s="4" t="s">
        <v>46</v>
      </c>
      <c r="B34" s="4" t="s">
        <v>287</v>
      </c>
      <c r="C34" s="4" t="s">
        <v>288</v>
      </c>
      <c r="D34" s="10" t="s">
        <v>289</v>
      </c>
      <c r="E34" s="10" t="s">
        <v>290</v>
      </c>
      <c r="F34" s="12">
        <f>IF(ABS(U34)&gt;=1E15,U34/1E15,IF(ABS(U34)&gt;=1E12,U34/1E12,IF(ABS(U34)&gt;=1E9,U34/1E9,IF(ABS(U34)&gt;=1E6,U34/1E6,U34))))</f>
        <v>16.641043726336</v>
      </c>
      <c r="G34" s="11" t="str">
        <f>IF(ABS(U34)&gt;=1E15,"PFLOPs",IF(ABS(U34)&gt;=1E12,"TFLOPs",IF(ABS(U34)&gt;=1E9,"GFLOPs",IF(ABS(U34)&gt;=1E6,"MFLOPs","flops"))))</f>
        <v>TFLOPs</v>
      </c>
      <c r="H34" s="12">
        <f>IF(ABS(V34)&gt;=1E15,V34/1E15,IF(ABS(V34)&gt;=1E12,V34/1E12,IF(ABS(V34)&gt;=1E9,V34/1E9,IF(ABS(V34)&gt;=1E6,V34/1E6,V34))))</f>
        <v>4.160260931584</v>
      </c>
      <c r="I34" s="11" t="str">
        <f>IF(ABS(V34)&gt;=1E15,"PFLOPs",IF(ABS(V34)&gt;=1E12,"TFLOPs",IF(ABS(V34)&gt;=1E9,"GFLOPs",IF(ABS(V34)&gt;=1E6,"MFLOPs","flops"))))</f>
        <v>TFLOPs</v>
      </c>
      <c r="J34" s="12">
        <f>IF(ABS(AC34)&gt;=1E12,AC34/1E12,IF(ABS(AC34)&gt;=1E9,AC34/1E9,IF(ABS(AC34)&gt;=1E6,AC34/1E6,IF(ABS(AC34)&gt;=1E3,AC34/1E3,AC34))))</f>
        <v>176.179052544</v>
      </c>
      <c r="K34" s="11" t="str">
        <f>IF(ABS(AC34)&gt;=1E12,"TB",IF(ABS(AC34)&gt;=1E9,"GB",IF(ABS(AC34)&gt;=1E6,"MB",IF(ABS(AC34)&gt;=1E3,"KB","bytes"))))</f>
        <v>GB</v>
      </c>
      <c r="L34" s="12">
        <f>IF(ABS(AD34)&gt;=1E12,AD34/1E12,IF(ABS(AD34)&gt;=1E9,AD34/1E9,IF(ABS(AD34)&gt;=1E6,AD34/1E6,IF(ABS(AD34)&gt;=1E3,AD34/1E3,AD34))))</f>
        <v>141.55087872</v>
      </c>
      <c r="M34" s="11" t="str">
        <f>IF(ABS(AD34)&gt;=1E12,"TB",IF(ABS(AD34)&gt;=1E9,"GB",IF(ABS(AD34)&gt;=1E6,"MB",IF(ABS(AD34)&gt;=1E3,"KB","bytes"))))</f>
        <v>GB</v>
      </c>
      <c r="N34" s="12">
        <f>IF(ABS(AA34)&gt;=1E12,AA34/1E12,IF(ABS(AA34)&gt;=1E9,AA34/1E9,IF(ABS(AA34)&gt;=1E6,AA34/1E6,IF(ABS(AA34)&gt;=1E3,AA34/1E3,AA34))))</f>
        <v>0.0</v>
      </c>
      <c r="O34" s="11" t="str">
        <f>IF(ABS(AA34)&gt;=1E12,"TB",IF(ABS(AA34)&gt;=1E9,"GB",IF(ABS(AA34)&gt;=1E6,"MB",IF(ABS(AA34)&gt;=1E3,"KB","bytes"))))</f>
        <v>B</v>
      </c>
      <c r="P34" s="12">
        <f>IF(ABS(AB34)&gt;=1E12,AB34/1E12,IF(ABS(AB34)&gt;=1E9,AB34/1E9,IF(ABS(AB34)&gt;=1E6,AB34/1E6,IF(ABS(AB34)&gt;=1E3,AB34/1E3,AB34))))</f>
        <v>0.0</v>
      </c>
      <c r="Q34" s="11" t="str">
        <f>IF(ABS(AB34)&gt;=1E12,"TB",IF(ABS(AB34)&gt;=1E9,"GB",IF(ABS(AB34)&gt;=1E6,"MB",IF(ABS(AB34)&gt;=1E3,"KB","bytes"))))</f>
        <v>B</v>
      </c>
      <c r="R34" s="4" t="s">
        <v>285</v>
      </c>
      <c r="S34" s="4" t="s">
        <v>291</v>
      </c>
      <c r="T34" s="13">
        <f>4*PrefillBatch*NumHeads*HeadDim*(WindowLayers*PF_RawPairs+ShortLayers*(PF_RawPairs+PF_ShortPairs)+LongLayers*(PF_RawPairs+PF_LongPairs))</f>
        <v>16641043726336</v>
      </c>
      <c r="U34" s="13">
        <f>4*PrefillBatch*TP1KernelLocalHeads*HeadDim*(WindowLayers*PF_RawPairs+ShortLayers*(PF_RawPairs+PF_ShortPairs)+LongLayers*(PF_RawPairs+PF_LongPairs))</f>
        <v>16641043726336.0</v>
      </c>
      <c r="V34" s="13">
        <f>4*PrefillBatch*TP8KernelLocalHeads*HeadDim*(WindowLayers*PF_RawPairs+ShortLayers*(PF_RawPairs+PF_ShortPairs)+LongLayers*(PF_RawPairs+PF_LongPairs))</f>
        <v>4160260931584.0</v>
      </c>
      <c r="W34" s="13">
        <f>PF_Rows*TotalLayers*TP1KernelLocalHeads*HeadDim*BF16Bytes+PrefillBatch*(WindowLayers*PF_RawPairs+ShortLayers*(PF_RawPairs+PF_ShortPairs)+LongLayers*(PF_RawPairs+PF_LongPairs))*HeadDim*BF16Bytes</f>
        <v>153093603328.0</v>
      </c>
      <c r="X34" s="13">
        <f>PF_Rows*TotalLayers*TP1KernelLocalHeads*HeadDim*BF16Bytes</f>
        <v>23085449216.0</v>
      </c>
      <c r="Y34" s="13">
        <f>PF_Rows*TotalLayers*TP8KernelLocalHeads*HeadDim*BF16Bytes+PrefillBatch*(WindowLayers*PF_RawPairs+ShortLayers*(PF_RawPairs+PF_ShortPairs)+LongLayers*(PF_RawPairs+PF_LongPairs))*HeadDim*BF16Bytes</f>
        <v>135779516416</v>
      </c>
      <c r="Z34" s="13">
        <f>PF_Rows*TotalLayers*TP8KernelLocalHeads*HeadDim*BF16Bytes</f>
        <v>5771362304</v>
      </c>
      <c r="AA34" s="13">
        <f>0</f>
        <v>0</v>
      </c>
      <c r="AB34" s="13">
        <f>0</f>
        <v>0</v>
      </c>
      <c r="AC34" s="13">
        <f>(PF_Rows*TotalLayers*TP1KernelLocalHeads*HeadDim*BF16Bytes+PrefillBatch*(WindowLayers*PF_RawPairs+ShortLayers*(PF_RawPairs+PF_ShortPairs)+LongLayers*(PF_RawPairs+PF_LongPairs))*HeadDim*BF16Bytes)+(PF_Rows*TotalLayers*TP1KernelLocalHeads*HeadDim*BF16Bytes)</f>
        <v>176179052544.0</v>
      </c>
      <c r="AD34" s="13">
        <f>(PF_Rows*TotalLayers*TP8KernelLocalHeads*HeadDim*BF16Bytes+PrefillBatch*(WindowLayers*PF_RawPairs+ShortLayers*(PF_RawPairs+PF_ShortPairs)+LongLayers*(PF_RawPairs+PF_LongPairs))*HeadDim*BF16Bytes)+(PF_Rows*TotalLayers*TP8KernelLocalHeads*HeadDim*BF16Bytes)</f>
        <v>141550878720</v>
      </c>
    </row>
    <row r="35" spans="1:30">
      <c r="A35" s="4" t="s">
        <v>46</v>
      </c>
      <c r="B35" s="4" t="s">
        <v>292</v>
      </c>
      <c r="C35" s="4" t="s">
        <v>177</v>
      </c>
      <c r="D35" s="10" t="s">
        <v>293</v>
      </c>
      <c r="E35" s="10" t="s">
        <v>294</v>
      </c>
      <c r="F35" s="12">
        <f>IF(ABS(U35)&gt;=1E15,U35/1E15,IF(ABS(U35)&gt;=1E12,U35/1E12,IF(ABS(U35)&gt;=1E9,U35/1E9,IF(ABS(U35)&gt;=1E6,U35/1E6,U35))))</f>
        <v>2.976412336128</v>
      </c>
      <c r="G35" s="11" t="str">
        <f>IF(ABS(U35)&gt;=1E15,"PFLOPs",IF(ABS(U35)&gt;=1E12,"TFLOPs",IF(ABS(U35)&gt;=1E9,"GFLOPs",IF(ABS(U35)&gt;=1E6,"MFLOPs","flops"))))</f>
        <v>TFLOPs</v>
      </c>
      <c r="H35" s="12">
        <f>IF(ABS(V35)&gt;=1E15,V35/1E15,IF(ABS(V35)&gt;=1E12,V35/1E12,IF(ABS(V35)&gt;=1E9,V35/1E9,IF(ABS(V35)&gt;=1E6,V35/1E6,V35))))</f>
        <v>372.051542016</v>
      </c>
      <c r="I35" s="11" t="str">
        <f>IF(ABS(V35)&gt;=1E15,"PFLOPs",IF(ABS(V35)&gt;=1E12,"TFLOPs",IF(ABS(V35)&gt;=1E9,"GFLOPs",IF(ABS(V35)&gt;=1E6,"MFLOPs","flops"))))</f>
        <v>GFLOPs</v>
      </c>
      <c r="J35" s="12">
        <f>IF(ABS(AC35)&gt;=1E12,AC35/1E12,IF(ABS(AC35)&gt;=1E9,AC35/1E9,IF(ABS(AC35)&gt;=1E6,AC35/1E6,IF(ABS(AC35)&gt;=1E3,AC35/1E3,AC35))))</f>
        <v>4.789381632</v>
      </c>
      <c r="K35" s="11" t="str">
        <f>IF(ABS(AC35)&gt;=1E12,"TB",IF(ABS(AC35)&gt;=1E9,"GB",IF(ABS(AC35)&gt;=1E6,"MB",IF(ABS(AC35)&gt;=1E3,"KB","bytes"))))</f>
        <v>GB</v>
      </c>
      <c r="L35" s="12">
        <f>IF(ABS(AD35)&gt;=1E12,AD35/1E12,IF(ABS(AD35)&gt;=1E9,AD35/1E9,IF(ABS(AD35)&gt;=1E6,AD35/1E6,IF(ABS(AD35)&gt;=1E3,AD35/1E3,AD35))))</f>
        <v>2.140079424</v>
      </c>
      <c r="M35" s="11" t="str">
        <f>IF(ABS(AD35)&gt;=1E12,"TB",IF(ABS(AD35)&gt;=1E9,"GB",IF(ABS(AD35)&gt;=1E6,"MB",IF(ABS(AD35)&gt;=1E3,"KB","bytes"))))</f>
        <v>GB</v>
      </c>
      <c r="N35" s="12">
        <f>IF(ABS(AA35)&gt;=1E12,AA35/1E12,IF(ABS(AA35)&gt;=1E9,AA35/1E9,IF(ABS(AA35)&gt;=1E6,AA35/1E6,IF(ABS(AA35)&gt;=1E3,AA35/1E3,AA35))))</f>
        <v>0.0</v>
      </c>
      <c r="O35" s="11" t="str">
        <f>IF(ABS(AA35)&gt;=1E12,"TB",IF(ABS(AA35)&gt;=1E9,"GB",IF(ABS(AA35)&gt;=1E6,"MB",IF(ABS(AA35)&gt;=1E3,"KB","bytes"))))</f>
        <v>B</v>
      </c>
      <c r="P35" s="12">
        <f>IF(ABS(AB35)&gt;=1E12,AB35/1E12,IF(ABS(AB35)&gt;=1E9,AB35/1E9,IF(ABS(AB35)&gt;=1E6,AB35/1E6,IF(ABS(AB35)&gt;=1E3,AB35/1E3,AB35))))</f>
        <v>0.0</v>
      </c>
      <c r="Q35" s="11" t="str">
        <f>IF(ABS(AB35)&gt;=1E12,"TB",IF(ABS(AB35)&gt;=1E9,"GB",IF(ABS(AB35)&gt;=1E6,"MB",IF(ABS(AB35)&gt;=1E3,"KB","bytes"))))</f>
        <v>B</v>
      </c>
      <c r="R35" s="4" t="s">
        <v>285</v>
      </c>
      <c r="S35" s="4" t="s">
        <v>295</v>
      </c>
      <c r="T35" s="13">
        <f>2*PF_Rows*ShortLayers*(QLoraRank*IndexHeads*IndexHeadDim+HiddenSize*IndexHeads)</f>
        <v>2976412336128</v>
      </c>
      <c r="U35" s="13">
        <f>2*PF_Rows*ShortLayers*(QLoraRank*TP1LocalIndexHeads*IndexHeadDim+HiddenSize*TP1LocalIndexHeads)</f>
        <v>2976412336128.0</v>
      </c>
      <c r="V35" s="13">
        <f>2*PF_Rows*ShortLayers*(QLoraRank*TP8LocalIndexHeads*IndexHeadDim+HiddenSize*TP8LocalIndexHeads)</f>
        <v>372051542016.0</v>
      </c>
      <c r="W35" s="13">
        <f>ShortLayers*(((QLoraRank)*(TP1LocalIndexHeads*IndexHeadDim)*FP8Bytes+ROUNDUP((QLoraRank)/FP8Block,0)*ROUNDUP((TP1LocalIndexHeads*IndexHeadDim)/FP8Block,0)*ScaleBytes)+HiddenSize*TP1LocalIndexHeads*BF16Bytes)+PF_Rows*ShortLayers*(QLoraRank+HiddenSize)*BF16Bytes</f>
        <v>1948789248</v>
      </c>
      <c r="X35" s="13">
        <f>PF_Rows*ShortLayers*TP1LocalIndexHeads*(IndexHeadDim+1)*BF16Bytes</f>
        <v>2840592384.0</v>
      </c>
      <c r="Y35" s="13">
        <f>ShortLayers*(((QLoraRank)*(TP8LocalIndexHeads*IndexHeadDim)*FP8Bytes+ROUNDUP((QLoraRank)/FP8Block,0)*ROUNDUP((TP8LocalIndexHeads*IndexHeadDim)/FP8Block,0)*ScaleBytes)+HiddenSize*TP8LocalIndexHeads*BF16Bytes)+PF_Rows*ShortLayers*(QLoraRank+HiddenSize)*BF16Bytes</f>
        <v>1785005376</v>
      </c>
      <c r="Z35" s="13">
        <f>PF_Rows*ShortLayers*TP8LocalIndexHeads*(IndexHeadDim+1)*BF16Bytes</f>
        <v>355074048.0</v>
      </c>
      <c r="AA35" s="13">
        <f>0</f>
        <v>0</v>
      </c>
      <c r="AB35" s="13">
        <f>0</f>
        <v>0</v>
      </c>
      <c r="AC35" s="13">
        <f>(ShortLayers*(((QLoraRank)*(TP1LocalIndexHeads*IndexHeadDim)*FP8Bytes+ROUNDUP((QLoraRank)/FP8Block,0)*ROUNDUP((TP1LocalIndexHeads*IndexHeadDim)/FP8Block,0)*ScaleBytes)+HiddenSize*TP1LocalIndexHeads*BF16Bytes)+PF_Rows*ShortLayers*(QLoraRank+HiddenSize)*BF16Bytes)+(PF_Rows*ShortLayers*TP1LocalIndexHeads*(IndexHeadDim+1)*BF16Bytes)</f>
        <v>4789381632.0</v>
      </c>
      <c r="AD35" s="13">
        <f>(ShortLayers*(((QLoraRank)*(TP8LocalIndexHeads*IndexHeadDim)*FP8Bytes+ROUNDUP((QLoraRank)/FP8Block,0)*ROUNDUP((TP8LocalIndexHeads*IndexHeadDim)/FP8Block,0)*ScaleBytes)+HiddenSize*TP8LocalIndexHeads*BF16Bytes)+PF_Rows*ShortLayers*(QLoraRank+HiddenSize)*BF16Bytes)+(PF_Rows*ShortLayers*TP8LocalIndexHeads*(IndexHeadDim+1)*BF16Bytes)</f>
        <v>2140079424.0</v>
      </c>
    </row>
    <row r="36" spans="1:30">
      <c r="A36" s="4" t="s">
        <v>46</v>
      </c>
      <c r="B36" s="4" t="s">
        <v>296</v>
      </c>
      <c r="C36" s="4" t="s">
        <v>177</v>
      </c>
      <c r="D36" s="10" t="s">
        <v>297</v>
      </c>
      <c r="E36" s="10" t="s">
        <v>298</v>
      </c>
      <c r="F36" s="12">
        <f>IF(ABS(U36)&gt;=1E15,U36/1E15,IF(ABS(U36)&gt;=1E12,U36/1E12,IF(ABS(U36)&gt;=1E9,U36/1E9,IF(ABS(U36)&gt;=1E6,U36/1E6,U36))))</f>
        <v>2.88551337984</v>
      </c>
      <c r="G36" s="11" t="str">
        <f>IF(ABS(U36)&gt;=1E15,"PFLOPs",IF(ABS(U36)&gt;=1E12,"TFLOPs",IF(ABS(U36)&gt;=1E9,"GFLOPs",IF(ABS(U36)&gt;=1E6,"MFLOPs","flops"))))</f>
        <v>TFLOPs</v>
      </c>
      <c r="H36" s="12">
        <f>IF(ABS(V36)&gt;=1E15,V36/1E15,IF(ABS(V36)&gt;=1E12,V36/1E12,IF(ABS(V36)&gt;=1E9,V36/1E9,IF(ABS(V36)&gt;=1E6,V36/1E6,V36))))</f>
        <v>360.68917248</v>
      </c>
      <c r="I36" s="11" t="str">
        <f>IF(ABS(V36)&gt;=1E15,"PFLOPs",IF(ABS(V36)&gt;=1E12,"TFLOPs",IF(ABS(V36)&gt;=1E9,"GFLOPs",IF(ABS(V36)&gt;=1E6,"MFLOPs","flops"))))</f>
        <v>GFLOPs</v>
      </c>
      <c r="J36" s="12">
        <f>IF(ABS(AC36)&gt;=1E12,AC36/1E12,IF(ABS(AC36)&gt;=1E9,AC36/1E9,IF(ABS(AC36)&gt;=1E6,AC36/1E6,IF(ABS(AC36)&gt;=1E3,AC36/1E3,AC36))))</f>
        <v>90.87676416</v>
      </c>
      <c r="K36" s="11" t="str">
        <f>IF(ABS(AC36)&gt;=1E12,"TB",IF(ABS(AC36)&gt;=1E9,"GB",IF(ABS(AC36)&gt;=1E6,"MB",IF(ABS(AC36)&gt;=1E3,"KB","bytes"))))</f>
        <v>GB</v>
      </c>
      <c r="L36" s="12">
        <f>IF(ABS(AD36)&gt;=1E12,AD36/1E12,IF(ABS(AD36)&gt;=1E9,AD36/1E9,IF(ABS(AD36)&gt;=1E6,AD36/1E6,IF(ABS(AD36)&gt;=1E3,AD36/1E3,AD36))))</f>
        <v>51.42638592</v>
      </c>
      <c r="M36" s="11" t="str">
        <f>IF(ABS(AD36)&gt;=1E12,"TB",IF(ABS(AD36)&gt;=1E9,"GB",IF(ABS(AD36)&gt;=1E6,"MB",IF(ABS(AD36)&gt;=1E3,"KB","bytes"))))</f>
        <v>GB</v>
      </c>
      <c r="N36" s="12">
        <f>IF(ABS(AA36)&gt;=1E12,AA36/1E12,IF(ABS(AA36)&gt;=1E9,AA36/1E9,IF(ABS(AA36)&gt;=1E6,AA36/1E6,IF(ABS(AA36)&gt;=1E3,AA36/1E3,AA36))))</f>
        <v>0.0</v>
      </c>
      <c r="O36" s="11" t="str">
        <f>IF(ABS(AA36)&gt;=1E12,"TB",IF(ABS(AA36)&gt;=1E9,"GB",IF(ABS(AA36)&gt;=1E6,"MB",IF(ABS(AA36)&gt;=1E3,"KB","bytes"))))</f>
        <v>B</v>
      </c>
      <c r="P36" s="12">
        <f>IF(ABS(AB36)&gt;=1E12,AB36/1E12,IF(ABS(AB36)&gt;=1E9,AB36/1E9,IF(ABS(AB36)&gt;=1E6,AB36/1E6,IF(ABS(AB36)&gt;=1E3,AB36/1E3,AB36))))</f>
        <v>0.0</v>
      </c>
      <c r="Q36" s="11" t="str">
        <f>IF(ABS(AB36)&gt;=1E12,"TB",IF(ABS(AB36)&gt;=1E9,"GB",IF(ABS(AB36)&gt;=1E6,"MB",IF(ABS(AB36)&gt;=1E3,"KB","bytes"))))</f>
        <v>B</v>
      </c>
      <c r="R36" s="4" t="s">
        <v>285</v>
      </c>
      <c r="S36" s="4" t="s">
        <v>299</v>
      </c>
      <c r="T36" s="13">
        <f>2*PrefillBatch*ShortLayers*IndexHeads*IndexHeadDim*PF_IndexPairs</f>
        <v>2885513379840</v>
      </c>
      <c r="U36" s="13">
        <f>2*PrefillBatch*ShortLayers*TP1LocalIndexHeads*IndexHeadDim*PF_IndexPairs</f>
        <v>2885513379840.0</v>
      </c>
      <c r="V36" s="13">
        <f>2*PrefillBatch*ShortLayers*TP8LocalIndexHeads*IndexHeadDim*PF_IndexPairs</f>
        <v>360689172480.0</v>
      </c>
      <c r="W36" s="13">
        <f>PrefillBatch*ShortLayers*PF_IndexPairs*(IndexHeadDim*BF16Bytes+TP1LocalIndexHeads*BF16Bytes)</f>
        <v>67629219840.0</v>
      </c>
      <c r="X36" s="13">
        <f>PrefillBatch*ShortLayers*PF_IndexPairs*(TP1LocalIndexHeads*BF16Bytes+FP32Bytes)</f>
        <v>23247544320.0</v>
      </c>
      <c r="Y36" s="13">
        <f>PrefillBatch*ShortLayers*PF_IndexPairs*(IndexHeadDim*BF16Bytes+TP8LocalIndexHeads*BF16Bytes)</f>
        <v>47904030720.0</v>
      </c>
      <c r="Z36" s="13">
        <f>PrefillBatch*ShortLayers*PF_IndexPairs*(TP8LocalIndexHeads*BF16Bytes+FP32Bytes)</f>
        <v>3522355200.0</v>
      </c>
      <c r="AA36" s="13">
        <f>0</f>
        <v>0</v>
      </c>
      <c r="AB36" s="13">
        <f>0</f>
        <v>0</v>
      </c>
      <c r="AC36" s="13">
        <f>(PrefillBatch*ShortLayers*PF_IndexPairs*(IndexHeadDim*BF16Bytes+TP1LocalIndexHeads*BF16Bytes))+(PrefillBatch*ShortLayers*PF_IndexPairs*(TP1LocalIndexHeads*BF16Bytes+FP32Bytes))</f>
        <v>90876764160.0</v>
      </c>
      <c r="AD36" s="13">
        <f>(PrefillBatch*ShortLayers*PF_IndexPairs*(IndexHeadDim*BF16Bytes+TP8LocalIndexHeads*BF16Bytes))+(PrefillBatch*ShortLayers*PF_IndexPairs*(TP8LocalIndexHeads*BF16Bytes+FP32Bytes))</f>
        <v>51426385920.0</v>
      </c>
    </row>
    <row r="37" spans="1:30">
      <c r="A37" s="4" t="s">
        <v>46</v>
      </c>
      <c r="B37" s="4" t="s">
        <v>300</v>
      </c>
      <c r="C37" s="4" t="s">
        <v>301</v>
      </c>
      <c r="D37" s="10" t="s">
        <v>302</v>
      </c>
      <c r="E37" s="10" t="s">
        <v>303</v>
      </c>
      <c r="F37" s="12">
        <f>IF(ABS(U37)&gt;=1E15,U37/1E15,IF(ABS(U37)&gt;=1E12,U37/1E12,IF(ABS(U37)&gt;=1E9,U37/1E9,IF(ABS(U37)&gt;=1E6,U37/1E6,U37))))</f>
        <v>4.260607557632</v>
      </c>
      <c r="G37" s="11" t="str">
        <f>IF(ABS(U37)&gt;=1E15,"PFLOPs",IF(ABS(U37)&gt;=1E12,"TFLOPs",IF(ABS(U37)&gt;=1E9,"GFLOPs",IF(ABS(U37)&gt;=1E6,"MFLOPs","flops"))))</f>
        <v>TFLOPs</v>
      </c>
      <c r="H37" s="12">
        <f>IF(ABS(V37)&gt;=1E15,V37/1E15,IF(ABS(V37)&gt;=1E12,V37/1E12,IF(ABS(V37)&gt;=1E9,V37/1E9,IF(ABS(V37)&gt;=1E6,V37/1E6,V37))))</f>
        <v>4.260607557632</v>
      </c>
      <c r="I37" s="11" t="str">
        <f>IF(ABS(V37)&gt;=1E15,"PFLOPs",IF(ABS(V37)&gt;=1E12,"TFLOPs",IF(ABS(V37)&gt;=1E9,"GFLOPs",IF(ABS(V37)&gt;=1E6,"MFLOPs","flops"))))</f>
        <v>TFLOPs</v>
      </c>
      <c r="J37" s="12">
        <f>IF(ABS(AC37)&gt;=1E12,AC37/1E12,IF(ABS(AC37)&gt;=1E9,AC37/1E9,IF(ABS(AC37)&gt;=1E6,AC37/1E6,IF(ABS(AC37)&gt;=1E3,AC37/1E3,AC37))))</f>
        <v>8.629159936</v>
      </c>
      <c r="K37" s="11" t="str">
        <f>IF(ABS(AC37)&gt;=1E12,"TB",IF(ABS(AC37)&gt;=1E9,"GB",IF(ABS(AC37)&gt;=1E6,"MB",IF(ABS(AC37)&gt;=1E3,"KB","bytes"))))</f>
        <v>GB</v>
      </c>
      <c r="L37" s="12">
        <f>IF(ABS(AD37)&gt;=1E12,AD37/1E12,IF(ABS(AD37)&gt;=1E9,AD37/1E9,IF(ABS(AD37)&gt;=1E6,AD37/1E6,IF(ABS(AD37)&gt;=1E3,AD37/1E3,AD37))))</f>
        <v>8.629159936</v>
      </c>
      <c r="M37" s="11" t="str">
        <f>IF(ABS(AD37)&gt;=1E12,"TB",IF(ABS(AD37)&gt;=1E9,"GB",IF(ABS(AD37)&gt;=1E6,"MB",IF(ABS(AD37)&gt;=1E3,"KB","bytes"))))</f>
        <v>GB</v>
      </c>
      <c r="N37" s="12">
        <f>IF(ABS(AA37)&gt;=1E12,AA37/1E12,IF(ABS(AA37)&gt;=1E9,AA37/1E9,IF(ABS(AA37)&gt;=1E6,AA37/1E6,IF(ABS(AA37)&gt;=1E3,AA37/1E3,AA37))))</f>
        <v>0.0</v>
      </c>
      <c r="O37" s="11" t="str">
        <f>IF(ABS(AA37)&gt;=1E12,"TB",IF(ABS(AA37)&gt;=1E9,"GB",IF(ABS(AA37)&gt;=1E6,"MB",IF(ABS(AA37)&gt;=1E3,"KB","bytes"))))</f>
        <v>B</v>
      </c>
      <c r="P37" s="12">
        <f>IF(ABS(AB37)&gt;=1E12,AB37/1E12,IF(ABS(AB37)&gt;=1E9,AB37/1E9,IF(ABS(AB37)&gt;=1E6,AB37/1E6,IF(ABS(AB37)&gt;=1E3,AB37/1E3,AB37))))</f>
        <v>0.0</v>
      </c>
      <c r="Q37" s="11" t="str">
        <f>IF(ABS(AB37)&gt;=1E12,"TB",IF(ABS(AB37)&gt;=1E9,"GB",IF(ABS(AB37)&gt;=1E6,"MB",IF(ABS(AB37)&gt;=1E3,"KB","bytes"))))</f>
        <v>B</v>
      </c>
      <c r="R37" s="4" t="s">
        <v>285</v>
      </c>
      <c r="S37" s="4" t="s">
        <v>304</v>
      </c>
      <c r="T37" s="13">
        <f>PF_Rows*(ShortLayers*8*HiddenSize*HeadDim+LongLayers*4*HiddenSize*HeadDim)</f>
        <v>4260607557632</v>
      </c>
      <c r="U37" s="13">
        <f>PF_Rows*(ShortLayers*8*HiddenSize*HeadDim+LongLayers*4*HiddenSize*HeadDim)</f>
        <v>4260607557632</v>
      </c>
      <c r="V37" s="13">
        <f>PF_Rows*(ShortLayers*8*HiddenSize*HeadDim+LongLayers*4*HiddenSize*HeadDim)</f>
        <v>4260607557632</v>
      </c>
      <c r="W37" s="13">
        <f>ShortLayers*(2*HiddenSize*(2*HeadDim)*FP32Bytes+ShortRatio*2*HeadDim*FP32Bytes+HeadDim*FP32Bytes)+LongLayers*(2*HiddenSize*HeadDim*FP32Bytes+LongRatio*HeadDim*FP32Bytes+HeadDim*FP32Bytes)+PF_Rows*(ShortLayers+LongLayers)*HiddenSize*FP32Bytes</f>
        <v>6548785152</v>
      </c>
      <c r="X37" s="13">
        <f>PF_Rows*(ShortLayers*4*HeadDim+LongLayers*2*HeadDim)*FP32Bytes</f>
        <v>2080374784</v>
      </c>
      <c r="Y37" s="13">
        <f>ShortLayers*(2*HiddenSize*(2*HeadDim)*FP32Bytes+ShortRatio*2*HeadDim*FP32Bytes+HeadDim*FP32Bytes)+LongLayers*(2*HiddenSize*HeadDim*FP32Bytes+LongRatio*HeadDim*FP32Bytes+HeadDim*FP32Bytes)+PF_Rows*(ShortLayers+LongLayers)*HiddenSize*FP32Bytes</f>
        <v>6548785152</v>
      </c>
      <c r="Z37" s="13">
        <f>PF_Rows*(ShortLayers*4*HeadDim+LongLayers*2*HeadDim)*FP32Bytes</f>
        <v>2080374784</v>
      </c>
      <c r="AA37" s="13">
        <f>0</f>
        <v>0</v>
      </c>
      <c r="AB37" s="13">
        <f>0</f>
        <v>0</v>
      </c>
      <c r="AC37" s="13">
        <f>(ShortLayers*(2*HiddenSize*(2*HeadDim)*FP32Bytes+ShortRatio*2*HeadDim*FP32Bytes+HeadDim*FP32Bytes)+LongLayers*(2*HiddenSize*HeadDim*FP32Bytes+LongRatio*HeadDim*FP32Bytes+HeadDim*FP32Bytes)+PF_Rows*(ShortLayers+LongLayers)*HiddenSize*FP32Bytes)+(PF_Rows*(ShortLayers*4*HeadDim+LongLayers*2*HeadDim)*FP32Bytes)</f>
        <v>8629159936</v>
      </c>
      <c r="AD37" s="13">
        <f>(ShortLayers*(2*HiddenSize*(2*HeadDim)*FP32Bytes+ShortRatio*2*HeadDim*FP32Bytes+HeadDim*FP32Bytes)+LongLayers*(2*HiddenSize*HeadDim*FP32Bytes+LongRatio*HeadDim*FP32Bytes+HeadDim*FP32Bytes)+PF_Rows*(ShortLayers+LongLayers)*HiddenSize*FP32Bytes)+(PF_Rows*(ShortLayers*4*HeadDim+LongLayers*2*HeadDim)*FP32Bytes)</f>
        <v>8629159936</v>
      </c>
    </row>
    <row r="38" spans="1:30">
      <c r="A38" s="4" t="s">
        <v>46</v>
      </c>
      <c r="B38" s="4" t="s">
        <v>305</v>
      </c>
      <c r="C38" s="4" t="s">
        <v>177</v>
      </c>
      <c r="D38" s="10" t="s">
        <v>306</v>
      </c>
      <c r="E38" s="10" t="s">
        <v>307</v>
      </c>
      <c r="F38" s="12">
        <f>IF(ABS(U38)&gt;=1E15,U38/1E15,IF(ABS(U38)&gt;=1E12,U38/1E12,IF(ABS(U38)&gt;=1E9,U38/1E9,IF(ABS(U38)&gt;=1E6,U38/1E6,U38))))</f>
        <v>721.554505728</v>
      </c>
      <c r="G38" s="11" t="str">
        <f>IF(ABS(U38)&gt;=1E15,"PFLOPs",IF(ABS(U38)&gt;=1E12,"TFLOPs",IF(ABS(U38)&gt;=1E9,"GFLOPs",IF(ABS(U38)&gt;=1E6,"MFLOPs","flops"))))</f>
        <v>GFLOPs</v>
      </c>
      <c r="H38" s="12">
        <f>IF(ABS(V38)&gt;=1E15,V38/1E15,IF(ABS(V38)&gt;=1E12,V38/1E12,IF(ABS(V38)&gt;=1E9,V38/1E9,IF(ABS(V38)&gt;=1E6,V38/1E6,V38))))</f>
        <v>721.554505728</v>
      </c>
      <c r="I38" s="11" t="str">
        <f>IF(ABS(V38)&gt;=1E15,"PFLOPs",IF(ABS(V38)&gt;=1E12,"TFLOPs",IF(ABS(V38)&gt;=1E9,"GFLOPs",IF(ABS(V38)&gt;=1E6,"MFLOPs","flops"))))</f>
        <v>GFLOPs</v>
      </c>
      <c r="J38" s="12">
        <f>IF(ABS(AC38)&gt;=1E12,AC38/1E12,IF(ABS(AC38)&gt;=1E9,AC38/1E9,IF(ABS(AC38)&gt;=1E6,AC38/1E6,IF(ABS(AC38)&gt;=1E3,AC38/1E3,AC38))))</f>
        <v>3.34715136</v>
      </c>
      <c r="K38" s="11" t="str">
        <f>IF(ABS(AC38)&gt;=1E12,"TB",IF(ABS(AC38)&gt;=1E9,"GB",IF(ABS(AC38)&gt;=1E6,"MB",IF(ABS(AC38)&gt;=1E3,"KB","bytes"))))</f>
        <v>GB</v>
      </c>
      <c r="L38" s="12">
        <f>IF(ABS(AD38)&gt;=1E12,AD38/1E12,IF(ABS(AD38)&gt;=1E9,AD38/1E9,IF(ABS(AD38)&gt;=1E6,AD38/1E6,IF(ABS(AD38)&gt;=1E3,AD38/1E3,AD38))))</f>
        <v>3.34715136</v>
      </c>
      <c r="M38" s="11" t="str">
        <f>IF(ABS(AD38)&gt;=1E12,"TB",IF(ABS(AD38)&gt;=1E9,"GB",IF(ABS(AD38)&gt;=1E6,"MB",IF(ABS(AD38)&gt;=1E3,"KB","bytes"))))</f>
        <v>GB</v>
      </c>
      <c r="N38" s="12">
        <f>IF(ABS(AA38)&gt;=1E12,AA38/1E12,IF(ABS(AA38)&gt;=1E9,AA38/1E9,IF(ABS(AA38)&gt;=1E6,AA38/1E6,IF(ABS(AA38)&gt;=1E3,AA38/1E3,AA38))))</f>
        <v>0.0</v>
      </c>
      <c r="O38" s="11" t="str">
        <f>IF(ABS(AA38)&gt;=1E12,"TB",IF(ABS(AA38)&gt;=1E9,"GB",IF(ABS(AA38)&gt;=1E6,"MB",IF(ABS(AA38)&gt;=1E3,"KB","bytes"))))</f>
        <v>B</v>
      </c>
      <c r="P38" s="12">
        <f>IF(ABS(AB38)&gt;=1E12,AB38/1E12,IF(ABS(AB38)&gt;=1E9,AB38/1E9,IF(ABS(AB38)&gt;=1E6,AB38/1E6,IF(ABS(AB38)&gt;=1E3,AB38/1E3,AB38))))</f>
        <v>0.0</v>
      </c>
      <c r="Q38" s="11" t="str">
        <f>IF(ABS(AB38)&gt;=1E12,"TB",IF(ABS(AB38)&gt;=1E9,"GB",IF(ABS(AB38)&gt;=1E6,"MB",IF(ABS(AB38)&gt;=1E3,"KB","bytes"))))</f>
        <v>B</v>
      </c>
      <c r="R38" s="4" t="s">
        <v>285</v>
      </c>
      <c r="S38" s="4" t="s">
        <v>308</v>
      </c>
      <c r="T38" s="13">
        <f>PF_Rows*ShortLayers*8*HiddenSize*IndexHeadDim</f>
        <v>721554505728</v>
      </c>
      <c r="U38" s="13">
        <f>PF_Rows*ShortLayers*8*HiddenSize*IndexHeadDim</f>
        <v>721554505728</v>
      </c>
      <c r="V38" s="13">
        <f>PF_Rows*ShortLayers*8*HiddenSize*IndexHeadDim</f>
        <v>721554505728</v>
      </c>
      <c r="W38" s="13">
        <f>ShortLayers*(2*HiddenSize*(2*IndexHeadDim)*FP32Bytes+ShortRatio*2*IndexHeadDim*FP32Bytes+IndexHeadDim*FP32Bytes)+PF_Rows*ShortLayers*HiddenSize*FP32Bytes</f>
        <v>2994829824</v>
      </c>
      <c r="X38" s="13">
        <f>PF_Rows*ShortLayers*4*IndexHeadDim*FP32Bytes</f>
        <v>352321536</v>
      </c>
      <c r="Y38" s="13">
        <f>ShortLayers*(2*HiddenSize*(2*IndexHeadDim)*FP32Bytes+ShortRatio*2*IndexHeadDim*FP32Bytes+IndexHeadDim*FP32Bytes)+PF_Rows*ShortLayers*HiddenSize*FP32Bytes</f>
        <v>2994829824</v>
      </c>
      <c r="Z38" s="13">
        <f>PF_Rows*ShortLayers*4*IndexHeadDim*FP32Bytes</f>
        <v>352321536</v>
      </c>
      <c r="AA38" s="13">
        <f>0</f>
        <v>0</v>
      </c>
      <c r="AB38" s="13">
        <f>0</f>
        <v>0</v>
      </c>
      <c r="AC38" s="13">
        <f>(ShortLayers*(2*HiddenSize*(2*IndexHeadDim)*FP32Bytes+ShortRatio*2*IndexHeadDim*FP32Bytes+IndexHeadDim*FP32Bytes)+PF_Rows*ShortLayers*HiddenSize*FP32Bytes)+(PF_Rows*ShortLayers*4*IndexHeadDim*FP32Bytes)</f>
        <v>3347151360</v>
      </c>
      <c r="AD38" s="13">
        <f>(ShortLayers*(2*HiddenSize*(2*IndexHeadDim)*FP32Bytes+ShortRatio*2*IndexHeadDim*FP32Bytes+IndexHeadDim*FP32Bytes)+PF_Rows*ShortLayers*HiddenSize*FP32Bytes)+(PF_Rows*ShortLayers*4*IndexHeadDim*FP32Bytes)</f>
        <v>3347151360</v>
      </c>
    </row>
    <row r="39" spans="1:30">
      <c r="A39" s="4" t="s">
        <v>67</v>
      </c>
      <c r="B39" s="4" t="s">
        <v>309</v>
      </c>
      <c r="C39" s="4" t="s">
        <v>282</v>
      </c>
      <c r="D39" s="10" t="s">
        <v>310</v>
      </c>
      <c r="E39" s="10" t="s">
        <v>311</v>
      </c>
      <c r="F39" s="12">
        <f>IF(ABS(U39)&gt;=1E15,U39/1E15,IF(ABS(U39)&gt;=1E12,U39/1E12,IF(ABS(U39)&gt;=1E9,U39/1E9,IF(ABS(U39)&gt;=1E6,U39/1E6,U39))))</f>
        <v>738.734374912</v>
      </c>
      <c r="G39" s="11" t="str">
        <f>IF(ABS(U39)&gt;=1E15,"PFLOPs",IF(ABS(U39)&gt;=1E12,"TFLOPs",IF(ABS(U39)&gt;=1E9,"GFLOPs",IF(ABS(U39)&gt;=1E6,"MFLOPs","flops"))))</f>
        <v>GFLOPs</v>
      </c>
      <c r="H39" s="12">
        <f>IF(ABS(V39)&gt;=1E15,V39/1E15,IF(ABS(V39)&gt;=1E12,V39/1E12,IF(ABS(V39)&gt;=1E9,V39/1E9,IF(ABS(V39)&gt;=1E6,V39/1E6,V39))))</f>
        <v>738.734374912</v>
      </c>
      <c r="I39" s="11" t="str">
        <f>IF(ABS(V39)&gt;=1E15,"PFLOPs",IF(ABS(V39)&gt;=1E12,"TFLOPs",IF(ABS(V39)&gt;=1E9,"GFLOPs",IF(ABS(V39)&gt;=1E6,"MFLOPs","flops"))))</f>
        <v>GFLOPs</v>
      </c>
      <c r="J39" s="12">
        <f>IF(ABS(AC39)&gt;=1E12,AC39/1E12,IF(ABS(AC39)&gt;=1E9,AC39/1E9,IF(ABS(AC39)&gt;=1E6,AC39/1E6,IF(ABS(AC39)&gt;=1E3,AC39/1E3,AC39))))</f>
        <v>3.337199616</v>
      </c>
      <c r="K39" s="11" t="str">
        <f>IF(ABS(AC39)&gt;=1E12,"TB",IF(ABS(AC39)&gt;=1E9,"GB",IF(ABS(AC39)&gt;=1E6,"MB",IF(ABS(AC39)&gt;=1E3,"KB","bytes"))))</f>
        <v>GB</v>
      </c>
      <c r="L39" s="12">
        <f>IF(ABS(AD39)&gt;=1E12,AD39/1E12,IF(ABS(AD39)&gt;=1E9,AD39/1E9,IF(ABS(AD39)&gt;=1E6,AD39/1E6,IF(ABS(AD39)&gt;=1E3,AD39/1E3,AD39))))</f>
        <v>3.337199616</v>
      </c>
      <c r="M39" s="11" t="str">
        <f>IF(ABS(AD39)&gt;=1E12,"TB",IF(ABS(AD39)&gt;=1E9,"GB",IF(ABS(AD39)&gt;=1E6,"MB",IF(ABS(AD39)&gt;=1E3,"KB","bytes"))))</f>
        <v>GB</v>
      </c>
      <c r="N39" s="12">
        <f>IF(ABS(AA39)&gt;=1E12,AA39/1E12,IF(ABS(AA39)&gt;=1E9,AA39/1E9,IF(ABS(AA39)&gt;=1E6,AA39/1E6,IF(ABS(AA39)&gt;=1E3,AA39/1E3,AA39))))</f>
        <v>0.0</v>
      </c>
      <c r="O39" s="11" t="str">
        <f>IF(ABS(AA39)&gt;=1E12,"TB",IF(ABS(AA39)&gt;=1E9,"GB",IF(ABS(AA39)&gt;=1E6,"MB",IF(ABS(AA39)&gt;=1E3,"KB","bytes"))))</f>
        <v>B</v>
      </c>
      <c r="P39" s="12">
        <f>IF(ABS(AB39)&gt;=1E12,AB39/1E12,IF(ABS(AB39)&gt;=1E9,AB39/1E9,IF(ABS(AB39)&gt;=1E6,AB39/1E6,IF(ABS(AB39)&gt;=1E3,AB39/1E3,AB39))))</f>
        <v>0.0</v>
      </c>
      <c r="Q39" s="11" t="str">
        <f>IF(ABS(AB39)&gt;=1E12,"TB",IF(ABS(AB39)&gt;=1E9,"GB",IF(ABS(AB39)&gt;=1E6,"MB",IF(ABS(AB39)&gt;=1E3,"KB","bytes"))))</f>
        <v>B</v>
      </c>
      <c r="R39" s="4" t="s">
        <v>285</v>
      </c>
      <c r="S39" s="4" t="s">
        <v>312</v>
      </c>
      <c r="T39" s="13">
        <f>2*PF_Rows*TotalLayers*HiddenSize*RoutedExperts</f>
        <v>738734374912</v>
      </c>
      <c r="U39" s="13">
        <f>2*PF_Rows*TotalLayers*HiddenSize*RoutedExperts</f>
        <v>738734374912</v>
      </c>
      <c r="V39" s="13">
        <f>2*PF_Rows*TotalLayers*HiddenSize*RoutedExperts</f>
        <v>738734374912</v>
      </c>
      <c r="W39" s="13">
        <f>TotalLayers*RoutedExperts*HiddenSize*BF16Bytes+(TotalLayers-ActiveHashLayers)*RoutedExperts*FP32Bytes+PF_Rows*TotalLayers*HiddenSize*BF16Bytes+PF_Rows*ActiveHashLayers*ActivatedExperts*INT32Bytes</f>
        <v>2976489472</v>
      </c>
      <c r="X39" s="13">
        <f>PF_Rows*TotalLayers*RoutedExperts*FP32Bytes</f>
        <v>360710144</v>
      </c>
      <c r="Y39" s="13">
        <f>TotalLayers*RoutedExperts*HiddenSize*BF16Bytes+(TotalLayers-ActiveHashLayers)*RoutedExperts*FP32Bytes+PF_Rows*TotalLayers*HiddenSize*BF16Bytes+PF_Rows*ActiveHashLayers*ActivatedExperts*INT32Bytes</f>
        <v>2976489472</v>
      </c>
      <c r="Z39" s="13">
        <f>PF_Rows*TotalLayers*RoutedExperts*FP32Bytes</f>
        <v>360710144</v>
      </c>
      <c r="AA39" s="13">
        <f>0</f>
        <v>0</v>
      </c>
      <c r="AB39" s="13">
        <f>0</f>
        <v>0</v>
      </c>
      <c r="AC39" s="13">
        <f>(TotalLayers*RoutedExperts*HiddenSize*BF16Bytes+(TotalLayers-ActiveHashLayers)*RoutedExperts*FP32Bytes+PF_Rows*TotalLayers*HiddenSize*BF16Bytes+PF_Rows*ActiveHashLayers*ActivatedExperts*INT32Bytes)+(PF_Rows*TotalLayers*RoutedExperts*FP32Bytes)</f>
        <v>3337199616</v>
      </c>
      <c r="AD39" s="13">
        <f>(TotalLayers*RoutedExperts*HiddenSize*BF16Bytes+(TotalLayers-ActiveHashLayers)*RoutedExperts*FP32Bytes+PF_Rows*TotalLayers*HiddenSize*BF16Bytes+PF_Rows*ActiveHashLayers*ActivatedExperts*INT32Bytes)+(PF_Rows*TotalLayers*RoutedExperts*FP32Bytes)</f>
        <v>3337199616</v>
      </c>
    </row>
    <row r="40" spans="1:30">
      <c r="A40" s="4" t="s">
        <v>67</v>
      </c>
      <c r="B40" s="4" t="s">
        <v>313</v>
      </c>
      <c r="C40" s="4" t="s">
        <v>282</v>
      </c>
      <c r="D40" s="10" t="s">
        <v>314</v>
      </c>
      <c r="E40" s="10" t="s">
        <v>315</v>
      </c>
      <c r="F40" s="12">
        <f>IF(ABS(U40)&gt;=1E15,U40/1E15,IF(ABS(U40)&gt;=1E12,U40/1E12,IF(ABS(U40)&gt;=1E9,U40/1E9,IF(ABS(U40)&gt;=1E6,U40/1E6,U40))))</f>
        <v>106.377749987328</v>
      </c>
      <c r="G40" s="11" t="str">
        <f>IF(ABS(U40)&gt;=1E15,"PFLOPs",IF(ABS(U40)&gt;=1E12,"TFLOPs",IF(ABS(U40)&gt;=1E9,"GFLOPs",IF(ABS(U40)&gt;=1E6,"MFLOPs","flops"))))</f>
        <v>TFLOPs</v>
      </c>
      <c r="H40" s="12">
        <f>IF(ABS(V40)&gt;=1E15,V40/1E15,IF(ABS(V40)&gt;=1E12,V40/1E12,IF(ABS(V40)&gt;=1E9,V40/1E9,IF(ABS(V40)&gt;=1E6,V40/1E6,V40))))</f>
        <v>13.297218748416</v>
      </c>
      <c r="I40" s="11" t="str">
        <f>IF(ABS(V40)&gt;=1E15,"PFLOPs",IF(ABS(V40)&gt;=1E12,"TFLOPs",IF(ABS(V40)&gt;=1E9,"GFLOPs",IF(ABS(V40)&gt;=1E6,"MFLOPs","flops"))))</f>
        <v>TFLOPs</v>
      </c>
      <c r="J40" s="12">
        <f>IF(ABS(AC40)&gt;=1E12,AC40/1E12,IF(ABS(AC40)&gt;=1E9,AC40/1E9,IF(ABS(AC40)&gt;=1E6,AC40/1E6,IF(ABS(AC40)&gt;=1E3,AC40/1E3,AC40))))</f>
        <v>181.797912576</v>
      </c>
      <c r="K40" s="11" t="str">
        <f>IF(ABS(AC40)&gt;=1E12,"TB",IF(ABS(AC40)&gt;=1E9,"GB",IF(ABS(AC40)&gt;=1E6,"MB",IF(ABS(AC40)&gt;=1E3,"KB","bytes"))))</f>
        <v>GB</v>
      </c>
      <c r="L40" s="12">
        <f>IF(ABS(AD40)&gt;=1E12,AD40/1E12,IF(ABS(AD40)&gt;=1E9,AD40/1E9,IF(ABS(AD40)&gt;=1E6,AD40/1E6,IF(ABS(AD40)&gt;=1E3,AD40/1E3,AD40))))</f>
        <v>22.724739072</v>
      </c>
      <c r="M40" s="11" t="str">
        <f>IF(ABS(AD40)&gt;=1E12,"TB",IF(ABS(AD40)&gt;=1E9,"GB",IF(ABS(AD40)&gt;=1E6,"MB",IF(ABS(AD40)&gt;=1E3,"KB","bytes"))))</f>
        <v>GB</v>
      </c>
      <c r="N40" s="12">
        <f>IF(ABS(AA40)&gt;=1E12,AA40/1E12,IF(ABS(AA40)&gt;=1E9,AA40/1E9,IF(ABS(AA40)&gt;=1E6,AA40/1E6,IF(ABS(AA40)&gt;=1E3,AA40/1E3,AA40))))</f>
        <v>0.0</v>
      </c>
      <c r="O40" s="11" t="str">
        <f>IF(ABS(AA40)&gt;=1E12,"TB",IF(ABS(AA40)&gt;=1E9,"GB",IF(ABS(AA40)&gt;=1E6,"MB",IF(ABS(AA40)&gt;=1E3,"KB","bytes"))))</f>
        <v>B</v>
      </c>
      <c r="P40" s="12">
        <f>IF(ABS(AB40)&gt;=1E12,AB40/1E12,IF(ABS(AB40)&gt;=1E9,AB40/1E9,IF(ABS(AB40)&gt;=1E6,AB40/1E6,IF(ABS(AB40)&gt;=1E3,AB40/1E3,AB40))))</f>
        <v>0.0</v>
      </c>
      <c r="Q40" s="11" t="str">
        <f>IF(ABS(AB40)&gt;=1E12,"TB",IF(ABS(AB40)&gt;=1E9,"GB",IF(ABS(AB40)&gt;=1E6,"MB",IF(ABS(AB40)&gt;=1E3,"KB","bytes"))))</f>
        <v>B</v>
      </c>
      <c r="R40" s="4" t="s">
        <v>285</v>
      </c>
      <c r="S40" s="4" t="s">
        <v>316</v>
      </c>
      <c r="T40" s="13">
        <f>PF_Rows*TotalLayers*ActivatedExperts*6*HiddenSize*ExpertInter</f>
        <v>106377749987328</v>
      </c>
      <c r="U40" s="13">
        <f>PF_Rows*TotalLayers*(ActivatedExperts/TP1Size)*6*HiddenSize*ExpertInter</f>
        <v>106377749987328.0</v>
      </c>
      <c r="V40" s="13">
        <f>PF_Rows*TotalLayers*(ActivatedExperts/TP8Size)*6*HiddenSize*ExpertInter</f>
        <v>13297218748416.0</v>
      </c>
      <c r="W40" s="13">
        <f>TotalLayers*TP1LocalExperts*PF_ExpertActiveProbability*(3*HiddenSize*ExpertInter*FP4Bytes+3*HiddenSize*ExpertInter/FP4Block*ScaleBytes)+PF_Rows*TotalLayers*(ActivatedExperts/TP1Size)*HiddenSize*BF16Bytes</f>
        <v>164483825664.0</v>
      </c>
      <c r="X40" s="13">
        <f>PF_Rows*TotalLayers*(ActivatedExperts/TP1Size)*HiddenSize*BF16Bytes</f>
        <v>17314086912.0</v>
      </c>
      <c r="Y40" s="13">
        <f>TotalLayers*TP8LocalExperts*PF_ExpertActiveProbability*(3*HiddenSize*ExpertInter*FP4Bytes+3*HiddenSize*ExpertInter/FP4Block*ScaleBytes)+PF_Rows*TotalLayers*(ActivatedExperts/TP8Size)*HiddenSize*BF16Bytes</f>
        <v>20560478208.0</v>
      </c>
      <c r="Z40" s="13">
        <f>PF_Rows*TotalLayers*(ActivatedExperts/TP8Size)*HiddenSize*BF16Bytes</f>
        <v>2164260864.0</v>
      </c>
      <c r="AA40" s="13">
        <f>0</f>
        <v>0</v>
      </c>
      <c r="AB40" s="13">
        <f>0</f>
        <v>0</v>
      </c>
      <c r="AC40" s="13">
        <f>(TotalLayers*TP1LocalExperts*PF_ExpertActiveProbability*(3*HiddenSize*ExpertInter*FP4Bytes+3*HiddenSize*ExpertInter/FP4Block*ScaleBytes)+PF_Rows*TotalLayers*(ActivatedExperts/TP1Size)*HiddenSize*BF16Bytes)+(PF_Rows*TotalLayers*(ActivatedExperts/TP1Size)*HiddenSize*BF16Bytes)</f>
        <v>181797912576.0</v>
      </c>
      <c r="AD40" s="13">
        <f>(TotalLayers*TP8LocalExperts*PF_ExpertActiveProbability*(3*HiddenSize*ExpertInter*FP4Bytes+3*HiddenSize*ExpertInter/FP4Block*ScaleBytes)+PF_Rows*TotalLayers*(ActivatedExperts/TP8Size)*HiddenSize*BF16Bytes)+(PF_Rows*TotalLayers*(ActivatedExperts/TP8Size)*HiddenSize*BF16Bytes)</f>
        <v>22724739072.0</v>
      </c>
    </row>
    <row r="41" spans="1:30">
      <c r="A41" s="4" t="s">
        <v>67</v>
      </c>
      <c r="B41" s="4" t="s">
        <v>317</v>
      </c>
      <c r="C41" s="4" t="s">
        <v>282</v>
      </c>
      <c r="D41" s="10" t="s">
        <v>318</v>
      </c>
      <c r="E41" s="10" t="s">
        <v>319</v>
      </c>
      <c r="F41" s="12">
        <f>IF(ABS(U41)&gt;=1E15,U41/1E15,IF(ABS(U41)&gt;=1E12,U41/1E12,IF(ABS(U41)&gt;=1E9,U41/1E9,IF(ABS(U41)&gt;=1E6,U41/1E6,U41))))</f>
        <v>17.729624997888</v>
      </c>
      <c r="G41" s="11" t="str">
        <f>IF(ABS(U41)&gt;=1E15,"PFLOPs",IF(ABS(U41)&gt;=1E12,"TFLOPs",IF(ABS(U41)&gt;=1E9,"GFLOPs",IF(ABS(U41)&gt;=1E6,"MFLOPs","flops"))))</f>
        <v>TFLOPs</v>
      </c>
      <c r="H41" s="12">
        <f>IF(ABS(V41)&gt;=1E15,V41/1E15,IF(ABS(V41)&gt;=1E12,V41/1E12,IF(ABS(V41)&gt;=1E9,V41/1E9,IF(ABS(V41)&gt;=1E6,V41/1E6,V41))))</f>
        <v>17.729624997888</v>
      </c>
      <c r="I41" s="11" t="str">
        <f>IF(ABS(V41)&gt;=1E15,"PFLOPs",IF(ABS(V41)&gt;=1E12,"TFLOPs",IF(ABS(V41)&gt;=1E9,"GFLOPs",IF(ABS(V41)&gt;=1E6,"MFLOPs","flops"))))</f>
        <v>TFLOPs</v>
      </c>
      <c r="J41" s="12">
        <f>IF(ABS(AC41)&gt;=1E12,AC41/1E12,IF(ABS(AC41)&gt;=1E9,AC41/1E9,IF(ABS(AC41)&gt;=1E6,AC41/1E6,IF(ABS(AC41)&gt;=1E3,AC41/1E3,AC41))))</f>
        <v>6.853558784</v>
      </c>
      <c r="K41" s="11" t="str">
        <f>IF(ABS(AC41)&gt;=1E12,"TB",IF(ABS(AC41)&gt;=1E9,"GB",IF(ABS(AC41)&gt;=1E6,"MB",IF(ABS(AC41)&gt;=1E3,"KB","bytes"))))</f>
        <v>GB</v>
      </c>
      <c r="L41" s="12">
        <f>IF(ABS(AD41)&gt;=1E12,AD41/1E12,IF(ABS(AD41)&gt;=1E9,AD41/1E9,IF(ABS(AD41)&gt;=1E6,AD41/1E6,IF(ABS(AD41)&gt;=1E3,AD41/1E3,AD41))))</f>
        <v>6.853558784</v>
      </c>
      <c r="M41" s="11" t="str">
        <f>IF(ABS(AD41)&gt;=1E12,"TB",IF(ABS(AD41)&gt;=1E9,"GB",IF(ABS(AD41)&gt;=1E6,"MB",IF(ABS(AD41)&gt;=1E3,"KB","bytes"))))</f>
        <v>GB</v>
      </c>
      <c r="N41" s="12">
        <f>IF(ABS(AA41)&gt;=1E12,AA41/1E12,IF(ABS(AA41)&gt;=1E9,AA41/1E9,IF(ABS(AA41)&gt;=1E6,AA41/1E6,IF(ABS(AA41)&gt;=1E3,AA41/1E3,AA41))))</f>
        <v>0.0</v>
      </c>
      <c r="O41" s="11" t="str">
        <f>IF(ABS(AA41)&gt;=1E12,"TB",IF(ABS(AA41)&gt;=1E9,"GB",IF(ABS(AA41)&gt;=1E6,"MB",IF(ABS(AA41)&gt;=1E3,"KB","bytes"))))</f>
        <v>B</v>
      </c>
      <c r="P41" s="12">
        <f>IF(ABS(AB41)&gt;=1E12,AB41/1E12,IF(ABS(AB41)&gt;=1E9,AB41/1E9,IF(ABS(AB41)&gt;=1E6,AB41/1E6,IF(ABS(AB41)&gt;=1E3,AB41/1E3,AB41))))</f>
        <v>0.0</v>
      </c>
      <c r="Q41" s="11" t="str">
        <f>IF(ABS(AB41)&gt;=1E12,"TB",IF(ABS(AB41)&gt;=1E9,"GB",IF(ABS(AB41)&gt;=1E6,"MB",IF(ABS(AB41)&gt;=1E3,"KB","bytes"))))</f>
        <v>B</v>
      </c>
      <c r="R41" s="4" t="s">
        <v>285</v>
      </c>
      <c r="S41" s="4" t="s">
        <v>320</v>
      </c>
      <c r="T41" s="13">
        <f>PF_Rows*TotalLayers*SharedExperts*6*HiddenSize*ExpertInter</f>
        <v>17729624997888</v>
      </c>
      <c r="U41" s="13">
        <f>PF_Rows*TotalLayers*SharedExperts*6*HiddenSize*ExpertInter</f>
        <v>17729624997888</v>
      </c>
      <c r="V41" s="13">
        <f>PF_Rows*TotalLayers*SharedExperts*6*HiddenSize*ExpertInter</f>
        <v>17729624997888</v>
      </c>
      <c r="W41" s="13">
        <f>TotalLayers*SharedExperts*(2*((HiddenSize)*(ExpertInter)*FP8Bytes+ROUNDUP((HiddenSize)/FP8Block,0)*ROUNDUP((ExpertInter)/FP8Block,0)*ScaleBytes)+((ExpertInter)*(HiddenSize)*FP8Bytes+ROUNDUP((ExpertInter)/FP8Block,0)*ROUNDUP((HiddenSize)/FP8Block,0)*ScaleBytes))+PF_Rows*TotalLayers*SharedExperts*HiddenSize*BF16Bytes</f>
        <v>3967877632</v>
      </c>
      <c r="X41" s="13">
        <f>PF_Rows*TotalLayers*SharedExperts*HiddenSize*BF16Bytes</f>
        <v>2885681152</v>
      </c>
      <c r="Y41" s="13">
        <f>TotalLayers*SharedExperts*(2*((HiddenSize)*(ExpertInter)*FP8Bytes+ROUNDUP((HiddenSize)/FP8Block,0)*ROUNDUP((ExpertInter)/FP8Block,0)*ScaleBytes)+((ExpertInter)*(HiddenSize)*FP8Bytes+ROUNDUP((ExpertInter)/FP8Block,0)*ROUNDUP((HiddenSize)/FP8Block,0)*ScaleBytes))+PF_Rows*TotalLayers*SharedExperts*HiddenSize*BF16Bytes</f>
        <v>3967877632</v>
      </c>
      <c r="Z41" s="13">
        <f>PF_Rows*TotalLayers*SharedExperts*HiddenSize*BF16Bytes</f>
        <v>2885681152</v>
      </c>
      <c r="AA41" s="13">
        <f>0</f>
        <v>0</v>
      </c>
      <c r="AB41" s="13">
        <f>0</f>
        <v>0</v>
      </c>
      <c r="AC41" s="13">
        <f>(TotalLayers*SharedExperts*(2*((HiddenSize)*(ExpertInter)*FP8Bytes+ROUNDUP((HiddenSize)/FP8Block,0)*ROUNDUP((ExpertInter)/FP8Block,0)*ScaleBytes)+((ExpertInter)*(HiddenSize)*FP8Bytes+ROUNDUP((ExpertInter)/FP8Block,0)*ROUNDUP((HiddenSize)/FP8Block,0)*ScaleBytes))+PF_Rows*TotalLayers*SharedExperts*HiddenSize*BF16Bytes)+(PF_Rows*TotalLayers*SharedExperts*HiddenSize*BF16Bytes)</f>
        <v>6853558784</v>
      </c>
      <c r="AD41" s="13">
        <f>(TotalLayers*SharedExperts*(2*((HiddenSize)*(ExpertInter)*FP8Bytes+ROUNDUP((HiddenSize)/FP8Block,0)*ROUNDUP((ExpertInter)/FP8Block,0)*ScaleBytes)+((ExpertInter)*(HiddenSize)*FP8Bytes+ROUNDUP((ExpertInter)/FP8Block,0)*ROUNDUP((HiddenSize)/FP8Block,0)*ScaleBytes))+PF_Rows*TotalLayers*SharedExperts*HiddenSize*BF16Bytes)+(PF_Rows*TotalLayers*SharedExperts*HiddenSize*BF16Bytes)</f>
        <v>6853558784</v>
      </c>
    </row>
    <row r="42" spans="1:30">
      <c r="A42" s="4" t="s">
        <v>321</v>
      </c>
      <c r="B42" s="4" t="s">
        <v>322</v>
      </c>
      <c r="C42" s="4" t="s">
        <v>282</v>
      </c>
      <c r="D42" s="10" t="s">
        <v>323</v>
      </c>
      <c r="E42" s="10" t="s">
        <v>324</v>
      </c>
      <c r="F42" s="12">
        <f>IF(ABS(U42)&gt;=1E15,U42/1E15,IF(ABS(U42)&gt;=1E12,U42/1E12,IF(ABS(U42)&gt;=1E9,U42/1E9,IF(ABS(U42)&gt;=1E6,U42/1E6,U42))))</f>
        <v>701.221224448</v>
      </c>
      <c r="G42" s="11" t="str">
        <f>IF(ABS(U42)&gt;=1E15,"PFLOPs",IF(ABS(U42)&gt;=1E12,"TFLOPs",IF(ABS(U42)&gt;=1E9,"GFLOPs",IF(ABS(U42)&gt;=1E6,"MFLOPs","flops"))))</f>
        <v>GFLOPs</v>
      </c>
      <c r="H42" s="12">
        <f>IF(ABS(V42)&gt;=1E15,V42/1E15,IF(ABS(V42)&gt;=1E12,V42/1E12,IF(ABS(V42)&gt;=1E9,V42/1E9,IF(ABS(V42)&gt;=1E6,V42/1E6,V42))))</f>
        <v>701.221224448</v>
      </c>
      <c r="I42" s="11" t="str">
        <f>IF(ABS(V42)&gt;=1E15,"PFLOPs",IF(ABS(V42)&gt;=1E12,"TFLOPs",IF(ABS(V42)&gt;=1E9,"GFLOPs",IF(ABS(V42)&gt;=1E6,"MFLOPs","flops"))))</f>
        <v>GFLOPs</v>
      </c>
      <c r="J42" s="12">
        <f>IF(ABS(AC42)&gt;=1E12,AC42/1E12,IF(ABS(AC42)&gt;=1E9,AC42/1E9,IF(ABS(AC42)&gt;=1E6,AC42/1E6,IF(ABS(AC42)&gt;=1E3,AC42/1E3,AC42))))</f>
        <v>92.477072456</v>
      </c>
      <c r="K42" s="11" t="str">
        <f>IF(ABS(AC42)&gt;=1E12,"TB",IF(ABS(AC42)&gt;=1E9,"GB",IF(ABS(AC42)&gt;=1E6,"MB",IF(ABS(AC42)&gt;=1E3,"KB","bytes"))))</f>
        <v>GB</v>
      </c>
      <c r="L42" s="12">
        <f>IF(ABS(AD42)&gt;=1E12,AD42/1E12,IF(ABS(AD42)&gt;=1E9,AD42/1E9,IF(ABS(AD42)&gt;=1E6,AD42/1E6,IF(ABS(AD42)&gt;=1E3,AD42/1E3,AD42))))</f>
        <v>92.477072456</v>
      </c>
      <c r="M42" s="11" t="str">
        <f>IF(ABS(AD42)&gt;=1E12,"TB",IF(ABS(AD42)&gt;=1E9,"GB",IF(ABS(AD42)&gt;=1E6,"MB",IF(ABS(AD42)&gt;=1E3,"KB","bytes"))))</f>
        <v>GB</v>
      </c>
      <c r="N42" s="12">
        <f>IF(ABS(AA42)&gt;=1E12,AA42/1E12,IF(ABS(AA42)&gt;=1E9,AA42/1E9,IF(ABS(AA42)&gt;=1E6,AA42/1E6,IF(ABS(AA42)&gt;=1E3,AA42/1E3,AA42))))</f>
        <v>0.0</v>
      </c>
      <c r="O42" s="11" t="str">
        <f>IF(ABS(AA42)&gt;=1E12,"TB",IF(ABS(AA42)&gt;=1E9,"GB",IF(ABS(AA42)&gt;=1E6,"MB",IF(ABS(AA42)&gt;=1E3,"KB","bytes"))))</f>
        <v>B</v>
      </c>
      <c r="P42" s="12">
        <f>IF(ABS(AB42)&gt;=1E12,AB42/1E12,IF(ABS(AB42)&gt;=1E9,AB42/1E9,IF(ABS(AB42)&gt;=1E6,AB42/1E6,IF(ABS(AB42)&gt;=1E3,AB42/1E3,AB42))))</f>
        <v>0.0</v>
      </c>
      <c r="Q42" s="11" t="str">
        <f>IF(ABS(AB42)&gt;=1E12,"TB",IF(ABS(AB42)&gt;=1E9,"GB",IF(ABS(AB42)&gt;=1E6,"MB",IF(ABS(AB42)&gt;=1E3,"KB","bytes"))))</f>
        <v>B</v>
      </c>
      <c r="R42" s="4" t="s">
        <v>325</v>
      </c>
      <c r="S42" s="4" t="s">
        <v>326</v>
      </c>
      <c r="T42" s="13">
        <f>TotalLayers*2*(2*PF_Rows*HCSlots*HiddenSize*((2+HCSlots)*HCSlots)+PF_Rows*(2*HCSlots*HiddenSize+1)+PF_Rows*HiddenSize*(2*HCSlots-1)+PF_Rows*HCSlots*HiddenSize*(2*HCSlots+1))</f>
        <v>701221224448</v>
      </c>
      <c r="U42" s="13">
        <f>TotalLayers*2*(2*PF_Rows*HCSlots*HiddenSize*((2+HCSlots)*HCSlots)+PF_Rows*(2*HCSlots*HiddenSize+1)+PF_Rows*HiddenSize*(2*HCSlots-1)+PF_Rows*HCSlots*HiddenSize*(2*HCSlots+1))</f>
        <v>701221224448</v>
      </c>
      <c r="V42" s="13">
        <f>TotalLayers*2*(2*PF_Rows*HCSlots*HiddenSize*((2+HCSlots)*HCSlots)+PF_Rows*(2*HCSlots*HiddenSize+1)+PF_Rows*HiddenSize*(2*HCSlots-1)+PF_Rows*HCSlots*HiddenSize*(2*HCSlots+1))</f>
        <v>701221224448</v>
      </c>
      <c r="W42" s="13">
        <f>TotalLayers*2*((2+HCSlots)*HCSlots*HCSlots*HiddenSize*FP32Bytes+((2+HCSlots)*HCSlots+3)*FP32Bytes)+PF_Rows*TotalLayers*4*HCSlots*HiddenSize*BF16Bytes</f>
        <v>46306174024.0</v>
      </c>
      <c r="X42" s="13">
        <f>PF_Rows*TotalLayers*4*HCSlots*HiddenSize*BF16Bytes</f>
        <v>46170898432</v>
      </c>
      <c r="Y42" s="13">
        <f>TotalLayers*2*((2+HCSlots)*HCSlots*HCSlots*HiddenSize*FP32Bytes+((2+HCSlots)*HCSlots+3)*FP32Bytes)+PF_Rows*TotalLayers*4*HCSlots*HiddenSize*BF16Bytes</f>
        <v>46306174024.0</v>
      </c>
      <c r="Z42" s="13">
        <f>PF_Rows*TotalLayers*4*HCSlots*HiddenSize*BF16Bytes</f>
        <v>46170898432</v>
      </c>
      <c r="AA42" s="13">
        <f>0</f>
        <v>0</v>
      </c>
      <c r="AB42" s="13">
        <f>0</f>
        <v>0</v>
      </c>
      <c r="AC42" s="13">
        <f>(TotalLayers*2*((2+HCSlots)*HCSlots*HCSlots*HiddenSize*FP32Bytes+((2+HCSlots)*HCSlots+3)*FP32Bytes)+PF_Rows*TotalLayers*4*HCSlots*HiddenSize*BF16Bytes)+(PF_Rows*TotalLayers*4*HCSlots*HiddenSize*BF16Bytes)</f>
        <v>92477072456.0</v>
      </c>
      <c r="AD42" s="13">
        <f>(TotalLayers*2*((2+HCSlots)*HCSlots*HCSlots*HiddenSize*FP32Bytes+((2+HCSlots)*HCSlots+3)*FP32Bytes)+PF_Rows*TotalLayers*4*HCSlots*HiddenSize*BF16Bytes)+(PF_Rows*TotalLayers*4*HCSlots*HiddenSize*BF16Bytes)</f>
        <v>92477072456.0</v>
      </c>
    </row>
    <row r="43" spans="1:30">
      <c r="A43" s="4" t="s">
        <v>321</v>
      </c>
      <c r="B43" s="4" t="s">
        <v>327</v>
      </c>
      <c r="C43" s="4" t="s">
        <v>328</v>
      </c>
      <c r="D43" s="10" t="s">
        <v>329</v>
      </c>
      <c r="E43" s="10" t="s">
        <v>330</v>
      </c>
      <c r="F43" s="12">
        <f>IF(ABS(U43)&gt;=1E15,U43/1E15,IF(ABS(U43)&gt;=1E12,U43/1E12,IF(ABS(U43)&gt;=1E9,U43/1E9,IF(ABS(U43)&gt;=1E6,U43/1E6,U43))))</f>
        <v>1.05906176</v>
      </c>
      <c r="G43" s="11" t="str">
        <f>IF(ABS(U43)&gt;=1E15,"PFLOPs",IF(ABS(U43)&gt;=1E12,"TFLOPs",IF(ABS(U43)&gt;=1E9,"GFLOPs",IF(ABS(U43)&gt;=1E6,"MFLOPs","flops"))))</f>
        <v>GFLOPs</v>
      </c>
      <c r="H43" s="12">
        <f>IF(ABS(V43)&gt;=1E15,V43/1E15,IF(ABS(V43)&gt;=1E12,V43/1E12,IF(ABS(V43)&gt;=1E9,V43/1E9,IF(ABS(V43)&gt;=1E6,V43/1E6,V43))))</f>
        <v>132.38272</v>
      </c>
      <c r="I43" s="11" t="str">
        <f>IF(ABS(V43)&gt;=1E15,"PFLOPs",IF(ABS(V43)&gt;=1E12,"TFLOPs",IF(ABS(V43)&gt;=1E9,"GFLOPs",IF(ABS(V43)&gt;=1E6,"MFLOPs","flops"))))</f>
        <v>MFLOPs</v>
      </c>
      <c r="J43" s="12">
        <f>IF(ABS(AC43)&gt;=1E12,AC43/1E12,IF(ABS(AC43)&gt;=1E9,AC43/1E9,IF(ABS(AC43)&gt;=1E6,AC43/1E6,IF(ABS(AC43)&gt;=1E3,AC43/1E3,AC43))))</f>
        <v>2.118657024</v>
      </c>
      <c r="K43" s="11" t="str">
        <f>IF(ABS(AC43)&gt;=1E12,"TB",IF(ABS(AC43)&gt;=1E9,"GB",IF(ABS(AC43)&gt;=1E6,"MB",IF(ABS(AC43)&gt;=1E3,"KB","bytes"))))</f>
        <v>GB</v>
      </c>
      <c r="L43" s="12">
        <f>IF(ABS(AD43)&gt;=1E12,AD43/1E12,IF(ABS(AD43)&gt;=1E9,AD43/1E9,IF(ABS(AD43)&gt;=1E6,AD43/1E6,IF(ABS(AD43)&gt;=1E3,AD43/1E3,AD43))))</f>
        <v>264.846464</v>
      </c>
      <c r="M43" s="11" t="str">
        <f>IF(ABS(AD43)&gt;=1E12,"TB",IF(ABS(AD43)&gt;=1E9,"GB",IF(ABS(AD43)&gt;=1E6,"MB",IF(ABS(AD43)&gt;=1E3,"KB","bytes"))))</f>
        <v>MB</v>
      </c>
      <c r="N43" s="12">
        <f>IF(ABS(AA43)&gt;=1E12,AA43/1E12,IF(ABS(AA43)&gt;=1E9,AA43/1E9,IF(ABS(AA43)&gt;=1E6,AA43/1E6,IF(ABS(AA43)&gt;=1E3,AA43/1E3,AA43))))</f>
        <v>0.0</v>
      </c>
      <c r="O43" s="11" t="str">
        <f>IF(ABS(AA43)&gt;=1E12,"TB",IF(ABS(AA43)&gt;=1E9,"GB",IF(ABS(AA43)&gt;=1E6,"MB",IF(ABS(AA43)&gt;=1E3,"KB","bytes"))))</f>
        <v>B</v>
      </c>
      <c r="P43" s="12">
        <f>IF(ABS(AB43)&gt;=1E12,AB43/1E12,IF(ABS(AB43)&gt;=1E9,AB43/1E9,IF(ABS(AB43)&gt;=1E6,AB43/1E6,IF(ABS(AB43)&gt;=1E3,AB43/1E3,AB43))))</f>
        <v>0.0</v>
      </c>
      <c r="Q43" s="11" t="str">
        <f>IF(ABS(AB43)&gt;=1E12,"TB",IF(ABS(AB43)&gt;=1E9,"GB",IF(ABS(AB43)&gt;=1E6,"MB",IF(ABS(AB43)&gt;=1E3,"KB","bytes"))))</f>
        <v>B</v>
      </c>
      <c r="R43" s="4" t="s">
        <v>285</v>
      </c>
      <c r="S43" s="4" t="s">
        <v>331</v>
      </c>
      <c r="T43" s="13">
        <f>2*PrefillBatch*HiddenSize*VocabSize</f>
        <v>1059061760</v>
      </c>
      <c r="U43" s="13">
        <f>2*PrefillBatch*HiddenSize*TP1LocalVocab</f>
        <v>1059061760.0</v>
      </c>
      <c r="V43" s="13">
        <f>2*PrefillBatch*HiddenSize*TP8LocalVocab</f>
        <v>132382720.0</v>
      </c>
      <c r="W43" s="13">
        <f>TP1LocalVocab*HiddenSize*FP32Bytes+PrefillBatch*HiddenSize*FP32Bytes</f>
        <v>2118139904.0</v>
      </c>
      <c r="X43" s="13">
        <f>PrefillBatch*TP1LocalVocab*FP32Bytes</f>
        <v>517120.0</v>
      </c>
      <c r="Y43" s="13">
        <f>TP8LocalVocab*HiddenSize*FP32Bytes+PrefillBatch*HiddenSize*FP32Bytes</f>
        <v>264781824.0</v>
      </c>
      <c r="Z43" s="13">
        <f>PrefillBatch*TP8LocalVocab*FP32Bytes</f>
        <v>64640.0</v>
      </c>
      <c r="AA43" s="13">
        <f>0</f>
        <v>0</v>
      </c>
      <c r="AB43" s="13">
        <f>0</f>
        <v>0</v>
      </c>
      <c r="AC43" s="13">
        <f>(TP1LocalVocab*HiddenSize*FP32Bytes+PrefillBatch*HiddenSize*FP32Bytes)+(PrefillBatch*TP1LocalVocab*FP32Bytes)</f>
        <v>2118657024.0</v>
      </c>
      <c r="AD43" s="13">
        <f>(TP8LocalVocab*HiddenSize*FP32Bytes+PrefillBatch*HiddenSize*FP32Bytes)+(PrefillBatch*TP8LocalVocab*FP32Bytes)</f>
        <v>264846464.0</v>
      </c>
    </row>
    <row r="44" spans="1:30">
      <c r="A44" s="4" t="s">
        <v>332</v>
      </c>
      <c r="B44" s="4" t="s">
        <v>333</v>
      </c>
      <c r="C44" s="4" t="s">
        <v>334</v>
      </c>
      <c r="D44" s="10" t="s">
        <v>335</v>
      </c>
      <c r="E44" s="10" t="s">
        <v>336</v>
      </c>
      <c r="F44" s="12">
        <f>IF(ABS(U44)&gt;=1E15,U44/1E15,IF(ABS(U44)&gt;=1E12,U44/1E12,IF(ABS(U44)&gt;=1E9,U44/1E9,IF(ABS(U44)&gt;=1E6,U44/1E6,U44))))</f>
        <v>0.0</v>
      </c>
      <c r="G44" s="11" t="str">
        <f>IF(ABS(U44)&gt;=1E15,"PFLOPs",IF(ABS(U44)&gt;=1E12,"TFLOPs",IF(ABS(U44)&gt;=1E9,"GFLOPs",IF(ABS(U44)&gt;=1E6,"MFLOPs","flops"))))</f>
        <v>FLOPs</v>
      </c>
      <c r="H44" s="12">
        <f>IF(ABS(V44)&gt;=1E15,V44/1E15,IF(ABS(V44)&gt;=1E12,V44/1E12,IF(ABS(V44)&gt;=1E9,V44/1E9,IF(ABS(V44)&gt;=1E6,V44/1E6,V44))))</f>
        <v>0.0</v>
      </c>
      <c r="I44" s="11" t="str">
        <f>IF(ABS(V44)&gt;=1E15,"PFLOPs",IF(ABS(V44)&gt;=1E12,"TFLOPs",IF(ABS(V44)&gt;=1E9,"GFLOPs",IF(ABS(V44)&gt;=1E6,"MFLOPs","flops"))))</f>
        <v>FLOPs</v>
      </c>
      <c r="J44" s="12">
        <f>IF(ABS(AC44)&gt;=1E12,AC44/1E12,IF(ABS(AC44)&gt;=1E9,AC44/1E9,IF(ABS(AC44)&gt;=1E6,AC44/1E6,IF(ABS(AC44)&gt;=1E3,AC44/1E3,AC44))))</f>
        <v>0.0</v>
      </c>
      <c r="K44" s="11" t="str">
        <f>IF(ABS(AC44)&gt;=1E12,"TB",IF(ABS(AC44)&gt;=1E9,"GB",IF(ABS(AC44)&gt;=1E6,"MB",IF(ABS(AC44)&gt;=1E3,"KB","bytes"))))</f>
        <v>B</v>
      </c>
      <c r="L44" s="12">
        <f>IF(ABS(AD44)&gt;=1E12,AD44/1E12,IF(ABS(AD44)&gt;=1E9,AD44/1E9,IF(ABS(AD44)&gt;=1E6,AD44/1E6,IF(ABS(AD44)&gt;=1E3,AD44/1E3,AD44))))</f>
        <v>0.0</v>
      </c>
      <c r="M44" s="11" t="str">
        <f>IF(ABS(AD44)&gt;=1E12,"TB",IF(ABS(AD44)&gt;=1E9,"GB",IF(ABS(AD44)&gt;=1E6,"MB",IF(ABS(AD44)&gt;=1E3,"KB","bytes"))))</f>
        <v>B</v>
      </c>
      <c r="N44" s="12">
        <f>IF(ABS(AA44)&gt;=1E12,AA44/1E12,IF(ABS(AA44)&gt;=1E9,AA44/1E9,IF(ABS(AA44)&gt;=1E6,AA44/1E6,IF(ABS(AA44)&gt;=1E3,AA44/1E3,AA44))))</f>
        <v>0.0</v>
      </c>
      <c r="O44" s="11" t="str">
        <f>IF(ABS(AA44)&gt;=1E12,"TB",IF(ABS(AA44)&gt;=1E9,"GB",IF(ABS(AA44)&gt;=1E6,"MB",IF(ABS(AA44)&gt;=1E3,"KB","bytes"))))</f>
        <v>B</v>
      </c>
      <c r="P44" s="12">
        <f>IF(ABS(AB44)&gt;=1E12,AB44/1E12,IF(ABS(AB44)&gt;=1E9,AB44/1E9,IF(ABS(AB44)&gt;=1E6,AB44/1E6,IF(ABS(AB44)&gt;=1E3,AB44/1E3,AB44))))</f>
        <v>40.635322112</v>
      </c>
      <c r="Q44" s="11" t="str">
        <f>IF(ABS(AB44)&gt;=1E12,"TB",IF(ABS(AB44)&gt;=1E9,"GB",IF(ABS(AB44)&gt;=1E6,"MB",IF(ABS(AB44)&gt;=1E3,"KB","bytes"))))</f>
        <v>GB</v>
      </c>
      <c r="R44" s="4" t="s">
        <v>325</v>
      </c>
      <c r="S44" s="4" t="s">
        <v>337</v>
      </c>
      <c r="T44" s="13">
        <f>0</f>
        <v>0</v>
      </c>
      <c r="U44" s="13">
        <f>0</f>
        <v>0</v>
      </c>
      <c r="V44" s="13">
        <f>0</f>
        <v>0</v>
      </c>
      <c r="W44" s="13">
        <f>0</f>
        <v>0</v>
      </c>
      <c r="X44" s="13">
        <f>0</f>
        <v>0</v>
      </c>
      <c r="Y44" s="13">
        <f>0</f>
        <v>0</v>
      </c>
      <c r="Z44" s="13">
        <f>0</f>
        <v>0</v>
      </c>
      <c r="AA44" s="13">
        <f>4*(TP1Size-1)/TP1Size*PF_Rows*HiddenSize*BF16Bytes+2*4*(TP1Size-1)/TP1Size*PF_Rows*HiddenSize*FP32Bytes*TotalLayers+2*(TP1Size-1)*PrefillBatch*TP1LocalVocab*FP32Bytes</f>
        <v>0.0</v>
      </c>
      <c r="AB44" s="13">
        <f>4*(TP8Size-1)/TP8Size*PF_Rows*HiddenSize*BF16Bytes+2*4*(TP8Size-1)/TP8Size*PF_Rows*HiddenSize*FP32Bytes*TotalLayers+2*(TP8Size-1)*PrefillBatch*TP8LocalVocab*FP32Bytes</f>
        <v>40635322112.0</v>
      </c>
      <c r="AC44" s="13">
        <f>(0)+(0)</f>
        <v>0</v>
      </c>
      <c r="AD44" s="13">
        <f>(0)+(0)</f>
        <v>0</v>
      </c>
    </row>
  </sheetData>
  <mergeCells count="2">
    <mergeCell ref="A31:S31"/>
    <mergeCell ref="A11:F11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AF44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23.7109375" customWidth="1"/>
    <col min="2" max="2" width="64.7109375" customWidth="1"/>
    <col min="3" max="3" width="24.7109375" customWidth="1"/>
    <col min="4" max="5" width="52.7109375" customWidth="1"/>
    <col min="6" max="16" width="16.7109375" customWidth="1"/>
    <col min="17" max="18" width="13.7109375" customWidth="1"/>
    <col min="19" max="19" width="60.7109375" customWidth="1"/>
    <col min="20" max="32" width="0" hidden="1" customWidth="1"/>
  </cols>
  <sheetData>
    <row r="1" spans="1:32">
      <c r="A1" s="1" t="s">
        <v>367</v>
      </c>
    </row>
    <row r="2" spans="1:32">
      <c r="A2" s="2" t="s">
        <v>244</v>
      </c>
    </row>
    <row r="3" spans="1:32">
      <c r="A3" s="3" t="s">
        <v>245</v>
      </c>
      <c r="B3" s="3" t="s">
        <v>246</v>
      </c>
      <c r="C3" s="3" t="s">
        <v>5</v>
      </c>
      <c r="D3" s="3" t="s">
        <v>6</v>
      </c>
    </row>
    <row r="4" spans="1:32">
      <c r="A4" s="4" t="s">
        <v>247</v>
      </c>
      <c r="B4" s="10" t="s">
        <v>368</v>
      </c>
      <c r="C4" s="6">
        <f>DecodeBatch*DecodeTokens</f>
        <v>1</v>
      </c>
      <c r="D4" s="11" t="s">
        <v>249</v>
      </c>
    </row>
    <row r="5" spans="1:32">
      <c r="A5" s="4" t="s">
        <v>369</v>
      </c>
      <c r="B5" s="10" t="s">
        <v>370</v>
      </c>
      <c r="C5" s="6">
        <f>DecodeTokens*MIN(WindowSize,DecodeContext)</f>
        <v>128</v>
      </c>
      <c r="D5" s="11" t="s">
        <v>252</v>
      </c>
    </row>
    <row r="6" spans="1:32">
      <c r="A6" s="4" t="s">
        <v>371</v>
      </c>
      <c r="B6" s="10" t="s">
        <v>372</v>
      </c>
      <c r="C6" s="6">
        <f>DecodeTokens*MIN(IndexTopK,INT(DecodeContext/ShortRatio))</f>
        <v>512</v>
      </c>
      <c r="D6" s="11" t="s">
        <v>252</v>
      </c>
    </row>
    <row r="7" spans="1:32">
      <c r="A7" s="4" t="s">
        <v>373</v>
      </c>
      <c r="B7" s="10" t="s">
        <v>374</v>
      </c>
      <c r="C7" s="6">
        <f>DecodeTokens*INT(DecodeContext/LongRatio)</f>
        <v>8192</v>
      </c>
      <c r="D7" s="11" t="s">
        <v>252</v>
      </c>
    </row>
    <row r="8" spans="1:32">
      <c r="A8" s="4" t="s">
        <v>375</v>
      </c>
      <c r="B8" s="10" t="s">
        <v>376</v>
      </c>
      <c r="C8" s="6">
        <f>DecodeTokens*INT(DecodeContext/ShortRatio)</f>
        <v>262144</v>
      </c>
      <c r="D8" s="11" t="s">
        <v>252</v>
      </c>
    </row>
    <row r="9" spans="1:32">
      <c r="A9" s="4" t="s">
        <v>259</v>
      </c>
      <c r="B9" s="10" t="s">
        <v>377</v>
      </c>
      <c r="C9" s="6">
        <f>1-(1-ActivatedExperts/RoutedExperts)^DC_Rows</f>
        <v>0.0234375</v>
      </c>
      <c r="D9" s="11" t="s">
        <v>261</v>
      </c>
    </row>
    <row r="11" spans="1:32">
      <c r="A11" s="7" t="s">
        <v>338</v>
      </c>
      <c r="B11" s="7"/>
      <c r="C11" s="7"/>
      <c r="D11" s="7"/>
      <c r="E11" s="7"/>
      <c r="F11" s="7"/>
    </row>
    <row r="12" spans="1:32">
      <c r="A12" s="3" t="s">
        <v>339</v>
      </c>
      <c r="B12" s="3" t="s">
        <v>246</v>
      </c>
      <c r="C12" s="3" t="s">
        <v>340</v>
      </c>
      <c r="D12" s="3" t="s">
        <v>6</v>
      </c>
      <c r="E12" s="3" t="s">
        <v>341</v>
      </c>
      <c r="F12" s="3" t="s">
        <v>6</v>
      </c>
    </row>
    <row r="13" spans="1:32">
      <c r="A13" s="4" t="s">
        <v>342</v>
      </c>
      <c r="B13" s="10" t="s">
        <v>343</v>
      </c>
      <c r="C13" s="12">
        <f>IF(ABS(AE13)&gt;=1E15,AE13/1E15,IF(ABS(AE13)&gt;=1E12,AE13/1E12,IF(ABS(AE13)&gt;=1E9,AE13/1E9,IF(ABS(AE13)&gt;=1E6,AE13/1E6,AE13))))</f>
        <v>123.969470464</v>
      </c>
      <c r="D13" s="11" t="str">
        <f>IF(ABS(AE13)&gt;=1E15,"PFLOPs",IF(ABS(AE13)&gt;=1E12,"TFLOPs",IF(ABS(AE13)&gt;=1E9,"GFLOPs",IF(ABS(AE13)&gt;=1E6,"MFLOPs","flops"))))</f>
        <v>GFLOPs</v>
      </c>
      <c r="E13" s="12">
        <f>IF(ABS(AF13)&gt;=1E15,AF13/1E15,IF(ABS(AF13)&gt;=1E12,AF13/1E12,IF(ABS(AF13)&gt;=1E9,AF13/1E9,IF(ABS(AF13)&gt;=1E6,AF13/1E6,AF13))))</f>
        <v>19.452461056</v>
      </c>
      <c r="F13" s="11" t="str">
        <f>IF(ABS(AF13)&gt;=1E15,"PFLOPs",IF(ABS(AF13)&gt;=1E12,"TFLOPs",IF(ABS(AF13)&gt;=1E9,"GFLOPs",IF(ABS(AF13)&gt;=1E6,"MFLOPs","flops"))))</f>
        <v>GFLOPs</v>
      </c>
      <c r="AE13" s="13">
        <f>SUMIFS($U$33:$U$44,$A$33:$A$44,"Attention",$R$33:$R$44,"Major")</f>
        <v>123969470464.0</v>
      </c>
      <c r="AF13" s="13">
        <f>SUMIFS($V$33:$V$44,$A$33:$A$44,"Attention",$R$33:$R$44,"Major")</f>
        <v>19452461056.0</v>
      </c>
    </row>
    <row r="14" spans="1:32">
      <c r="A14" s="4" t="s">
        <v>344</v>
      </c>
      <c r="B14" s="10" t="s">
        <v>345</v>
      </c>
      <c r="C14" s="12">
        <f>IF(ABS(AE14)&gt;=1E15,AE14/1E15,IF(ABS(AE14)&gt;=1E12,AE14/1E12,IF(ABS(AE14)&gt;=1E9,AE14/1E9,IF(ABS(AE14)&gt;=1E6,AE14/1E6,AE14))))</f>
        <v>15.240003584</v>
      </c>
      <c r="D14" s="11" t="str">
        <f>IF(ABS(AE14)&gt;=1E15,"PFLOPs",IF(ABS(AE14)&gt;=1E12,"TFLOPs",IF(ABS(AE14)&gt;=1E9,"GFLOPs",IF(ABS(AE14)&gt;=1E6,"MFLOPs","flops"))))</f>
        <v>GFLOPs</v>
      </c>
      <c r="E14" s="12">
        <f>IF(ABS(AF14)&gt;=1E15,AF14/1E15,IF(ABS(AF14)&gt;=1E12,AF14/1E12,IF(ABS(AF14)&gt;=1E9,AF14/1E9,IF(ABS(AF14)&gt;=1E6,AF14/1E6,AF14))))</f>
        <v>3.877634048</v>
      </c>
      <c r="F14" s="11" t="str">
        <f>IF(ABS(AF14)&gt;=1E15,"PFLOPs",IF(ABS(AF14)&gt;=1E12,"TFLOPs",IF(ABS(AF14)&gt;=1E9,"GFLOPs",IF(ABS(AF14)&gt;=1E6,"MFLOPs","flops"))))</f>
        <v>GFLOPs</v>
      </c>
      <c r="AE14" s="13">
        <f>SUMIFS($U$33:$U$44,$A$33:$A$44,"MoE",$R$33:$R$44,"Major")</f>
        <v>15240003584.0</v>
      </c>
      <c r="AF14" s="13">
        <f>SUMIFS($V$33:$V$44,$A$33:$A$44,"MoE",$R$33:$R$44,"Major")</f>
        <v>3877634048.0</v>
      </c>
    </row>
    <row r="15" spans="1:32">
      <c r="A15" s="4" t="s">
        <v>346</v>
      </c>
      <c r="B15" s="10" t="s">
        <v>347</v>
      </c>
      <c r="C15" s="12">
        <f>IF(ABS(AE15)&gt;=1E15,AE15/1E15,IF(ABS(AE15)&gt;=1E12,AE15/1E12,IF(ABS(AE15)&gt;=1E9,AE15/1E9,IF(ABS(AE15)&gt;=1E6,AE15/1E6,AE15))))</f>
        <v>1.144660054</v>
      </c>
      <c r="D15" s="11" t="str">
        <f>IF(ABS(AE15)&gt;=1E15,"PFLOPs",IF(ABS(AE15)&gt;=1E12,"TFLOPs",IF(ABS(AE15)&gt;=1E9,"GFLOPs",IF(ABS(AE15)&gt;=1E6,"MFLOPs","flops"))))</f>
        <v>GFLOPs</v>
      </c>
      <c r="E15" s="12">
        <f>IF(ABS(AF15)&gt;=1E15,AF15/1E15,IF(ABS(AF15)&gt;=1E12,AF15/1E12,IF(ABS(AF15)&gt;=1E9,AF15/1E9,IF(ABS(AF15)&gt;=1E6,AF15/1E6,AF15))))</f>
        <v>217.981014</v>
      </c>
      <c r="F15" s="11" t="str">
        <f>IF(ABS(AF15)&gt;=1E15,"PFLOPs",IF(ABS(AF15)&gt;=1E12,"TFLOPs",IF(ABS(AF15)&gt;=1E9,"GFLOPs",IF(ABS(AF15)&gt;=1E6,"MFLOPs","flops"))))</f>
        <v>MFLOPs</v>
      </c>
      <c r="AE15" s="13">
        <f>SUMIF($A$33:$A$44,"Other",$U$33:$U$44)</f>
        <v>1144660054.0</v>
      </c>
      <c r="AF15" s="13">
        <f>SUMIF($A$33:$A$44,"Other",$V$33:$V$44)</f>
        <v>217981014.0</v>
      </c>
    </row>
    <row r="16" spans="1:32">
      <c r="A16" s="4" t="s">
        <v>348</v>
      </c>
      <c r="B16" s="10" t="s">
        <v>349</v>
      </c>
      <c r="C16" s="14">
        <f>IF(ABS(AE16)&gt;=1E15,AE16/1E15,IF(ABS(AE16)&gt;=1E12,AE16/1E12,IF(ABS(AE16)&gt;=1E9,AE16/1E9,IF(ABS(AE16)&gt;=1E6,AE16/1E6,AE16))))</f>
        <v>140.354134102</v>
      </c>
      <c r="D16" s="11" t="str">
        <f>IF(ABS(AE16)&gt;=1E15,"PFLOPs",IF(ABS(AE16)&gt;=1E12,"TFLOPs",IF(ABS(AE16)&gt;=1E9,"GFLOPs",IF(ABS(AE16)&gt;=1E6,"MFLOPs","flops"))))</f>
        <v>GFLOPs</v>
      </c>
      <c r="E16" s="14">
        <f>IF(ABS(AF16)&gt;=1E15,AF16/1E15,IF(ABS(AF16)&gt;=1E12,AF16/1E12,IF(ABS(AF16)&gt;=1E9,AF16/1E9,IF(ABS(AF16)&gt;=1E6,AF16/1E6,AF16))))</f>
        <v>23.548076118</v>
      </c>
      <c r="F16" s="11" t="str">
        <f>IF(ABS(AF16)&gt;=1E15,"PFLOPs",IF(ABS(AF16)&gt;=1E12,"TFLOPs",IF(ABS(AF16)&gt;=1E9,"GFLOPs",IF(ABS(AF16)&gt;=1E6,"MFLOPs","flops"))))</f>
        <v>GFLOPs</v>
      </c>
      <c r="AE16" s="13">
        <f>SUM($U$33:$U$44)</f>
        <v>140354134102.0</v>
      </c>
      <c r="AF16" s="13">
        <f>SUM($V$33:$V$44)</f>
        <v>23548076118.0</v>
      </c>
    </row>
    <row r="17" spans="1:32">
      <c r="A17" s="4" t="s">
        <v>350</v>
      </c>
      <c r="B17" s="10" t="s">
        <v>351</v>
      </c>
      <c r="C17" s="12">
        <f>IF(ABS(AE17)&gt;=1E12,AE17/1E12,IF(ABS(AE17)&gt;=1E9,AE17/1E9,IF(ABS(AE17)&gt;=1E6,AE17/1E6,IF(ABS(AE17)&gt;=1E3,AE17/1E3,AE17))))</f>
        <v>10.492228352</v>
      </c>
      <c r="D17" s="11" t="str">
        <f>IF(ABS(AE17)&gt;=1E12,"TB",IF(ABS(AE17)&gt;=1E9,"GB",IF(ABS(AE17)&gt;=1E6,"MB",IF(ABS(AE17)&gt;=1E3,"KB","bytes"))))</f>
        <v>GB</v>
      </c>
      <c r="E17" s="12">
        <f>IF(ABS(AF17)&gt;=1E12,AF17/1E12,IF(ABS(AF17)&gt;=1E9,AF17/1E9,IF(ABS(AF17)&gt;=1E6,AF17/1E6,IF(ABS(AF17)&gt;=1E3,AF17/1E3,AF17))))</f>
        <v>4.035232528</v>
      </c>
      <c r="F17" s="11" t="str">
        <f>IF(ABS(AF17)&gt;=1E12,"TB",IF(ABS(AF17)&gt;=1E9,"GB",IF(ABS(AF17)&gt;=1E6,"MB",IF(ABS(AF17)&gt;=1E3,"KB","bytes"))))</f>
        <v>GB</v>
      </c>
      <c r="AE17" s="13">
        <f>SUMIF($A$33:$A$44,"Attention",$W$33:$W$44)+SUMIF($A$33:$A$44,"Attention",$X$33:$X$44)</f>
        <v>10492228352.0</v>
      </c>
      <c r="AF17" s="13">
        <f>SUMIF($A$33:$A$44,"Attention",$Y$33:$Y$44)+SUMIF($A$33:$A$44,"Attention",$Z$33:$Z$44)</f>
        <v>4035232528.0</v>
      </c>
    </row>
    <row r="18" spans="1:32">
      <c r="A18" s="4" t="s">
        <v>352</v>
      </c>
      <c r="B18" s="10" t="s">
        <v>353</v>
      </c>
      <c r="C18" s="12">
        <f>IF(ABS(AE18)&gt;=1E12,AE18/1E12,IF(ABS(AE18)&gt;=1E9,AE18/1E9,IF(ABS(AE18)&gt;=1E6,AE18/1E6,IF(ABS(AE18)&gt;=1E3,AE18/1E3,AE18))))</f>
        <v>4.627033672</v>
      </c>
      <c r="D18" s="11" t="str">
        <f>IF(ABS(AE18)&gt;=1E12,"TB",IF(ABS(AE18)&gt;=1E9,"GB",IF(ABS(AE18)&gt;=1E6,"MB",IF(ABS(AE18)&gt;=1E3,"KB","bytes"))))</f>
        <v>GB</v>
      </c>
      <c r="E18" s="12">
        <f>IF(ABS(AF18)&gt;=1E12,AF18/1E12,IF(ABS(AF18)&gt;=1E9,AF18/1E9,IF(ABS(AF18)&gt;=1E6,AF18/1E6,IF(ABS(AF18)&gt;=1E3,AF18/1E3,AF18))))</f>
        <v>1.605205576</v>
      </c>
      <c r="F18" s="11" t="str">
        <f>IF(ABS(AF18)&gt;=1E12,"TB",IF(ABS(AF18)&gt;=1E9,"GB",IF(ABS(AF18)&gt;=1E6,"MB",IF(ABS(AF18)&gt;=1E3,"KB","bytes"))))</f>
        <v>GB</v>
      </c>
      <c r="AE18" s="13">
        <f>SUMIF($A$33:$A$44,"MoE",$W$33:$W$44)+SUMIF($A$33:$A$44,"MoE",$X$33:$X$44)</f>
        <v>4627033672.0</v>
      </c>
      <c r="AF18" s="13">
        <f>SUMIF($A$33:$A$44,"MoE",$Y$33:$Y$44)+SUMIF($A$33:$A$44,"MoE",$Z$33:$Z$44)</f>
        <v>1605205576.0</v>
      </c>
    </row>
    <row r="19" spans="1:32">
      <c r="A19" s="4" t="s">
        <v>354</v>
      </c>
      <c r="B19" s="10" t="s">
        <v>355</v>
      </c>
      <c r="C19" s="12">
        <f>IF(ABS(AE19)&gt;=1E12,AE19/1E12,IF(ABS(AE19)&gt;=1E9,AE19/1E9,IF(ABS(AE19)&gt;=1E6,AE19/1E6,IF(ABS(AE19)&gt;=1E3,AE19/1E3,AE19))))</f>
        <v>2.265204808</v>
      </c>
      <c r="D19" s="11" t="str">
        <f>IF(ABS(AE19)&gt;=1E12,"TB",IF(ABS(AE19)&gt;=1E9,"GB",IF(ABS(AE19)&gt;=1E6,"MB",IF(ABS(AE19)&gt;=1E3,"KB","bytes"))))</f>
        <v>GB</v>
      </c>
      <c r="E19" s="12">
        <f>IF(ABS(AF19)&gt;=1E12,AF19/1E12,IF(ABS(AF19)&gt;=1E9,AF19/1E9,IF(ABS(AF19)&gt;=1E6,AF19/1E6,IF(ABS(AF19)&gt;=1E3,AF19/1E3,AF19))))</f>
        <v>411.394248</v>
      </c>
      <c r="F19" s="11" t="str">
        <f>IF(ABS(AF19)&gt;=1E12,"TB",IF(ABS(AF19)&gt;=1E9,"GB",IF(ABS(AF19)&gt;=1E6,"MB",IF(ABS(AF19)&gt;=1E3,"KB","bytes"))))</f>
        <v>MB</v>
      </c>
      <c r="AE19" s="13">
        <f>SUMIF($A$33:$A$44,"Other",$W$33:$W$44)+SUMIF($A$33:$A$44,"Other",$X$33:$X$44)</f>
        <v>2265204808.0</v>
      </c>
      <c r="AF19" s="13">
        <f>SUMIF($A$33:$A$44,"Other",$Y$33:$Y$44)+SUMIF($A$33:$A$44,"Other",$Z$33:$Z$44)</f>
        <v>411394248.0</v>
      </c>
    </row>
    <row r="20" spans="1:32">
      <c r="A20" s="4" t="s">
        <v>356</v>
      </c>
      <c r="B20" s="10" t="s">
        <v>357</v>
      </c>
      <c r="C20" s="14">
        <f>IF(ABS(AE20)&gt;=1E12,AE20/1E12,IF(ABS(AE20)&gt;=1E9,AE20/1E9,IF(ABS(AE20)&gt;=1E6,AE20/1E6,IF(ABS(AE20)&gt;=1E3,AE20/1E3,AE20))))</f>
        <v>17.384466832</v>
      </c>
      <c r="D20" s="11" t="str">
        <f>IF(ABS(AE20)&gt;=1E12,"TB",IF(ABS(AE20)&gt;=1E9,"GB",IF(ABS(AE20)&gt;=1E6,"MB",IF(ABS(AE20)&gt;=1E3,"KB","bytes"))))</f>
        <v>GB</v>
      </c>
      <c r="E20" s="14">
        <f>IF(ABS(AF20)&gt;=1E12,AF20/1E12,IF(ABS(AF20)&gt;=1E9,AF20/1E9,IF(ABS(AF20)&gt;=1E6,AF20/1E6,IF(ABS(AF20)&gt;=1E3,AF20/1E3,AF20))))</f>
        <v>6.051832352</v>
      </c>
      <c r="F20" s="11" t="str">
        <f>IF(ABS(AF20)&gt;=1E12,"TB",IF(ABS(AF20)&gt;=1E9,"GB",IF(ABS(AF20)&gt;=1E6,"MB",IF(ABS(AF20)&gt;=1E3,"KB","bytes"))))</f>
        <v>GB</v>
      </c>
      <c r="AE20" s="13">
        <f>SUM($W$33:$X$44)</f>
        <v>17384466832.0</v>
      </c>
      <c r="AF20" s="13">
        <f>SUM($Y$33:$Z$44)</f>
        <v>6051832352.0</v>
      </c>
    </row>
    <row r="21" spans="1:32">
      <c r="A21" s="4" t="s">
        <v>358</v>
      </c>
      <c r="B21" s="10" t="s">
        <v>359</v>
      </c>
      <c r="C21" s="12">
        <f>IF(ABS(AE21)&gt;=1E12,AE21/1E12,IF(ABS(AE21)&gt;=1E9,AE21/1E9,IF(ABS(AE21)&gt;=1E6,AE21/1E6,IF(ABS(AE21)&gt;=1E3,AE21/1E3,AE21))))</f>
        <v>0.0</v>
      </c>
      <c r="D21" s="11" t="str">
        <f>IF(ABS(AE21)&gt;=1E12,"TB",IF(ABS(AE21)&gt;=1E9,"GB",IF(ABS(AE21)&gt;=1E6,"MB",IF(ABS(AE21)&gt;=1E3,"KB","bytes"))))</f>
        <v>B</v>
      </c>
      <c r="E21" s="12">
        <f>IF(ABS(AF21)&gt;=1E12,AF21/1E12,IF(ABS(AF21)&gt;=1E9,AF21/1E9,IF(ABS(AF21)&gt;=1E6,AF21/1E6,IF(ABS(AF21)&gt;=1E3,AF21/1E3,AF21))))</f>
        <v>5.865216</v>
      </c>
      <c r="F21" s="11" t="str">
        <f>IF(ABS(AF21)&gt;=1E12,"TB",IF(ABS(AF21)&gt;=1E9,"GB",IF(ABS(AF21)&gt;=1E6,"MB",IF(ABS(AF21)&gt;=1E3,"KB","bytes"))))</f>
        <v>MB</v>
      </c>
      <c r="AE21" s="13">
        <f>SUM($AA$33:$AA$44)</f>
        <v>0.0</v>
      </c>
      <c r="AF21" s="13">
        <f>SUM($AB$33:$AB$44)</f>
        <v>5865216.0</v>
      </c>
    </row>
    <row r="22" spans="1:32">
      <c r="A22" s="4" t="s">
        <v>360</v>
      </c>
      <c r="B22" s="10" t="s">
        <v>361</v>
      </c>
      <c r="C22" s="12">
        <f>AE22</f>
        <v>8.073536879695776</v>
      </c>
      <c r="D22" s="11" t="s">
        <v>362</v>
      </c>
      <c r="E22" s="12">
        <f>AF22</f>
        <v>3.891065506832467</v>
      </c>
      <c r="F22" s="11" t="s">
        <v>362</v>
      </c>
      <c r="AE22" s="13">
        <f>SUM($U$33:$U$44)/(SUM($W$33:$W$44)+SUM($X$33:$X$44))</f>
        <v>8.073536879695776</v>
      </c>
      <c r="AF22" s="13">
        <f>SUM($V$33:$V$44)/(SUM($Y$33:$Y$44)+SUM($Z$33:$Z$44))</f>
        <v>3.891065506832467</v>
      </c>
    </row>
    <row r="23" spans="1:32">
      <c r="A23" s="4" t="s">
        <v>363</v>
      </c>
      <c r="B23" s="10" t="s">
        <v>400</v>
      </c>
      <c r="C23" s="12">
        <f>AE23</f>
        <v>14.0354134102</v>
      </c>
      <c r="D23" s="11" t="s">
        <v>155</v>
      </c>
      <c r="E23" s="12">
        <f>AF23</f>
        <v>2.3548076118</v>
      </c>
      <c r="F23" s="11" t="s">
        <v>155</v>
      </c>
      <c r="AE23" s="13">
        <f>SUM($U$33:$U$44)/(DecodeTargetMs/1000)/1E12</f>
        <v>14.0354134102</v>
      </c>
      <c r="AF23" s="13">
        <f>SUM($V$33:$V$44)/(DecodeTargetMs/1000)/1E12</f>
        <v>2.3548076118</v>
      </c>
    </row>
    <row r="24" spans="1:32">
      <c r="A24" s="4" t="s">
        <v>365</v>
      </c>
      <c r="B24" s="10" t="s">
        <v>401</v>
      </c>
      <c r="C24" s="12">
        <f>AE24</f>
        <v>1738.4466832</v>
      </c>
      <c r="D24" s="11" t="s">
        <v>159</v>
      </c>
      <c r="E24" s="12">
        <f>AF24</f>
        <v>605.1832352</v>
      </c>
      <c r="F24" s="11" t="s">
        <v>159</v>
      </c>
      <c r="AE24" s="13">
        <f>(SUM($W$33:$W$44)+SUM($X$33:$X$44))/(DecodeTargetMs/1000)/1E9</f>
        <v>1738.4466832</v>
      </c>
      <c r="AF24" s="13">
        <f>(SUM($Y$33:$Y$44)+SUM($Z$33:$Z$44))/(DecodeTargetMs/1000)/1E9</f>
        <v>605.1832352</v>
      </c>
    </row>
    <row r="31" spans="1:32">
      <c r="A31" s="7" t="s">
        <v>262</v>
      </c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</row>
    <row r="32" spans="1:32">
      <c r="A32" t="s">
        <v>2</v>
      </c>
      <c r="B32" t="s">
        <v>263</v>
      </c>
      <c r="C32" t="s">
        <v>264</v>
      </c>
      <c r="D32" t="s">
        <v>265</v>
      </c>
      <c r="E32" t="s">
        <v>266</v>
      </c>
      <c r="F32" t="s">
        <v>267</v>
      </c>
      <c r="G32" t="s">
        <v>268</v>
      </c>
      <c r="H32" t="s">
        <v>269</v>
      </c>
      <c r="I32" t="s">
        <v>270</v>
      </c>
      <c r="J32" t="s">
        <v>271</v>
      </c>
      <c r="K32" t="s">
        <v>272</v>
      </c>
      <c r="L32" t="s">
        <v>273</v>
      </c>
      <c r="M32" t="s">
        <v>274</v>
      </c>
      <c r="N32" t="s">
        <v>275</v>
      </c>
      <c r="O32" t="s">
        <v>276</v>
      </c>
      <c r="P32" t="s">
        <v>277</v>
      </c>
      <c r="Q32" t="s">
        <v>278</v>
      </c>
      <c r="R32" t="s">
        <v>279</v>
      </c>
      <c r="S32" t="s">
        <v>280</v>
      </c>
    </row>
    <row r="33" spans="1:30">
      <c r="A33" s="4" t="s">
        <v>46</v>
      </c>
      <c r="B33" s="4" t="s">
        <v>281</v>
      </c>
      <c r="C33" s="4" t="s">
        <v>282</v>
      </c>
      <c r="D33" s="10" t="s">
        <v>378</v>
      </c>
      <c r="E33" s="10" t="s">
        <v>379</v>
      </c>
      <c r="F33" s="12">
        <f>IF(ABS(U33)&gt;=1E15,U33/1E15,IF(ABS(U33)&gt;=1E12,U33/1E12,IF(ABS(U33)&gt;=1E9,U33/1E9,IF(ABS(U33)&gt;=1E6,U33/1E6,U33))))</f>
        <v>9.198108672</v>
      </c>
      <c r="G33" s="11" t="str">
        <f>IF(ABS(U33)&gt;=1E15,"PFLOPs",IF(ABS(U33)&gt;=1E12,"TFLOPs",IF(ABS(U33)&gt;=1E9,"GFLOPs",IF(ABS(U33)&gt;=1E6,"MFLOPs","flops"))))</f>
        <v>GFLOPs</v>
      </c>
      <c r="H33" s="12">
        <f>IF(ABS(V33)&gt;=1E15,V33/1E15,IF(ABS(V33)&gt;=1E12,V33/1E12,IF(ABS(V33)&gt;=1E9,V33/1E9,IF(ABS(V33)&gt;=1E6,V33/1E6,V33))))</f>
        <v>1.623195648</v>
      </c>
      <c r="I33" s="11" t="str">
        <f>IF(ABS(V33)&gt;=1E15,"PFLOPs",IF(ABS(V33)&gt;=1E12,"TFLOPs",IF(ABS(V33)&gt;=1E9,"GFLOPs",IF(ABS(V33)&gt;=1E6,"MFLOPs","flops"))))</f>
        <v>GFLOPs</v>
      </c>
      <c r="J33" s="12">
        <f>IF(ABS(AC33)&gt;=1E12,AC33/1E12,IF(ABS(AC33)&gt;=1E9,AC33/1E9,IF(ABS(AC33)&gt;=1E6,AC33/1E6,IF(ABS(AC33)&gt;=1E3,AC33/1E3,AC33))))</f>
        <v>6.0504096</v>
      </c>
      <c r="K33" s="11" t="str">
        <f>IF(ABS(AC33)&gt;=1E12,"TB",IF(ABS(AC33)&gt;=1E9,"GB",IF(ABS(AC33)&gt;=1E6,"MB",IF(ABS(AC33)&gt;=1E3,"KB","bytes"))))</f>
        <v>GB</v>
      </c>
      <c r="L33" s="12">
        <f>IF(ABS(AD33)&gt;=1E12,AD33/1E12,IF(ABS(AD33)&gt;=1E9,AD33/1E9,IF(ABS(AD33)&gt;=1E6,AD33/1E6,IF(ABS(AD33)&gt;=1E3,AD33/1E3,AD33))))</f>
        <v>994.853504</v>
      </c>
      <c r="M33" s="11" t="str">
        <f>IF(ABS(AD33)&gt;=1E12,"TB",IF(ABS(AD33)&gt;=1E9,"GB",IF(ABS(AD33)&gt;=1E6,"MB",IF(ABS(AD33)&gt;=1E3,"KB","bytes"))))</f>
        <v>MB</v>
      </c>
      <c r="N33" s="12">
        <f>IF(ABS(AA33)&gt;=1E12,AA33/1E12,IF(ABS(AA33)&gt;=1E9,AA33/1E9,IF(ABS(AA33)&gt;=1E6,AA33/1E6,IF(ABS(AA33)&gt;=1E3,AA33/1E3,AA33))))</f>
        <v>0.0</v>
      </c>
      <c r="O33" s="11" t="str">
        <f>IF(ABS(AA33)&gt;=1E12,"TB",IF(ABS(AA33)&gt;=1E9,"GB",IF(ABS(AA33)&gt;=1E6,"MB",IF(ABS(AA33)&gt;=1E3,"KB","bytes"))))</f>
        <v>B</v>
      </c>
      <c r="P33" s="12">
        <f>IF(ABS(AB33)&gt;=1E12,AB33/1E12,IF(ABS(AB33)&gt;=1E9,AB33/1E9,IF(ABS(AB33)&gt;=1E6,AB33/1E6,IF(ABS(AB33)&gt;=1E3,AB33/1E3,AB33))))</f>
        <v>0.0</v>
      </c>
      <c r="Q33" s="11" t="str">
        <f>IF(ABS(AB33)&gt;=1E12,"TB",IF(ABS(AB33)&gt;=1E9,"GB",IF(ABS(AB33)&gt;=1E6,"MB",IF(ABS(AB33)&gt;=1E3,"KB","bytes"))))</f>
        <v>B</v>
      </c>
      <c r="R33" s="4" t="s">
        <v>285</v>
      </c>
      <c r="S33" s="4" t="s">
        <v>286</v>
      </c>
      <c r="T33" s="13">
        <f>DC_Rows*TotalLayers*2*(HiddenSize*QLoraRank+QLoraRank*NumHeads*HeadDim+HiddenSize*HeadDim+NumHeads*HeadDim*OLoraRank+OGroups*OLoraRank*HiddenSize)</f>
        <v>9198108672</v>
      </c>
      <c r="U33" s="13">
        <f>DC_Rows*TotalLayers*2*(HiddenSize*QLoraRank+QLoraRank*TP1LocalHeads*HeadDim+HiddenSize*HeadDim+TP1LocalHeads*HeadDim*OLoraRank+TP1LocalOGroups*OLoraRank*HiddenSize)</f>
        <v>9198108672.0</v>
      </c>
      <c r="V33" s="13">
        <f>DC_Rows*TotalLayers*2*(HiddenSize*QLoraRank+QLoraRank*TP8LocalHeads*HeadDim+HiddenSize*HeadDim+TP8LocalHeads*HeadDim*OLoraRank+TP8LocalOGroups*OLoraRank*HiddenSize)</f>
        <v>1623195648.0</v>
      </c>
      <c r="W33" s="13">
        <f>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+DC_Rows*TotalLayers*(2*HiddenSize*BF16Bytes+QLoraRank*BF16Bytes+TP1KernelLocalHeads*HeadDim*BF16Bytes+TP1LocalOGroups*OLoraRank*BF16Bytes)</f>
        <v>6046402688.0</v>
      </c>
      <c r="X33" s="13">
        <f>DC_Rows*TotalLayers*(QLoraRank+TP1KernelLocalHeads*HeadDim+HeadDim+TP1LocalOGroups*OLoraRank+HiddenSize)*BF16Bytes</f>
        <v>4006912.0</v>
      </c>
      <c r="Y33" s="13">
        <f>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+DC_Rows*TotalLayers*(2*HiddenSize*BF16Bytes+QLoraRank*BF16Bytes+TP8KernelLocalHeads*HeadDim*BF16Bytes+TP8LocalOGroups*OLoraRank*BF16Bytes)</f>
        <v>993576576.0</v>
      </c>
      <c r="Z33" s="13">
        <f>DC_Rows*TotalLayers*(QLoraRank+TP8KernelLocalHeads*HeadDim+HeadDim+TP8LocalOGroups*OLoraRank+HiddenSize)*BF16Bytes</f>
        <v>1276928.0</v>
      </c>
      <c r="AA33" s="13">
        <f>0</f>
        <v>0</v>
      </c>
      <c r="AB33" s="13">
        <f>0</f>
        <v>0</v>
      </c>
      <c r="AC33" s="13">
        <f>(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+DC_Rows*TotalLayers*(2*HiddenSize*BF16Bytes+QLoraRank*BF16Bytes+TP1KernelLocalHeads*HeadDim*BF16Bytes+TP1LocalOGroups*OLoraRank*BF16Bytes))+(DC_Rows*TotalLayers*(QLoraRank+TP1KernelLocalHeads*HeadDim+HeadDim+TP1LocalOGroups*OLoraRank+HiddenSize)*BF16Bytes)</f>
        <v>6050409600.0</v>
      </c>
      <c r="AD33" s="13">
        <f>(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+DC_Rows*TotalLayers*(2*HiddenSize*BF16Bytes+QLoraRank*BF16Bytes+TP8KernelLocalHeads*HeadDim*BF16Bytes+TP8LocalOGroups*OLoraRank*BF16Bytes))+(DC_Rows*TotalLayers*(QLoraRank+TP8KernelLocalHeads*HeadDim+HeadDim+TP8LocalOGroups*OLoraRank+HiddenSize)*BF16Bytes)</f>
        <v>994853504.0</v>
      </c>
    </row>
    <row r="34" spans="1:30">
      <c r="A34" s="4" t="s">
        <v>46</v>
      </c>
      <c r="B34" s="4" t="s">
        <v>287</v>
      </c>
      <c r="C34" s="4" t="s">
        <v>288</v>
      </c>
      <c r="D34" s="10" t="s">
        <v>380</v>
      </c>
      <c r="E34" s="10" t="s">
        <v>381</v>
      </c>
      <c r="F34" s="12">
        <f>IF(ABS(U34)&gt;=1E15,U34/1E15,IF(ABS(U34)&gt;=1E12,U34/1E12,IF(ABS(U34)&gt;=1E9,U34/1E9,IF(ABS(U34)&gt;=1E6,U34/1E6,U34))))</f>
        <v>23.605542912</v>
      </c>
      <c r="G34" s="11" t="str">
        <f>IF(ABS(U34)&gt;=1E15,"PFLOPs",IF(ABS(U34)&gt;=1E12,"TFLOPs",IF(ABS(U34)&gt;=1E9,"GFLOPs",IF(ABS(U34)&gt;=1E6,"MFLOPs","flops"))))</f>
        <v>GFLOPs</v>
      </c>
      <c r="H34" s="12">
        <f>IF(ABS(V34)&gt;=1E15,V34/1E15,IF(ABS(V34)&gt;=1E12,V34/1E12,IF(ABS(V34)&gt;=1E9,V34/1E9,IF(ABS(V34)&gt;=1E6,V34/1E6,V34))))</f>
        <v>5.901385728</v>
      </c>
      <c r="I34" s="11" t="str">
        <f>IF(ABS(V34)&gt;=1E15,"PFLOPs",IF(ABS(V34)&gt;=1E12,"TFLOPs",IF(ABS(V34)&gt;=1E9,"GFLOPs",IF(ABS(V34)&gt;=1E6,"MFLOPs","flops"))))</f>
        <v>GFLOPs</v>
      </c>
      <c r="J34" s="12">
        <f>IF(ABS(AC34)&gt;=1E12,AC34/1E12,IF(ABS(AC34)&gt;=1E9,AC34/1E9,IF(ABS(AC34)&gt;=1E6,AC34/1E6,IF(ABS(AC34)&gt;=1E3,AC34/1E3,AC34))))</f>
        <v>190.0544</v>
      </c>
      <c r="K34" s="11" t="str">
        <f>IF(ABS(AC34)&gt;=1E12,"TB",IF(ABS(AC34)&gt;=1E9,"GB",IF(ABS(AC34)&gt;=1E6,"MB",IF(ABS(AC34)&gt;=1E3,"KB","bytes"))))</f>
        <v>MB</v>
      </c>
      <c r="L34" s="12">
        <f>IF(ABS(AD34)&gt;=1E12,AD34/1E12,IF(ABS(AD34)&gt;=1E9,AD34/1E9,IF(ABS(AD34)&gt;=1E6,AD34/1E6,IF(ABS(AD34)&gt;=1E3,AD34/1E3,AD34))))</f>
        <v>185.827328</v>
      </c>
      <c r="M34" s="11" t="str">
        <f>IF(ABS(AD34)&gt;=1E12,"TB",IF(ABS(AD34)&gt;=1E9,"GB",IF(ABS(AD34)&gt;=1E6,"MB",IF(ABS(AD34)&gt;=1E3,"KB","bytes"))))</f>
        <v>MB</v>
      </c>
      <c r="N34" s="12">
        <f>IF(ABS(AA34)&gt;=1E12,AA34/1E12,IF(ABS(AA34)&gt;=1E9,AA34/1E9,IF(ABS(AA34)&gt;=1E6,AA34/1E6,IF(ABS(AA34)&gt;=1E3,AA34/1E3,AA34))))</f>
        <v>0.0</v>
      </c>
      <c r="O34" s="11" t="str">
        <f>IF(ABS(AA34)&gt;=1E12,"TB",IF(ABS(AA34)&gt;=1E9,"GB",IF(ABS(AA34)&gt;=1E6,"MB",IF(ABS(AA34)&gt;=1E3,"KB","bytes"))))</f>
        <v>B</v>
      </c>
      <c r="P34" s="12">
        <f>IF(ABS(AB34)&gt;=1E12,AB34/1E12,IF(ABS(AB34)&gt;=1E9,AB34/1E9,IF(ABS(AB34)&gt;=1E6,AB34/1E6,IF(ABS(AB34)&gt;=1E3,AB34/1E3,AB34))))</f>
        <v>0.0</v>
      </c>
      <c r="Q34" s="11" t="str">
        <f>IF(ABS(AB34)&gt;=1E12,"TB",IF(ABS(AB34)&gt;=1E9,"GB",IF(ABS(AB34)&gt;=1E6,"MB",IF(ABS(AB34)&gt;=1E3,"KB","bytes"))))</f>
        <v>B</v>
      </c>
      <c r="R34" s="4" t="s">
        <v>285</v>
      </c>
      <c r="S34" s="4" t="s">
        <v>291</v>
      </c>
      <c r="T34" s="13">
        <f>4*DecodeBatch*NumHeads*HeadDim*(WindowLayers*DC_RawPairs+ShortLayers*(DC_RawPairs+DC_ShortPairs)+LongLayers*(DC_RawPairs+DC_LongPairs))</f>
        <v>23605542912</v>
      </c>
      <c r="U34" s="13">
        <f>4*DecodeBatch*TP1KernelLocalHeads*HeadDim*(WindowLayers*DC_RawPairs+ShortLayers*(DC_RawPairs+DC_ShortPairs)+LongLayers*(DC_RawPairs+DC_LongPairs))</f>
        <v>23605542912.0</v>
      </c>
      <c r="V34" s="13">
        <f>4*DecodeBatch*TP8KernelLocalHeads*HeadDim*(WindowLayers*DC_RawPairs+ShortLayers*(DC_RawPairs+DC_ShortPairs)+LongLayers*(DC_RawPairs+DC_LongPairs))</f>
        <v>5901385728.0</v>
      </c>
      <c r="W34" s="13">
        <f>DC_Rows*TotalLayers*TP1KernelLocalHeads*HeadDim*BF16Bytes+DecodeBatch*(WindowLayers*DC_RawPairs+ShortLayers*(DC_RawPairs+DC_ShortPairs)+LongLayers*(DC_RawPairs+DC_LongPairs))*HeadDim*BF16Bytes</f>
        <v>187236352.0</v>
      </c>
      <c r="X34" s="13">
        <f>DC_Rows*TotalLayers*TP1KernelLocalHeads*HeadDim*BF16Bytes</f>
        <v>2818048.0</v>
      </c>
      <c r="Y34" s="13">
        <f>DC_Rows*TotalLayers*TP8KernelLocalHeads*HeadDim*BF16Bytes+DecodeBatch*(WindowLayers*DC_RawPairs+ShortLayers*(DC_RawPairs+DC_ShortPairs)+LongLayers*(DC_RawPairs+DC_LongPairs))*HeadDim*BF16Bytes</f>
        <v>185122816</v>
      </c>
      <c r="Z34" s="13">
        <f>DC_Rows*TotalLayers*TP8KernelLocalHeads*HeadDim*BF16Bytes</f>
        <v>704512</v>
      </c>
      <c r="AA34" s="13">
        <f>0</f>
        <v>0</v>
      </c>
      <c r="AB34" s="13">
        <f>0</f>
        <v>0</v>
      </c>
      <c r="AC34" s="13">
        <f>(DC_Rows*TotalLayers*TP1KernelLocalHeads*HeadDim*BF16Bytes+DecodeBatch*(WindowLayers*DC_RawPairs+ShortLayers*(DC_RawPairs+DC_ShortPairs)+LongLayers*(DC_RawPairs+DC_LongPairs))*HeadDim*BF16Bytes)+(DC_Rows*TotalLayers*TP1KernelLocalHeads*HeadDim*BF16Bytes)</f>
        <v>190054400.0</v>
      </c>
      <c r="AD34" s="13">
        <f>(DC_Rows*TotalLayers*TP8KernelLocalHeads*HeadDim*BF16Bytes+DecodeBatch*(WindowLayers*DC_RawPairs+ShortLayers*(DC_RawPairs+DC_ShortPairs)+LongLayers*(DC_RawPairs+DC_LongPairs))*HeadDim*BF16Bytes)+(DC_Rows*TotalLayers*TP8KernelLocalHeads*HeadDim*BF16Bytes)</f>
        <v>185827328</v>
      </c>
    </row>
    <row r="35" spans="1:30">
      <c r="A35" s="4" t="s">
        <v>46</v>
      </c>
      <c r="B35" s="4" t="s">
        <v>292</v>
      </c>
      <c r="C35" s="4" t="s">
        <v>177</v>
      </c>
      <c r="D35" s="10" t="s">
        <v>382</v>
      </c>
      <c r="E35" s="10" t="s">
        <v>383</v>
      </c>
      <c r="F35" s="12">
        <f>IF(ABS(U35)&gt;=1E15,U35/1E15,IF(ABS(U35)&gt;=1E12,U35/1E12,IF(ABS(U35)&gt;=1E9,U35/1E9,IF(ABS(U35)&gt;=1E6,U35/1E6,U35))))</f>
        <v>363.331584</v>
      </c>
      <c r="G35" s="11" t="str">
        <f>IF(ABS(U35)&gt;=1E15,"PFLOPs",IF(ABS(U35)&gt;=1E12,"TFLOPs",IF(ABS(U35)&gt;=1E9,"GFLOPs",IF(ABS(U35)&gt;=1E6,"MFLOPs","flops"))))</f>
        <v>MFLOPs</v>
      </c>
      <c r="H35" s="12">
        <f>IF(ABS(V35)&gt;=1E15,V35/1E15,IF(ABS(V35)&gt;=1E12,V35/1E12,IF(ABS(V35)&gt;=1E9,V35/1E9,IF(ABS(V35)&gt;=1E6,V35/1E6,V35))))</f>
        <v>45.416448</v>
      </c>
      <c r="I35" s="11" t="str">
        <f>IF(ABS(V35)&gt;=1E15,"PFLOPs",IF(ABS(V35)&gt;=1E12,"TFLOPs",IF(ABS(V35)&gt;=1E9,"GFLOPs",IF(ABS(V35)&gt;=1E6,"MFLOPs","flops"))))</f>
        <v>MFLOPs</v>
      </c>
      <c r="J35" s="12">
        <f>IF(ABS(AC35)&gt;=1E12,AC35/1E12,IF(ABS(AC35)&gt;=1E9,AC35/1E9,IF(ABS(AC35)&gt;=1E6,AC35/1E6,IF(ABS(AC35)&gt;=1E3,AC35/1E3,AC35))))</f>
        <v>187.74336</v>
      </c>
      <c r="K35" s="11" t="str">
        <f>IF(ABS(AC35)&gt;=1E12,"TB",IF(ABS(AC35)&gt;=1E9,"GB",IF(ABS(AC35)&gt;=1E6,"MB",IF(ABS(AC35)&gt;=1E3,"KB","bytes"))))</f>
        <v>MB</v>
      </c>
      <c r="L35" s="12">
        <f>IF(ABS(AD35)&gt;=1E12,AD35/1E12,IF(ABS(AD35)&gt;=1E9,AD35/1E9,IF(ABS(AD35)&gt;=1E6,AD35/1E6,IF(ABS(AD35)&gt;=1E3,AD35/1E3,AD35))))</f>
        <v>23.65608</v>
      </c>
      <c r="M35" s="11" t="str">
        <f>IF(ABS(AD35)&gt;=1E12,"TB",IF(ABS(AD35)&gt;=1E9,"GB",IF(ABS(AD35)&gt;=1E6,"MB",IF(ABS(AD35)&gt;=1E3,"KB","bytes"))))</f>
        <v>MB</v>
      </c>
      <c r="N35" s="12">
        <f>IF(ABS(AA35)&gt;=1E12,AA35/1E12,IF(ABS(AA35)&gt;=1E9,AA35/1E9,IF(ABS(AA35)&gt;=1E6,AA35/1E6,IF(ABS(AA35)&gt;=1E3,AA35/1E3,AA35))))</f>
        <v>0.0</v>
      </c>
      <c r="O35" s="11" t="str">
        <f>IF(ABS(AA35)&gt;=1E12,"TB",IF(ABS(AA35)&gt;=1E9,"GB",IF(ABS(AA35)&gt;=1E6,"MB",IF(ABS(AA35)&gt;=1E3,"KB","bytes"))))</f>
        <v>B</v>
      </c>
      <c r="P35" s="12">
        <f>IF(ABS(AB35)&gt;=1E12,AB35/1E12,IF(ABS(AB35)&gt;=1E9,AB35/1E9,IF(ABS(AB35)&gt;=1E6,AB35/1E6,IF(ABS(AB35)&gt;=1E3,AB35/1E3,AB35))))</f>
        <v>0.0</v>
      </c>
      <c r="Q35" s="11" t="str">
        <f>IF(ABS(AB35)&gt;=1E12,"TB",IF(ABS(AB35)&gt;=1E9,"GB",IF(ABS(AB35)&gt;=1E6,"MB",IF(ABS(AB35)&gt;=1E3,"KB","bytes"))))</f>
        <v>B</v>
      </c>
      <c r="R35" s="4" t="s">
        <v>285</v>
      </c>
      <c r="S35" s="4" t="s">
        <v>295</v>
      </c>
      <c r="T35" s="13">
        <f>2*DC_Rows*ShortLayers*(QLoraRank*IndexHeads*IndexHeadDim+HiddenSize*IndexHeads)</f>
        <v>363331584</v>
      </c>
      <c r="U35" s="13">
        <f>2*DC_Rows*ShortLayers*(QLoraRank*TP1LocalIndexHeads*IndexHeadDim+HiddenSize*TP1LocalIndexHeads)</f>
        <v>363331584.0</v>
      </c>
      <c r="V35" s="13">
        <f>2*DC_Rows*ShortLayers*(QLoraRank*TP8LocalIndexHeads*IndexHeadDim+HiddenSize*TP8LocalIndexHeads)</f>
        <v>45416448.0</v>
      </c>
      <c r="W35" s="13">
        <f>ShortLayers*(((QLoraRank)*(TP1LocalIndexHeads*IndexHeadDim)*FP8Bytes+ROUNDUP((QLoraRank)/FP8Block,0)*ROUNDUP((TP1LocalIndexHeads*IndexHeadDim)/FP8Block,0)*ScaleBytes)+HiddenSize*TP1LocalIndexHeads*BF16Bytes)+DC_Rows*ShortLayers*(QLoraRank+HiddenSize)*BF16Bytes</f>
        <v>187396608</v>
      </c>
      <c r="X35" s="13">
        <f>DC_Rows*ShortLayers*TP1LocalIndexHeads*(IndexHeadDim+1)*BF16Bytes</f>
        <v>346752.0</v>
      </c>
      <c r="Y35" s="13">
        <f>ShortLayers*(((QLoraRank)*(TP8LocalIndexHeads*IndexHeadDim)*FP8Bytes+ROUNDUP((QLoraRank)/FP8Block,0)*ROUNDUP((TP8LocalIndexHeads*IndexHeadDim)/FP8Block,0)*ScaleBytes)+HiddenSize*TP8LocalIndexHeads*BF16Bytes)+DC_Rows*ShortLayers*(QLoraRank+HiddenSize)*BF16Bytes</f>
        <v>23612736</v>
      </c>
      <c r="Z35" s="13">
        <f>DC_Rows*ShortLayers*TP8LocalIndexHeads*(IndexHeadDim+1)*BF16Bytes</f>
        <v>43344.0</v>
      </c>
      <c r="AA35" s="13">
        <f>0</f>
        <v>0</v>
      </c>
      <c r="AB35" s="13">
        <f>0</f>
        <v>0</v>
      </c>
      <c r="AC35" s="13">
        <f>(ShortLayers*(((QLoraRank)*(TP1LocalIndexHeads*IndexHeadDim)*FP8Bytes+ROUNDUP((QLoraRank)/FP8Block,0)*ROUNDUP((TP1LocalIndexHeads*IndexHeadDim)/FP8Block,0)*ScaleBytes)+HiddenSize*TP1LocalIndexHeads*BF16Bytes)+DC_Rows*ShortLayers*(QLoraRank+HiddenSize)*BF16Bytes)+(DC_Rows*ShortLayers*TP1LocalIndexHeads*(IndexHeadDim+1)*BF16Bytes)</f>
        <v>187743360.0</v>
      </c>
      <c r="AD35" s="13">
        <f>(ShortLayers*(((QLoraRank)*(TP8LocalIndexHeads*IndexHeadDim)*FP8Bytes+ROUNDUP((QLoraRank)/FP8Block,0)*ROUNDUP((TP8LocalIndexHeads*IndexHeadDim)/FP8Block,0)*ScaleBytes)+HiddenSize*TP8LocalIndexHeads*BF16Bytes)+DC_Rows*ShortLayers*(QLoraRank+HiddenSize)*BF16Bytes)+(DC_Rows*ShortLayers*TP8LocalIndexHeads*(IndexHeadDim+1)*BF16Bytes)</f>
        <v>23656080.0</v>
      </c>
    </row>
    <row r="36" spans="1:30">
      <c r="A36" s="4" t="s">
        <v>46</v>
      </c>
      <c r="B36" s="4" t="s">
        <v>296</v>
      </c>
      <c r="C36" s="4" t="s">
        <v>177</v>
      </c>
      <c r="D36" s="10" t="s">
        <v>384</v>
      </c>
      <c r="E36" s="10" t="s">
        <v>385</v>
      </c>
      <c r="F36" s="12">
        <f>IF(ABS(U36)&gt;=1E15,U36/1E15,IF(ABS(U36)&gt;=1E12,U36/1E12,IF(ABS(U36)&gt;=1E9,U36/1E9,IF(ABS(U36)&gt;=1E6,U36/1E6,U36))))</f>
        <v>90.194313216</v>
      </c>
      <c r="G36" s="11" t="str">
        <f>IF(ABS(U36)&gt;=1E15,"PFLOPs",IF(ABS(U36)&gt;=1E12,"TFLOPs",IF(ABS(U36)&gt;=1E9,"GFLOPs",IF(ABS(U36)&gt;=1E6,"MFLOPs","flops"))))</f>
        <v>GFLOPs</v>
      </c>
      <c r="H36" s="12">
        <f>IF(ABS(V36)&gt;=1E15,V36/1E15,IF(ABS(V36)&gt;=1E12,V36/1E12,IF(ABS(V36)&gt;=1E9,V36/1E9,IF(ABS(V36)&gt;=1E6,V36/1E6,V36))))</f>
        <v>11.274289152</v>
      </c>
      <c r="I36" s="11" t="str">
        <f>IF(ABS(V36)&gt;=1E15,"PFLOPs",IF(ABS(V36)&gt;=1E12,"TFLOPs",IF(ABS(V36)&gt;=1E9,"GFLOPs",IF(ABS(V36)&gt;=1E6,"MFLOPs","flops"))))</f>
        <v>GFLOPs</v>
      </c>
      <c r="J36" s="12">
        <f>IF(ABS(AC36)&gt;=1E12,AC36/1E12,IF(ABS(AC36)&gt;=1E9,AC36/1E9,IF(ABS(AC36)&gt;=1E6,AC36/1E6,IF(ABS(AC36)&gt;=1E3,AC36/1E3,AC36))))</f>
        <v>2.840592384</v>
      </c>
      <c r="K36" s="11" t="str">
        <f>IF(ABS(AC36)&gt;=1E12,"TB",IF(ABS(AC36)&gt;=1E9,"GB",IF(ABS(AC36)&gt;=1E6,"MB",IF(ABS(AC36)&gt;=1E3,"KB","bytes"))))</f>
        <v>GB</v>
      </c>
      <c r="L36" s="12">
        <f>IF(ABS(AD36)&gt;=1E12,AD36/1E12,IF(ABS(AD36)&gt;=1E9,AD36/1E9,IF(ABS(AD36)&gt;=1E6,AD36/1E6,IF(ABS(AD36)&gt;=1E3,AD36/1E3,AD36))))</f>
        <v>1.607467008</v>
      </c>
      <c r="M36" s="11" t="str">
        <f>IF(ABS(AD36)&gt;=1E12,"TB",IF(ABS(AD36)&gt;=1E9,"GB",IF(ABS(AD36)&gt;=1E6,"MB",IF(ABS(AD36)&gt;=1E3,"KB","bytes"))))</f>
        <v>GB</v>
      </c>
      <c r="N36" s="12">
        <f>IF(ABS(AA36)&gt;=1E12,AA36/1E12,IF(ABS(AA36)&gt;=1E9,AA36/1E9,IF(ABS(AA36)&gt;=1E6,AA36/1E6,IF(ABS(AA36)&gt;=1E3,AA36/1E3,AA36))))</f>
        <v>0.0</v>
      </c>
      <c r="O36" s="11" t="str">
        <f>IF(ABS(AA36)&gt;=1E12,"TB",IF(ABS(AA36)&gt;=1E9,"GB",IF(ABS(AA36)&gt;=1E6,"MB",IF(ABS(AA36)&gt;=1E3,"KB","bytes"))))</f>
        <v>B</v>
      </c>
      <c r="P36" s="12">
        <f>IF(ABS(AB36)&gt;=1E12,AB36/1E12,IF(ABS(AB36)&gt;=1E9,AB36/1E9,IF(ABS(AB36)&gt;=1E6,AB36/1E6,IF(ABS(AB36)&gt;=1E3,AB36/1E3,AB36))))</f>
        <v>0.0</v>
      </c>
      <c r="Q36" s="11" t="str">
        <f>IF(ABS(AB36)&gt;=1E12,"TB",IF(ABS(AB36)&gt;=1E9,"GB",IF(ABS(AB36)&gt;=1E6,"MB",IF(ABS(AB36)&gt;=1E3,"KB","bytes"))))</f>
        <v>B</v>
      </c>
      <c r="R36" s="4" t="s">
        <v>285</v>
      </c>
      <c r="S36" s="4" t="s">
        <v>299</v>
      </c>
      <c r="T36" s="13">
        <f>2*DecodeBatch*ShortLayers*IndexHeads*IndexHeadDim*DC_IndexPairs</f>
        <v>90194313216</v>
      </c>
      <c r="U36" s="13">
        <f>2*DecodeBatch*ShortLayers*TP1LocalIndexHeads*IndexHeadDim*DC_IndexPairs</f>
        <v>90194313216.0</v>
      </c>
      <c r="V36" s="13">
        <f>2*DecodeBatch*ShortLayers*TP8LocalIndexHeads*IndexHeadDim*DC_IndexPairs</f>
        <v>11274289152.0</v>
      </c>
      <c r="W36" s="13">
        <f>DecodeBatch*ShortLayers*DC_IndexPairs*(IndexHeadDim*BF16Bytes+TP1LocalIndexHeads*BF16Bytes)</f>
        <v>2113929216.0</v>
      </c>
      <c r="X36" s="13">
        <f>DecodeBatch*ShortLayers*DC_IndexPairs*(TP1LocalIndexHeads*BF16Bytes+FP32Bytes)</f>
        <v>726663168.0</v>
      </c>
      <c r="Y36" s="13">
        <f>DecodeBatch*ShortLayers*DC_IndexPairs*(IndexHeadDim*BF16Bytes+TP8LocalIndexHeads*BF16Bytes)</f>
        <v>1497366528.0</v>
      </c>
      <c r="Z36" s="13">
        <f>DecodeBatch*ShortLayers*DC_IndexPairs*(TP8LocalIndexHeads*BF16Bytes+FP32Bytes)</f>
        <v>110100480.0</v>
      </c>
      <c r="AA36" s="13">
        <f>0</f>
        <v>0</v>
      </c>
      <c r="AB36" s="13">
        <f>0</f>
        <v>0</v>
      </c>
      <c r="AC36" s="13">
        <f>(DecodeBatch*ShortLayers*DC_IndexPairs*(IndexHeadDim*BF16Bytes+TP1LocalIndexHeads*BF16Bytes))+(DecodeBatch*ShortLayers*DC_IndexPairs*(TP1LocalIndexHeads*BF16Bytes+FP32Bytes))</f>
        <v>2840592384.0</v>
      </c>
      <c r="AD36" s="13">
        <f>(DecodeBatch*ShortLayers*DC_IndexPairs*(IndexHeadDim*BF16Bytes+TP8LocalIndexHeads*BF16Bytes))+(DecodeBatch*ShortLayers*DC_IndexPairs*(TP8LocalIndexHeads*BF16Bytes+FP32Bytes))</f>
        <v>1607467008.0</v>
      </c>
    </row>
    <row r="37" spans="1:30">
      <c r="A37" s="4" t="s">
        <v>46</v>
      </c>
      <c r="B37" s="4" t="s">
        <v>300</v>
      </c>
      <c r="C37" s="4" t="s">
        <v>301</v>
      </c>
      <c r="D37" s="10" t="s">
        <v>386</v>
      </c>
      <c r="E37" s="10" t="s">
        <v>387</v>
      </c>
      <c r="F37" s="12">
        <f>IF(ABS(U37)&gt;=1E15,U37/1E15,IF(ABS(U37)&gt;=1E12,U37/1E12,IF(ABS(U37)&gt;=1E9,U37/1E9,IF(ABS(U37)&gt;=1E6,U37/1E6,U37))))</f>
        <v>520.093696</v>
      </c>
      <c r="G37" s="11" t="str">
        <f>IF(ABS(U37)&gt;=1E15,"PFLOPs",IF(ABS(U37)&gt;=1E12,"TFLOPs",IF(ABS(U37)&gt;=1E9,"GFLOPs",IF(ABS(U37)&gt;=1E6,"MFLOPs","flops"))))</f>
        <v>MFLOPs</v>
      </c>
      <c r="H37" s="12">
        <f>IF(ABS(V37)&gt;=1E15,V37/1E15,IF(ABS(V37)&gt;=1E12,V37/1E12,IF(ABS(V37)&gt;=1E9,V37/1E9,IF(ABS(V37)&gt;=1E6,V37/1E6,V37))))</f>
        <v>520.093696</v>
      </c>
      <c r="I37" s="11" t="str">
        <f>IF(ABS(V37)&gt;=1E15,"PFLOPs",IF(ABS(V37)&gt;=1E12,"TFLOPs",IF(ABS(V37)&gt;=1E9,"GFLOPs",IF(ABS(V37)&gt;=1E6,"MFLOPs","flops"))))</f>
        <v>MFLOPs</v>
      </c>
      <c r="J37" s="12">
        <f>IF(ABS(AC37)&gt;=1E12,AC37/1E12,IF(ABS(AC37)&gt;=1E9,AC37/1E9,IF(ABS(AC37)&gt;=1E6,AC37/1E6,IF(ABS(AC37)&gt;=1E3,AC37/1E3,AC37))))</f>
        <v>1.046784</v>
      </c>
      <c r="K37" s="11" t="str">
        <f>IF(ABS(AC37)&gt;=1E12,"TB",IF(ABS(AC37)&gt;=1E9,"GB",IF(ABS(AC37)&gt;=1E6,"MB",IF(ABS(AC37)&gt;=1E3,"KB","bytes"))))</f>
        <v>GB</v>
      </c>
      <c r="L37" s="12">
        <f>IF(ABS(AD37)&gt;=1E12,AD37/1E12,IF(ABS(AD37)&gt;=1E9,AD37/1E9,IF(ABS(AD37)&gt;=1E6,AD37/1E6,IF(ABS(AD37)&gt;=1E3,AD37/1E3,AD37))))</f>
        <v>1.046784</v>
      </c>
      <c r="M37" s="11" t="str">
        <f>IF(ABS(AD37)&gt;=1E12,"TB",IF(ABS(AD37)&gt;=1E9,"GB",IF(ABS(AD37)&gt;=1E6,"MB",IF(ABS(AD37)&gt;=1E3,"KB","bytes"))))</f>
        <v>GB</v>
      </c>
      <c r="N37" s="12">
        <f>IF(ABS(AA37)&gt;=1E12,AA37/1E12,IF(ABS(AA37)&gt;=1E9,AA37/1E9,IF(ABS(AA37)&gt;=1E6,AA37/1E6,IF(ABS(AA37)&gt;=1E3,AA37/1E3,AA37))))</f>
        <v>0.0</v>
      </c>
      <c r="O37" s="11" t="str">
        <f>IF(ABS(AA37)&gt;=1E12,"TB",IF(ABS(AA37)&gt;=1E9,"GB",IF(ABS(AA37)&gt;=1E6,"MB",IF(ABS(AA37)&gt;=1E3,"KB","bytes"))))</f>
        <v>B</v>
      </c>
      <c r="P37" s="12">
        <f>IF(ABS(AB37)&gt;=1E12,AB37/1E12,IF(ABS(AB37)&gt;=1E9,AB37/1E9,IF(ABS(AB37)&gt;=1E6,AB37/1E6,IF(ABS(AB37)&gt;=1E3,AB37/1E3,AB37))))</f>
        <v>0.0</v>
      </c>
      <c r="Q37" s="11" t="str">
        <f>IF(ABS(AB37)&gt;=1E12,"TB",IF(ABS(AB37)&gt;=1E9,"GB",IF(ABS(AB37)&gt;=1E6,"MB",IF(ABS(AB37)&gt;=1E3,"KB","bytes"))))</f>
        <v>B</v>
      </c>
      <c r="R37" s="4" t="s">
        <v>285</v>
      </c>
      <c r="S37" s="4" t="s">
        <v>304</v>
      </c>
      <c r="T37" s="13">
        <f>DC_Rows*(ShortLayers*8*HiddenSize*HeadDim+LongLayers*4*HiddenSize*HeadDim)</f>
        <v>520093696</v>
      </c>
      <c r="U37" s="13">
        <f>DC_Rows*(ShortLayers*8*HiddenSize*HeadDim+LongLayers*4*HiddenSize*HeadDim)</f>
        <v>520093696</v>
      </c>
      <c r="V37" s="13">
        <f>DC_Rows*(ShortLayers*8*HiddenSize*HeadDim+LongLayers*4*HiddenSize*HeadDim)</f>
        <v>520093696</v>
      </c>
      <c r="W37" s="13">
        <f>ShortLayers*(2*HiddenSize*(2*HeadDim)*FP32Bytes+ShortRatio*2*HeadDim*FP32Bytes+HeadDim*FP32Bytes)+LongLayers*(2*HiddenSize*HeadDim*FP32Bytes+LongRatio*HeadDim*FP32Bytes+HeadDim*FP32Bytes)+DC_Rows*(ShortLayers+LongLayers)*HiddenSize*FP32Bytes</f>
        <v>1046530048</v>
      </c>
      <c r="X37" s="13">
        <f>DC_Rows*(ShortLayers*4*HeadDim+LongLayers*2*HeadDim)*FP32Bytes</f>
        <v>253952</v>
      </c>
      <c r="Y37" s="13">
        <f>ShortLayers*(2*HiddenSize*(2*HeadDim)*FP32Bytes+ShortRatio*2*HeadDim*FP32Bytes+HeadDim*FP32Bytes)+LongLayers*(2*HiddenSize*HeadDim*FP32Bytes+LongRatio*HeadDim*FP32Bytes+HeadDim*FP32Bytes)+DC_Rows*(ShortLayers+LongLayers)*HiddenSize*FP32Bytes</f>
        <v>1046530048</v>
      </c>
      <c r="Z37" s="13">
        <f>DC_Rows*(ShortLayers*4*HeadDim+LongLayers*2*HeadDim)*FP32Bytes</f>
        <v>253952</v>
      </c>
      <c r="AA37" s="13">
        <f>0</f>
        <v>0</v>
      </c>
      <c r="AB37" s="13">
        <f>0</f>
        <v>0</v>
      </c>
      <c r="AC37" s="13">
        <f>(ShortLayers*(2*HiddenSize*(2*HeadDim)*FP32Bytes+ShortRatio*2*HeadDim*FP32Bytes+HeadDim*FP32Bytes)+LongLayers*(2*HiddenSize*HeadDim*FP32Bytes+LongRatio*HeadDim*FP32Bytes+HeadDim*FP32Bytes)+DC_Rows*(ShortLayers+LongLayers)*HiddenSize*FP32Bytes)+(DC_Rows*(ShortLayers*4*HeadDim+LongLayers*2*HeadDim)*FP32Bytes)</f>
        <v>1046784000</v>
      </c>
      <c r="AD37" s="13">
        <f>(ShortLayers*(2*HiddenSize*(2*HeadDim)*FP32Bytes+ShortRatio*2*HeadDim*FP32Bytes+HeadDim*FP32Bytes)+LongLayers*(2*HiddenSize*HeadDim*FP32Bytes+LongRatio*HeadDim*FP32Bytes+HeadDim*FP32Bytes)+DC_Rows*(ShortLayers+LongLayers)*HiddenSize*FP32Bytes)+(DC_Rows*(ShortLayers*4*HeadDim+LongLayers*2*HeadDim)*FP32Bytes)</f>
        <v>1046784000</v>
      </c>
    </row>
    <row r="38" spans="1:30">
      <c r="A38" s="4" t="s">
        <v>46</v>
      </c>
      <c r="B38" s="4" t="s">
        <v>305</v>
      </c>
      <c r="C38" s="4" t="s">
        <v>177</v>
      </c>
      <c r="D38" s="10" t="s">
        <v>388</v>
      </c>
      <c r="E38" s="10" t="s">
        <v>389</v>
      </c>
      <c r="F38" s="12">
        <f>IF(ABS(U38)&gt;=1E15,U38/1E15,IF(ABS(U38)&gt;=1E12,U38/1E12,IF(ABS(U38)&gt;=1E9,U38/1E9,IF(ABS(U38)&gt;=1E6,U38/1E6,U38))))</f>
        <v>88.080384</v>
      </c>
      <c r="G38" s="11" t="str">
        <f>IF(ABS(U38)&gt;=1E15,"PFLOPs",IF(ABS(U38)&gt;=1E12,"TFLOPs",IF(ABS(U38)&gt;=1E9,"GFLOPs",IF(ABS(U38)&gt;=1E6,"MFLOPs","flops"))))</f>
        <v>MFLOPs</v>
      </c>
      <c r="H38" s="12">
        <f>IF(ABS(V38)&gt;=1E15,V38/1E15,IF(ABS(V38)&gt;=1E12,V38/1E12,IF(ABS(V38)&gt;=1E9,V38/1E9,IF(ABS(V38)&gt;=1E6,V38/1E6,V38))))</f>
        <v>88.080384</v>
      </c>
      <c r="I38" s="11" t="str">
        <f>IF(ABS(V38)&gt;=1E15,"PFLOPs",IF(ABS(V38)&gt;=1E12,"TFLOPs",IF(ABS(V38)&gt;=1E9,"GFLOPs",IF(ABS(V38)&gt;=1E6,"MFLOPs","flops"))))</f>
        <v>MFLOPs</v>
      </c>
      <c r="J38" s="12">
        <f>IF(ABS(AC38)&gt;=1E12,AC38/1E12,IF(ABS(AC38)&gt;=1E9,AC38/1E9,IF(ABS(AC38)&gt;=1E6,AC38/1E6,IF(ABS(AC38)&gt;=1E3,AC38/1E3,AC38))))</f>
        <v>176.644608</v>
      </c>
      <c r="K38" s="11" t="str">
        <f>IF(ABS(AC38)&gt;=1E12,"TB",IF(ABS(AC38)&gt;=1E9,"GB",IF(ABS(AC38)&gt;=1E6,"MB",IF(ABS(AC38)&gt;=1E3,"KB","bytes"))))</f>
        <v>MB</v>
      </c>
      <c r="L38" s="12">
        <f>IF(ABS(AD38)&gt;=1E12,AD38/1E12,IF(ABS(AD38)&gt;=1E9,AD38/1E9,IF(ABS(AD38)&gt;=1E6,AD38/1E6,IF(ABS(AD38)&gt;=1E3,AD38/1E3,AD38))))</f>
        <v>176.644608</v>
      </c>
      <c r="M38" s="11" t="str">
        <f>IF(ABS(AD38)&gt;=1E12,"TB",IF(ABS(AD38)&gt;=1E9,"GB",IF(ABS(AD38)&gt;=1E6,"MB",IF(ABS(AD38)&gt;=1E3,"KB","bytes"))))</f>
        <v>MB</v>
      </c>
      <c r="N38" s="12">
        <f>IF(ABS(AA38)&gt;=1E12,AA38/1E12,IF(ABS(AA38)&gt;=1E9,AA38/1E9,IF(ABS(AA38)&gt;=1E6,AA38/1E6,IF(ABS(AA38)&gt;=1E3,AA38/1E3,AA38))))</f>
        <v>0.0</v>
      </c>
      <c r="O38" s="11" t="str">
        <f>IF(ABS(AA38)&gt;=1E12,"TB",IF(ABS(AA38)&gt;=1E9,"GB",IF(ABS(AA38)&gt;=1E6,"MB",IF(ABS(AA38)&gt;=1E3,"KB","bytes"))))</f>
        <v>B</v>
      </c>
      <c r="P38" s="12">
        <f>IF(ABS(AB38)&gt;=1E12,AB38/1E12,IF(ABS(AB38)&gt;=1E9,AB38/1E9,IF(ABS(AB38)&gt;=1E6,AB38/1E6,IF(ABS(AB38)&gt;=1E3,AB38/1E3,AB38))))</f>
        <v>0.0</v>
      </c>
      <c r="Q38" s="11" t="str">
        <f>IF(ABS(AB38)&gt;=1E12,"TB",IF(ABS(AB38)&gt;=1E9,"GB",IF(ABS(AB38)&gt;=1E6,"MB",IF(ABS(AB38)&gt;=1E3,"KB","bytes"))))</f>
        <v>B</v>
      </c>
      <c r="R38" s="4" t="s">
        <v>285</v>
      </c>
      <c r="S38" s="4" t="s">
        <v>308</v>
      </c>
      <c r="T38" s="13">
        <f>DC_Rows*ShortLayers*8*HiddenSize*IndexHeadDim</f>
        <v>88080384</v>
      </c>
      <c r="U38" s="13">
        <f>DC_Rows*ShortLayers*8*HiddenSize*IndexHeadDim</f>
        <v>88080384</v>
      </c>
      <c r="V38" s="13">
        <f>DC_Rows*ShortLayers*8*HiddenSize*IndexHeadDim</f>
        <v>88080384</v>
      </c>
      <c r="W38" s="13">
        <f>ShortLayers*(2*HiddenSize*(2*IndexHeadDim)*FP32Bytes+ShortRatio*2*IndexHeadDim*FP32Bytes+IndexHeadDim*FP32Bytes)+DC_Rows*ShortLayers*HiddenSize*FP32Bytes</f>
        <v>176601600</v>
      </c>
      <c r="X38" s="13">
        <f>DC_Rows*ShortLayers*4*IndexHeadDim*FP32Bytes</f>
        <v>43008</v>
      </c>
      <c r="Y38" s="13">
        <f>ShortLayers*(2*HiddenSize*(2*IndexHeadDim)*FP32Bytes+ShortRatio*2*IndexHeadDim*FP32Bytes+IndexHeadDim*FP32Bytes)+DC_Rows*ShortLayers*HiddenSize*FP32Bytes</f>
        <v>176601600</v>
      </c>
      <c r="Z38" s="13">
        <f>DC_Rows*ShortLayers*4*IndexHeadDim*FP32Bytes</f>
        <v>43008</v>
      </c>
      <c r="AA38" s="13">
        <f>0</f>
        <v>0</v>
      </c>
      <c r="AB38" s="13">
        <f>0</f>
        <v>0</v>
      </c>
      <c r="AC38" s="13">
        <f>(ShortLayers*(2*HiddenSize*(2*IndexHeadDim)*FP32Bytes+ShortRatio*2*IndexHeadDim*FP32Bytes+IndexHeadDim*FP32Bytes)+DC_Rows*ShortLayers*HiddenSize*FP32Bytes)+(DC_Rows*ShortLayers*4*IndexHeadDim*FP32Bytes)</f>
        <v>176644608</v>
      </c>
      <c r="AD38" s="13">
        <f>(ShortLayers*(2*HiddenSize*(2*IndexHeadDim)*FP32Bytes+ShortRatio*2*IndexHeadDim*FP32Bytes+IndexHeadDim*FP32Bytes)+DC_Rows*ShortLayers*HiddenSize*FP32Bytes)+(DC_Rows*ShortLayers*4*IndexHeadDim*FP32Bytes)</f>
        <v>176644608</v>
      </c>
    </row>
    <row r="39" spans="1:30">
      <c r="A39" s="4" t="s">
        <v>67</v>
      </c>
      <c r="B39" s="4" t="s">
        <v>309</v>
      </c>
      <c r="C39" s="4" t="s">
        <v>282</v>
      </c>
      <c r="D39" s="10" t="s">
        <v>390</v>
      </c>
      <c r="E39" s="10" t="s">
        <v>391</v>
      </c>
      <c r="F39" s="12">
        <f>IF(ABS(U39)&gt;=1E15,U39/1E15,IF(ABS(U39)&gt;=1E12,U39/1E12,IF(ABS(U39)&gt;=1E9,U39/1E9,IF(ABS(U39)&gt;=1E6,U39/1E6,U39))))</f>
        <v>90.177536</v>
      </c>
      <c r="G39" s="11" t="str">
        <f>IF(ABS(U39)&gt;=1E15,"PFLOPs",IF(ABS(U39)&gt;=1E12,"TFLOPs",IF(ABS(U39)&gt;=1E9,"GFLOPs",IF(ABS(U39)&gt;=1E6,"MFLOPs","flops"))))</f>
        <v>MFLOPs</v>
      </c>
      <c r="H39" s="12">
        <f>IF(ABS(V39)&gt;=1E15,V39/1E15,IF(ABS(V39)&gt;=1E12,V39/1E12,IF(ABS(V39)&gt;=1E9,V39/1E9,IF(ABS(V39)&gt;=1E6,V39/1E6,V39))))</f>
        <v>90.177536</v>
      </c>
      <c r="I39" s="11" t="str">
        <f>IF(ABS(V39)&gt;=1E15,"PFLOPs",IF(ABS(V39)&gt;=1E12,"TFLOPs",IF(ABS(V39)&gt;=1E9,"GFLOPs",IF(ABS(V39)&gt;=1E6,"MFLOPs","flops"))))</f>
        <v>MFLOPs</v>
      </c>
      <c r="J39" s="12">
        <f>IF(ABS(AC39)&gt;=1E12,AC39/1E12,IF(ABS(AC39)&gt;=1E9,AC39/1E9,IF(ABS(AC39)&gt;=1E6,AC39/1E6,IF(ABS(AC39)&gt;=1E3,AC39/1E3,AC39))))</f>
        <v>90.614856</v>
      </c>
      <c r="K39" s="11" t="str">
        <f>IF(ABS(AC39)&gt;=1E12,"TB",IF(ABS(AC39)&gt;=1E9,"GB",IF(ABS(AC39)&gt;=1E6,"MB",IF(ABS(AC39)&gt;=1E3,"KB","bytes"))))</f>
        <v>MB</v>
      </c>
      <c r="L39" s="12">
        <f>IF(ABS(AD39)&gt;=1E12,AD39/1E12,IF(ABS(AD39)&gt;=1E9,AD39/1E9,IF(ABS(AD39)&gt;=1E6,AD39/1E6,IF(ABS(AD39)&gt;=1E3,AD39/1E3,AD39))))</f>
        <v>90.614856</v>
      </c>
      <c r="M39" s="11" t="str">
        <f>IF(ABS(AD39)&gt;=1E12,"TB",IF(ABS(AD39)&gt;=1E9,"GB",IF(ABS(AD39)&gt;=1E6,"MB",IF(ABS(AD39)&gt;=1E3,"KB","bytes"))))</f>
        <v>MB</v>
      </c>
      <c r="N39" s="12">
        <f>IF(ABS(AA39)&gt;=1E12,AA39/1E12,IF(ABS(AA39)&gt;=1E9,AA39/1E9,IF(ABS(AA39)&gt;=1E6,AA39/1E6,IF(ABS(AA39)&gt;=1E3,AA39/1E3,AA39))))</f>
        <v>0.0</v>
      </c>
      <c r="O39" s="11" t="str">
        <f>IF(ABS(AA39)&gt;=1E12,"TB",IF(ABS(AA39)&gt;=1E9,"GB",IF(ABS(AA39)&gt;=1E6,"MB",IF(ABS(AA39)&gt;=1E3,"KB","bytes"))))</f>
        <v>B</v>
      </c>
      <c r="P39" s="12">
        <f>IF(ABS(AB39)&gt;=1E12,AB39/1E12,IF(ABS(AB39)&gt;=1E9,AB39/1E9,IF(ABS(AB39)&gt;=1E6,AB39/1E6,IF(ABS(AB39)&gt;=1E3,AB39/1E3,AB39))))</f>
        <v>0.0</v>
      </c>
      <c r="Q39" s="11" t="str">
        <f>IF(ABS(AB39)&gt;=1E12,"TB",IF(ABS(AB39)&gt;=1E9,"GB",IF(ABS(AB39)&gt;=1E6,"MB",IF(ABS(AB39)&gt;=1E3,"KB","bytes"))))</f>
        <v>B</v>
      </c>
      <c r="R39" s="4" t="s">
        <v>285</v>
      </c>
      <c r="S39" s="4" t="s">
        <v>312</v>
      </c>
      <c r="T39" s="13">
        <f>2*DC_Rows*TotalLayers*HiddenSize*RoutedExperts</f>
        <v>90177536</v>
      </c>
      <c r="U39" s="13">
        <f>2*DC_Rows*TotalLayers*HiddenSize*RoutedExperts</f>
        <v>90177536</v>
      </c>
      <c r="V39" s="13">
        <f>2*DC_Rows*TotalLayers*HiddenSize*RoutedExperts</f>
        <v>90177536</v>
      </c>
      <c r="W39" s="13">
        <f>TotalLayers*RoutedExperts*HiddenSize*BF16Bytes+(TotalLayers-ActiveHashLayers)*RoutedExperts*FP32Bytes+DC_Rows*TotalLayers*HiddenSize*BF16Bytes+DC_Rows*ActiveHashLayers*ActivatedExperts*INT32Bytes</f>
        <v>90570824</v>
      </c>
      <c r="X39" s="13">
        <f>DC_Rows*TotalLayers*RoutedExperts*FP32Bytes</f>
        <v>44032</v>
      </c>
      <c r="Y39" s="13">
        <f>TotalLayers*RoutedExperts*HiddenSize*BF16Bytes+(TotalLayers-ActiveHashLayers)*RoutedExperts*FP32Bytes+DC_Rows*TotalLayers*HiddenSize*BF16Bytes+DC_Rows*ActiveHashLayers*ActivatedExperts*INT32Bytes</f>
        <v>90570824</v>
      </c>
      <c r="Z39" s="13">
        <f>DC_Rows*TotalLayers*RoutedExperts*FP32Bytes</f>
        <v>44032</v>
      </c>
      <c r="AA39" s="13">
        <f>0</f>
        <v>0</v>
      </c>
      <c r="AB39" s="13">
        <f>0</f>
        <v>0</v>
      </c>
      <c r="AC39" s="13">
        <f>(TotalLayers*RoutedExperts*HiddenSize*BF16Bytes+(TotalLayers-ActiveHashLayers)*RoutedExperts*FP32Bytes+DC_Rows*TotalLayers*HiddenSize*BF16Bytes+DC_Rows*ActiveHashLayers*ActivatedExperts*INT32Bytes)+(DC_Rows*TotalLayers*RoutedExperts*FP32Bytes)</f>
        <v>90614856</v>
      </c>
      <c r="AD39" s="13">
        <f>(TotalLayers*RoutedExperts*HiddenSize*BF16Bytes+(TotalLayers-ActiveHashLayers)*RoutedExperts*FP32Bytes+DC_Rows*TotalLayers*HiddenSize*BF16Bytes+DC_Rows*ActiveHashLayers*ActivatedExperts*INT32Bytes)+(DC_Rows*TotalLayers*RoutedExperts*FP32Bytes)</f>
        <v>90614856</v>
      </c>
    </row>
    <row r="40" spans="1:30">
      <c r="A40" s="4" t="s">
        <v>67</v>
      </c>
      <c r="B40" s="4" t="s">
        <v>313</v>
      </c>
      <c r="C40" s="4" t="s">
        <v>282</v>
      </c>
      <c r="D40" s="10" t="s">
        <v>392</v>
      </c>
      <c r="E40" s="10" t="s">
        <v>393</v>
      </c>
      <c r="F40" s="12">
        <f>IF(ABS(U40)&gt;=1E15,U40/1E15,IF(ABS(U40)&gt;=1E12,U40/1E12,IF(ABS(U40)&gt;=1E9,U40/1E9,IF(ABS(U40)&gt;=1E6,U40/1E6,U40))))</f>
        <v>12.985565184</v>
      </c>
      <c r="G40" s="11" t="str">
        <f>IF(ABS(U40)&gt;=1E15,"PFLOPs",IF(ABS(U40)&gt;=1E12,"TFLOPs",IF(ABS(U40)&gt;=1E9,"GFLOPs",IF(ABS(U40)&gt;=1E6,"MFLOPs","flops"))))</f>
        <v>GFLOPs</v>
      </c>
      <c r="H40" s="12">
        <f>IF(ABS(V40)&gt;=1E15,V40/1E15,IF(ABS(V40)&gt;=1E12,V40/1E12,IF(ABS(V40)&gt;=1E9,V40/1E9,IF(ABS(V40)&gt;=1E6,V40/1E6,V40))))</f>
        <v>1.623195648</v>
      </c>
      <c r="I40" s="11" t="str">
        <f>IF(ABS(V40)&gt;=1E15,"PFLOPs",IF(ABS(V40)&gt;=1E12,"TFLOPs",IF(ABS(V40)&gt;=1E9,"GFLOPs",IF(ABS(V40)&gt;=1E6,"MFLOPs","flops"))))</f>
        <v>GFLOPs</v>
      </c>
      <c r="J40" s="12">
        <f>IF(ABS(AC40)&gt;=1E12,AC40/1E12,IF(ABS(AC40)&gt;=1E9,AC40/1E9,IF(ABS(AC40)&gt;=1E6,AC40/1E6,IF(ABS(AC40)&gt;=1E3,AC40/1E3,AC40))))</f>
        <v>3.453517824</v>
      </c>
      <c r="K40" s="11" t="str">
        <f>IF(ABS(AC40)&gt;=1E12,"TB",IF(ABS(AC40)&gt;=1E9,"GB",IF(ABS(AC40)&gt;=1E6,"MB",IF(ABS(AC40)&gt;=1E3,"KB","bytes"))))</f>
        <v>GB</v>
      </c>
      <c r="L40" s="12">
        <f>IF(ABS(AD40)&gt;=1E12,AD40/1E12,IF(ABS(AD40)&gt;=1E9,AD40/1E9,IF(ABS(AD40)&gt;=1E6,AD40/1E6,IF(ABS(AD40)&gt;=1E3,AD40/1E3,AD40))))</f>
        <v>431.689728</v>
      </c>
      <c r="M40" s="11" t="str">
        <f>IF(ABS(AD40)&gt;=1E12,"TB",IF(ABS(AD40)&gt;=1E9,"GB",IF(ABS(AD40)&gt;=1E6,"MB",IF(ABS(AD40)&gt;=1E3,"KB","bytes"))))</f>
        <v>MB</v>
      </c>
      <c r="N40" s="12">
        <f>IF(ABS(AA40)&gt;=1E12,AA40/1E12,IF(ABS(AA40)&gt;=1E9,AA40/1E9,IF(ABS(AA40)&gt;=1E6,AA40/1E6,IF(ABS(AA40)&gt;=1E3,AA40/1E3,AA40))))</f>
        <v>0.0</v>
      </c>
      <c r="O40" s="11" t="str">
        <f>IF(ABS(AA40)&gt;=1E12,"TB",IF(ABS(AA40)&gt;=1E9,"GB",IF(ABS(AA40)&gt;=1E6,"MB",IF(ABS(AA40)&gt;=1E3,"KB","bytes"))))</f>
        <v>B</v>
      </c>
      <c r="P40" s="12">
        <f>IF(ABS(AB40)&gt;=1E12,AB40/1E12,IF(ABS(AB40)&gt;=1E9,AB40/1E9,IF(ABS(AB40)&gt;=1E6,AB40/1E6,IF(ABS(AB40)&gt;=1E3,AB40/1E3,AB40))))</f>
        <v>0.0</v>
      </c>
      <c r="Q40" s="11" t="str">
        <f>IF(ABS(AB40)&gt;=1E12,"TB",IF(ABS(AB40)&gt;=1E9,"GB",IF(ABS(AB40)&gt;=1E6,"MB",IF(ABS(AB40)&gt;=1E3,"KB","bytes"))))</f>
        <v>B</v>
      </c>
      <c r="R40" s="4" t="s">
        <v>285</v>
      </c>
      <c r="S40" s="4" t="s">
        <v>316</v>
      </c>
      <c r="T40" s="13">
        <f>DC_Rows*TotalLayers*ActivatedExperts*6*HiddenSize*ExpertInter</f>
        <v>12985565184</v>
      </c>
      <c r="U40" s="13">
        <f>DC_Rows*TotalLayers*(ActivatedExperts/TP1Size)*6*HiddenSize*ExpertInter</f>
        <v>12985565184.0</v>
      </c>
      <c r="V40" s="13">
        <f>DC_Rows*TotalLayers*(ActivatedExperts/TP8Size)*6*HiddenSize*ExpertInter</f>
        <v>1623195648.0</v>
      </c>
      <c r="W40" s="13">
        <f>TotalLayers*TP1LocalExperts*DC_ExpertActiveProbability*(3*HiddenSize*ExpertInter*FP4Bytes+3*HiddenSize*ExpertInter/FP4Block*ScaleBytes)+DC_Rows*TotalLayers*(ActivatedExperts/TP1Size)*HiddenSize*BF16Bytes</f>
        <v>3451404288.0</v>
      </c>
      <c r="X40" s="13">
        <f>DC_Rows*TotalLayers*(ActivatedExperts/TP1Size)*HiddenSize*BF16Bytes</f>
        <v>2113536.0</v>
      </c>
      <c r="Y40" s="13">
        <f>TotalLayers*TP8LocalExperts*DC_ExpertActiveProbability*(3*HiddenSize*ExpertInter*FP4Bytes+3*HiddenSize*ExpertInter/FP4Block*ScaleBytes)+DC_Rows*TotalLayers*(ActivatedExperts/TP8Size)*HiddenSize*BF16Bytes</f>
        <v>431425536.0</v>
      </c>
      <c r="Z40" s="13">
        <f>DC_Rows*TotalLayers*(ActivatedExperts/TP8Size)*HiddenSize*BF16Bytes</f>
        <v>264192.0</v>
      </c>
      <c r="AA40" s="13">
        <f>0</f>
        <v>0</v>
      </c>
      <c r="AB40" s="13">
        <f>0</f>
        <v>0</v>
      </c>
      <c r="AC40" s="13">
        <f>(TotalLayers*TP1LocalExperts*DC_ExpertActiveProbability*(3*HiddenSize*ExpertInter*FP4Bytes+3*HiddenSize*ExpertInter/FP4Block*ScaleBytes)+DC_Rows*TotalLayers*(ActivatedExperts/TP1Size)*HiddenSize*BF16Bytes)+(DC_Rows*TotalLayers*(ActivatedExperts/TP1Size)*HiddenSize*BF16Bytes)</f>
        <v>3453517824.0</v>
      </c>
      <c r="AD40" s="13">
        <f>(TotalLayers*TP8LocalExperts*DC_ExpertActiveProbability*(3*HiddenSize*ExpertInter*FP4Bytes+3*HiddenSize*ExpertInter/FP4Block*ScaleBytes)+DC_Rows*TotalLayers*(ActivatedExperts/TP8Size)*HiddenSize*BF16Bytes)+(DC_Rows*TotalLayers*(ActivatedExperts/TP8Size)*HiddenSize*BF16Bytes)</f>
        <v>431689728.0</v>
      </c>
    </row>
    <row r="41" spans="1:30">
      <c r="A41" s="4" t="s">
        <v>67</v>
      </c>
      <c r="B41" s="4" t="s">
        <v>317</v>
      </c>
      <c r="C41" s="4" t="s">
        <v>282</v>
      </c>
      <c r="D41" s="10" t="s">
        <v>394</v>
      </c>
      <c r="E41" s="10" t="s">
        <v>395</v>
      </c>
      <c r="F41" s="12">
        <f>IF(ABS(U41)&gt;=1E15,U41/1E15,IF(ABS(U41)&gt;=1E12,U41/1E12,IF(ABS(U41)&gt;=1E9,U41/1E9,IF(ABS(U41)&gt;=1E6,U41/1E6,U41))))</f>
        <v>2.164260864</v>
      </c>
      <c r="G41" s="11" t="str">
        <f>IF(ABS(U41)&gt;=1E15,"PFLOPs",IF(ABS(U41)&gt;=1E12,"TFLOPs",IF(ABS(U41)&gt;=1E9,"GFLOPs",IF(ABS(U41)&gt;=1E6,"MFLOPs","flops"))))</f>
        <v>GFLOPs</v>
      </c>
      <c r="H41" s="12">
        <f>IF(ABS(V41)&gt;=1E15,V41/1E15,IF(ABS(V41)&gt;=1E12,V41/1E12,IF(ABS(V41)&gt;=1E9,V41/1E9,IF(ABS(V41)&gt;=1E6,V41/1E6,V41))))</f>
        <v>2.164260864</v>
      </c>
      <c r="I41" s="11" t="str">
        <f>IF(ABS(V41)&gt;=1E15,"PFLOPs",IF(ABS(V41)&gt;=1E12,"TFLOPs",IF(ABS(V41)&gt;=1E9,"GFLOPs",IF(ABS(V41)&gt;=1E6,"MFLOPs","flops"))))</f>
        <v>GFLOPs</v>
      </c>
      <c r="J41" s="12">
        <f>IF(ABS(AC41)&gt;=1E12,AC41/1E12,IF(ABS(AC41)&gt;=1E9,AC41/1E9,IF(ABS(AC41)&gt;=1E6,AC41/1E6,IF(ABS(AC41)&gt;=1E3,AC41/1E3,AC41))))</f>
        <v>1.082900992</v>
      </c>
      <c r="K41" s="11" t="str">
        <f>IF(ABS(AC41)&gt;=1E12,"TB",IF(ABS(AC41)&gt;=1E9,"GB",IF(ABS(AC41)&gt;=1E6,"MB",IF(ABS(AC41)&gt;=1E3,"KB","bytes"))))</f>
        <v>GB</v>
      </c>
      <c r="L41" s="12">
        <f>IF(ABS(AD41)&gt;=1E12,AD41/1E12,IF(ABS(AD41)&gt;=1E9,AD41/1E9,IF(ABS(AD41)&gt;=1E6,AD41/1E6,IF(ABS(AD41)&gt;=1E3,AD41/1E3,AD41))))</f>
        <v>1.082900992</v>
      </c>
      <c r="M41" s="11" t="str">
        <f>IF(ABS(AD41)&gt;=1E12,"TB",IF(ABS(AD41)&gt;=1E9,"GB",IF(ABS(AD41)&gt;=1E6,"MB",IF(ABS(AD41)&gt;=1E3,"KB","bytes"))))</f>
        <v>GB</v>
      </c>
      <c r="N41" s="12">
        <f>IF(ABS(AA41)&gt;=1E12,AA41/1E12,IF(ABS(AA41)&gt;=1E9,AA41/1E9,IF(ABS(AA41)&gt;=1E6,AA41/1E6,IF(ABS(AA41)&gt;=1E3,AA41/1E3,AA41))))</f>
        <v>0.0</v>
      </c>
      <c r="O41" s="11" t="str">
        <f>IF(ABS(AA41)&gt;=1E12,"TB",IF(ABS(AA41)&gt;=1E9,"GB",IF(ABS(AA41)&gt;=1E6,"MB",IF(ABS(AA41)&gt;=1E3,"KB","bytes"))))</f>
        <v>B</v>
      </c>
      <c r="P41" s="12">
        <f>IF(ABS(AB41)&gt;=1E12,AB41/1E12,IF(ABS(AB41)&gt;=1E9,AB41/1E9,IF(ABS(AB41)&gt;=1E6,AB41/1E6,IF(ABS(AB41)&gt;=1E3,AB41/1E3,AB41))))</f>
        <v>0.0</v>
      </c>
      <c r="Q41" s="11" t="str">
        <f>IF(ABS(AB41)&gt;=1E12,"TB",IF(ABS(AB41)&gt;=1E9,"GB",IF(ABS(AB41)&gt;=1E6,"MB",IF(ABS(AB41)&gt;=1E3,"KB","bytes"))))</f>
        <v>B</v>
      </c>
      <c r="R41" s="4" t="s">
        <v>285</v>
      </c>
      <c r="S41" s="4" t="s">
        <v>320</v>
      </c>
      <c r="T41" s="13">
        <f>DC_Rows*TotalLayers*SharedExperts*6*HiddenSize*ExpertInter</f>
        <v>2164260864</v>
      </c>
      <c r="U41" s="13">
        <f>DC_Rows*TotalLayers*SharedExperts*6*HiddenSize*ExpertInter</f>
        <v>2164260864</v>
      </c>
      <c r="V41" s="13">
        <f>DC_Rows*TotalLayers*SharedExperts*6*HiddenSize*ExpertInter</f>
        <v>2164260864</v>
      </c>
      <c r="W41" s="13">
        <f>TotalLayers*SharedExperts*(2*((HiddenSize)*(ExpertInter)*FP8Bytes+ROUNDUP((HiddenSize)/FP8Block,0)*ROUNDUP((ExpertInter)/FP8Block,0)*ScaleBytes)+((ExpertInter)*(HiddenSize)*FP8Bytes+ROUNDUP((ExpertInter)/FP8Block,0)*ROUNDUP((HiddenSize)/FP8Block,0)*ScaleBytes))+DC_Rows*TotalLayers*SharedExperts*HiddenSize*BF16Bytes</f>
        <v>1082548736</v>
      </c>
      <c r="X41" s="13">
        <f>DC_Rows*TotalLayers*SharedExperts*HiddenSize*BF16Bytes</f>
        <v>352256</v>
      </c>
      <c r="Y41" s="13">
        <f>TotalLayers*SharedExperts*(2*((HiddenSize)*(ExpertInter)*FP8Bytes+ROUNDUP((HiddenSize)/FP8Block,0)*ROUNDUP((ExpertInter)/FP8Block,0)*ScaleBytes)+((ExpertInter)*(HiddenSize)*FP8Bytes+ROUNDUP((ExpertInter)/FP8Block,0)*ROUNDUP((HiddenSize)/FP8Block,0)*ScaleBytes))+DC_Rows*TotalLayers*SharedExperts*HiddenSize*BF16Bytes</f>
        <v>1082548736</v>
      </c>
      <c r="Z41" s="13">
        <f>DC_Rows*TotalLayers*SharedExperts*HiddenSize*BF16Bytes</f>
        <v>352256</v>
      </c>
      <c r="AA41" s="13">
        <f>0</f>
        <v>0</v>
      </c>
      <c r="AB41" s="13">
        <f>0</f>
        <v>0</v>
      </c>
      <c r="AC41" s="13">
        <f>(TotalLayers*SharedExperts*(2*((HiddenSize)*(ExpertInter)*FP8Bytes+ROUNDUP((HiddenSize)/FP8Block,0)*ROUNDUP((ExpertInter)/FP8Block,0)*ScaleBytes)+((ExpertInter)*(HiddenSize)*FP8Bytes+ROUNDUP((ExpertInter)/FP8Block,0)*ROUNDUP((HiddenSize)/FP8Block,0)*ScaleBytes))+DC_Rows*TotalLayers*SharedExperts*HiddenSize*BF16Bytes)+(DC_Rows*TotalLayers*SharedExperts*HiddenSize*BF16Bytes)</f>
        <v>1082900992</v>
      </c>
      <c r="AD41" s="13">
        <f>(TotalLayers*SharedExperts*(2*((HiddenSize)*(ExpertInter)*FP8Bytes+ROUNDUP((HiddenSize)/FP8Block,0)*ROUNDUP((ExpertInter)/FP8Block,0)*ScaleBytes)+((ExpertInter)*(HiddenSize)*FP8Bytes+ROUNDUP((ExpertInter)/FP8Block,0)*ROUNDUP((HiddenSize)/FP8Block,0)*ScaleBytes))+DC_Rows*TotalLayers*SharedExperts*HiddenSize*BF16Bytes)+(DC_Rows*TotalLayers*SharedExperts*HiddenSize*BF16Bytes)</f>
        <v>1082900992</v>
      </c>
    </row>
    <row r="42" spans="1:30">
      <c r="A42" s="4" t="s">
        <v>321</v>
      </c>
      <c r="B42" s="4" t="s">
        <v>322</v>
      </c>
      <c r="C42" s="4" t="s">
        <v>282</v>
      </c>
      <c r="D42" s="10" t="s">
        <v>396</v>
      </c>
      <c r="E42" s="10" t="s">
        <v>397</v>
      </c>
      <c r="F42" s="12">
        <f>IF(ABS(U42)&gt;=1E15,U42/1E15,IF(ABS(U42)&gt;=1E12,U42/1E12,IF(ABS(U42)&gt;=1E9,U42/1E9,IF(ABS(U42)&gt;=1E6,U42/1E6,U42))))</f>
        <v>85.598294</v>
      </c>
      <c r="G42" s="11" t="str">
        <f>IF(ABS(U42)&gt;=1E15,"PFLOPs",IF(ABS(U42)&gt;=1E12,"TFLOPs",IF(ABS(U42)&gt;=1E9,"GFLOPs",IF(ABS(U42)&gt;=1E6,"MFLOPs","flops"))))</f>
        <v>MFLOPs</v>
      </c>
      <c r="H42" s="12">
        <f>IF(ABS(V42)&gt;=1E15,V42/1E15,IF(ABS(V42)&gt;=1E12,V42/1E12,IF(ABS(V42)&gt;=1E9,V42/1E9,IF(ABS(V42)&gt;=1E6,V42/1E6,V42))))</f>
        <v>85.598294</v>
      </c>
      <c r="I42" s="11" t="str">
        <f>IF(ABS(V42)&gt;=1E15,"PFLOPs",IF(ABS(V42)&gt;=1E12,"TFLOPs",IF(ABS(V42)&gt;=1E9,"GFLOPs",IF(ABS(V42)&gt;=1E6,"MFLOPs","flops"))))</f>
        <v>MFLOPs</v>
      </c>
      <c r="J42" s="12">
        <f>IF(ABS(AC42)&gt;=1E12,AC42/1E12,IF(ABS(AC42)&gt;=1E9,AC42/1E9,IF(ABS(AC42)&gt;=1E6,AC42/1E6,IF(ABS(AC42)&gt;=1E3,AC42/1E3,AC42))))</f>
        <v>146.547784</v>
      </c>
      <c r="K42" s="11" t="str">
        <f>IF(ABS(AC42)&gt;=1E12,"TB",IF(ABS(AC42)&gt;=1E9,"GB",IF(ABS(AC42)&gt;=1E6,"MB",IF(ABS(AC42)&gt;=1E3,"KB","bytes"))))</f>
        <v>MB</v>
      </c>
      <c r="L42" s="12">
        <f>IF(ABS(AD42)&gt;=1E12,AD42/1E12,IF(ABS(AD42)&gt;=1E9,AD42/1E9,IF(ABS(AD42)&gt;=1E6,AD42/1E6,IF(ABS(AD42)&gt;=1E3,AD42/1E3,AD42))))</f>
        <v>146.547784</v>
      </c>
      <c r="M42" s="11" t="str">
        <f>IF(ABS(AD42)&gt;=1E12,"TB",IF(ABS(AD42)&gt;=1E9,"GB",IF(ABS(AD42)&gt;=1E6,"MB",IF(ABS(AD42)&gt;=1E3,"KB","bytes"))))</f>
        <v>MB</v>
      </c>
      <c r="N42" s="12">
        <f>IF(ABS(AA42)&gt;=1E12,AA42/1E12,IF(ABS(AA42)&gt;=1E9,AA42/1E9,IF(ABS(AA42)&gt;=1E6,AA42/1E6,IF(ABS(AA42)&gt;=1E3,AA42/1E3,AA42))))</f>
        <v>0.0</v>
      </c>
      <c r="O42" s="11" t="str">
        <f>IF(ABS(AA42)&gt;=1E12,"TB",IF(ABS(AA42)&gt;=1E9,"GB",IF(ABS(AA42)&gt;=1E6,"MB",IF(ABS(AA42)&gt;=1E3,"KB","bytes"))))</f>
        <v>B</v>
      </c>
      <c r="P42" s="12">
        <f>IF(ABS(AB42)&gt;=1E12,AB42/1E12,IF(ABS(AB42)&gt;=1E9,AB42/1E9,IF(ABS(AB42)&gt;=1E6,AB42/1E6,IF(ABS(AB42)&gt;=1E3,AB42/1E3,AB42))))</f>
        <v>0.0</v>
      </c>
      <c r="Q42" s="11" t="str">
        <f>IF(ABS(AB42)&gt;=1E12,"TB",IF(ABS(AB42)&gt;=1E9,"GB",IF(ABS(AB42)&gt;=1E6,"MB",IF(ABS(AB42)&gt;=1E3,"KB","bytes"))))</f>
        <v>B</v>
      </c>
      <c r="R42" s="4" t="s">
        <v>325</v>
      </c>
      <c r="S42" s="4" t="s">
        <v>326</v>
      </c>
      <c r="T42" s="13">
        <f>TotalLayers*2*(2*DC_Rows*HCSlots*HiddenSize*((2+HCSlots)*HCSlots)+DC_Rows*(2*HCSlots*HiddenSize+1)+DC_Rows*HiddenSize*(2*HCSlots-1)+DC_Rows*HCSlots*HiddenSize*(2*HCSlots+1))</f>
        <v>85598294</v>
      </c>
      <c r="U42" s="13">
        <f>TotalLayers*2*(2*DC_Rows*HCSlots*HiddenSize*((2+HCSlots)*HCSlots)+DC_Rows*(2*HCSlots*HiddenSize+1)+DC_Rows*HiddenSize*(2*HCSlots-1)+DC_Rows*HCSlots*HiddenSize*(2*HCSlots+1))</f>
        <v>85598294</v>
      </c>
      <c r="V42" s="13">
        <f>TotalLayers*2*(2*DC_Rows*HCSlots*HiddenSize*((2+HCSlots)*HCSlots)+DC_Rows*(2*HCSlots*HiddenSize+1)+DC_Rows*HiddenSize*(2*HCSlots-1)+DC_Rows*HCSlots*HiddenSize*(2*HCSlots+1))</f>
        <v>85598294</v>
      </c>
      <c r="W42" s="13">
        <f>TotalLayers*2*((2+HCSlots)*HCSlots*HCSlots*HiddenSize*FP32Bytes+((2+HCSlots)*HCSlots+3)*FP32Bytes)+DC_Rows*TotalLayers*4*HCSlots*HiddenSize*BF16Bytes</f>
        <v>140911688.0</v>
      </c>
      <c r="X42" s="13">
        <f>DC_Rows*TotalLayers*4*HCSlots*HiddenSize*BF16Bytes</f>
        <v>5636096</v>
      </c>
      <c r="Y42" s="13">
        <f>TotalLayers*2*((2+HCSlots)*HCSlots*HCSlots*HiddenSize*FP32Bytes+((2+HCSlots)*HCSlots+3)*FP32Bytes)+DC_Rows*TotalLayers*4*HCSlots*HiddenSize*BF16Bytes</f>
        <v>140911688.0</v>
      </c>
      <c r="Z42" s="13">
        <f>DC_Rows*TotalLayers*4*HCSlots*HiddenSize*BF16Bytes</f>
        <v>5636096</v>
      </c>
      <c r="AA42" s="13">
        <f>0</f>
        <v>0</v>
      </c>
      <c r="AB42" s="13">
        <f>0</f>
        <v>0</v>
      </c>
      <c r="AC42" s="13">
        <f>(TotalLayers*2*((2+HCSlots)*HCSlots*HCSlots*HiddenSize*FP32Bytes+((2+HCSlots)*HCSlots+3)*FP32Bytes)+DC_Rows*TotalLayers*4*HCSlots*HiddenSize*BF16Bytes)+(DC_Rows*TotalLayers*4*HCSlots*HiddenSize*BF16Bytes)</f>
        <v>146547784.0</v>
      </c>
      <c r="AD42" s="13">
        <f>(TotalLayers*2*((2+HCSlots)*HCSlots*HCSlots*HiddenSize*FP32Bytes+((2+HCSlots)*HCSlots+3)*FP32Bytes)+DC_Rows*TotalLayers*4*HCSlots*HiddenSize*BF16Bytes)+(DC_Rows*TotalLayers*4*HCSlots*HiddenSize*BF16Bytes)</f>
        <v>146547784.0</v>
      </c>
    </row>
    <row r="43" spans="1:30">
      <c r="A43" s="4" t="s">
        <v>321</v>
      </c>
      <c r="B43" s="4" t="s">
        <v>327</v>
      </c>
      <c r="C43" s="4" t="s">
        <v>328</v>
      </c>
      <c r="D43" s="10" t="s">
        <v>398</v>
      </c>
      <c r="E43" s="10" t="s">
        <v>399</v>
      </c>
      <c r="F43" s="12">
        <f>IF(ABS(U43)&gt;=1E15,U43/1E15,IF(ABS(U43)&gt;=1E12,U43/1E12,IF(ABS(U43)&gt;=1E9,U43/1E9,IF(ABS(U43)&gt;=1E6,U43/1E6,U43))))</f>
        <v>1.05906176</v>
      </c>
      <c r="G43" s="11" t="str">
        <f>IF(ABS(U43)&gt;=1E15,"PFLOPs",IF(ABS(U43)&gt;=1E12,"TFLOPs",IF(ABS(U43)&gt;=1E9,"GFLOPs",IF(ABS(U43)&gt;=1E6,"MFLOPs","flops"))))</f>
        <v>GFLOPs</v>
      </c>
      <c r="H43" s="12">
        <f>IF(ABS(V43)&gt;=1E15,V43/1E15,IF(ABS(V43)&gt;=1E12,V43/1E12,IF(ABS(V43)&gt;=1E9,V43/1E9,IF(ABS(V43)&gt;=1E6,V43/1E6,V43))))</f>
        <v>132.38272</v>
      </c>
      <c r="I43" s="11" t="str">
        <f>IF(ABS(V43)&gt;=1E15,"PFLOPs",IF(ABS(V43)&gt;=1E12,"TFLOPs",IF(ABS(V43)&gt;=1E9,"GFLOPs",IF(ABS(V43)&gt;=1E6,"MFLOPs","flops"))))</f>
        <v>MFLOPs</v>
      </c>
      <c r="J43" s="12">
        <f>IF(ABS(AC43)&gt;=1E12,AC43/1E12,IF(ABS(AC43)&gt;=1E9,AC43/1E9,IF(ABS(AC43)&gt;=1E6,AC43/1E6,IF(ABS(AC43)&gt;=1E3,AC43/1E3,AC43))))</f>
        <v>2.118657024</v>
      </c>
      <c r="K43" s="11" t="str">
        <f>IF(ABS(AC43)&gt;=1E12,"TB",IF(ABS(AC43)&gt;=1E9,"GB",IF(ABS(AC43)&gt;=1E6,"MB",IF(ABS(AC43)&gt;=1E3,"KB","bytes"))))</f>
        <v>GB</v>
      </c>
      <c r="L43" s="12">
        <f>IF(ABS(AD43)&gt;=1E12,AD43/1E12,IF(ABS(AD43)&gt;=1E9,AD43/1E9,IF(ABS(AD43)&gt;=1E6,AD43/1E6,IF(ABS(AD43)&gt;=1E3,AD43/1E3,AD43))))</f>
        <v>264.846464</v>
      </c>
      <c r="M43" s="11" t="str">
        <f>IF(ABS(AD43)&gt;=1E12,"TB",IF(ABS(AD43)&gt;=1E9,"GB",IF(ABS(AD43)&gt;=1E6,"MB",IF(ABS(AD43)&gt;=1E3,"KB","bytes"))))</f>
        <v>MB</v>
      </c>
      <c r="N43" s="12">
        <f>IF(ABS(AA43)&gt;=1E12,AA43/1E12,IF(ABS(AA43)&gt;=1E9,AA43/1E9,IF(ABS(AA43)&gt;=1E6,AA43/1E6,IF(ABS(AA43)&gt;=1E3,AA43/1E3,AA43))))</f>
        <v>0.0</v>
      </c>
      <c r="O43" s="11" t="str">
        <f>IF(ABS(AA43)&gt;=1E12,"TB",IF(ABS(AA43)&gt;=1E9,"GB",IF(ABS(AA43)&gt;=1E6,"MB",IF(ABS(AA43)&gt;=1E3,"KB","bytes"))))</f>
        <v>B</v>
      </c>
      <c r="P43" s="12">
        <f>IF(ABS(AB43)&gt;=1E12,AB43/1E12,IF(ABS(AB43)&gt;=1E9,AB43/1E9,IF(ABS(AB43)&gt;=1E6,AB43/1E6,IF(ABS(AB43)&gt;=1E3,AB43/1E3,AB43))))</f>
        <v>0.0</v>
      </c>
      <c r="Q43" s="11" t="str">
        <f>IF(ABS(AB43)&gt;=1E12,"TB",IF(ABS(AB43)&gt;=1E9,"GB",IF(ABS(AB43)&gt;=1E6,"MB",IF(ABS(AB43)&gt;=1E3,"KB","bytes"))))</f>
        <v>B</v>
      </c>
      <c r="R43" s="4" t="s">
        <v>285</v>
      </c>
      <c r="S43" s="4" t="s">
        <v>331</v>
      </c>
      <c r="T43" s="13">
        <f>2*DC_Rows*HiddenSize*VocabSize</f>
        <v>1059061760</v>
      </c>
      <c r="U43" s="13">
        <f>2*DC_Rows*HiddenSize*TP1LocalVocab</f>
        <v>1059061760.0</v>
      </c>
      <c r="V43" s="13">
        <f>2*DC_Rows*HiddenSize*TP8LocalVocab</f>
        <v>132382720.0</v>
      </c>
      <c r="W43" s="13">
        <f>TP1LocalVocab*HiddenSize*FP32Bytes+DC_Rows*HiddenSize*FP32Bytes</f>
        <v>2118139904.0</v>
      </c>
      <c r="X43" s="13">
        <f>DC_Rows*TP1LocalVocab*FP32Bytes</f>
        <v>517120.0</v>
      </c>
      <c r="Y43" s="13">
        <f>TP8LocalVocab*HiddenSize*FP32Bytes+DC_Rows*HiddenSize*FP32Bytes</f>
        <v>264781824.0</v>
      </c>
      <c r="Z43" s="13">
        <f>DC_Rows*TP8LocalVocab*FP32Bytes</f>
        <v>64640.0</v>
      </c>
      <c r="AA43" s="13">
        <f>0</f>
        <v>0</v>
      </c>
      <c r="AB43" s="13">
        <f>0</f>
        <v>0</v>
      </c>
      <c r="AC43" s="13">
        <f>(TP1LocalVocab*HiddenSize*FP32Bytes+DC_Rows*HiddenSize*FP32Bytes)+(DC_Rows*TP1LocalVocab*FP32Bytes)</f>
        <v>2118657024.0</v>
      </c>
      <c r="AD43" s="13">
        <f>(TP8LocalVocab*HiddenSize*FP32Bytes+DC_Rows*HiddenSize*FP32Bytes)+(DC_Rows*TP8LocalVocab*FP32Bytes)</f>
        <v>264846464.0</v>
      </c>
    </row>
    <row r="44" spans="1:30">
      <c r="A44" s="4" t="s">
        <v>332</v>
      </c>
      <c r="B44" s="4" t="s">
        <v>333</v>
      </c>
      <c r="C44" s="4" t="s">
        <v>334</v>
      </c>
      <c r="D44" s="10" t="s">
        <v>335</v>
      </c>
      <c r="E44" s="10" t="s">
        <v>336</v>
      </c>
      <c r="F44" s="12">
        <f>IF(ABS(U44)&gt;=1E15,U44/1E15,IF(ABS(U44)&gt;=1E12,U44/1E12,IF(ABS(U44)&gt;=1E9,U44/1E9,IF(ABS(U44)&gt;=1E6,U44/1E6,U44))))</f>
        <v>0.0</v>
      </c>
      <c r="G44" s="11" t="str">
        <f>IF(ABS(U44)&gt;=1E15,"PFLOPs",IF(ABS(U44)&gt;=1E12,"TFLOPs",IF(ABS(U44)&gt;=1E9,"GFLOPs",IF(ABS(U44)&gt;=1E6,"MFLOPs","flops"))))</f>
        <v>FLOPs</v>
      </c>
      <c r="H44" s="12">
        <f>IF(ABS(V44)&gt;=1E15,V44/1E15,IF(ABS(V44)&gt;=1E12,V44/1E12,IF(ABS(V44)&gt;=1E9,V44/1E9,IF(ABS(V44)&gt;=1E6,V44/1E6,V44))))</f>
        <v>0.0</v>
      </c>
      <c r="I44" s="11" t="str">
        <f>IF(ABS(V44)&gt;=1E15,"PFLOPs",IF(ABS(V44)&gt;=1E12,"TFLOPs",IF(ABS(V44)&gt;=1E9,"GFLOPs",IF(ABS(V44)&gt;=1E6,"MFLOPs","flops"))))</f>
        <v>FLOPs</v>
      </c>
      <c r="J44" s="12">
        <f>IF(ABS(AC44)&gt;=1E12,AC44/1E12,IF(ABS(AC44)&gt;=1E9,AC44/1E9,IF(ABS(AC44)&gt;=1E6,AC44/1E6,IF(ABS(AC44)&gt;=1E3,AC44/1E3,AC44))))</f>
        <v>0.0</v>
      </c>
      <c r="K44" s="11" t="str">
        <f>IF(ABS(AC44)&gt;=1E12,"TB",IF(ABS(AC44)&gt;=1E9,"GB",IF(ABS(AC44)&gt;=1E6,"MB",IF(ABS(AC44)&gt;=1E3,"KB","bytes"))))</f>
        <v>B</v>
      </c>
      <c r="L44" s="12">
        <f>IF(ABS(AD44)&gt;=1E12,AD44/1E12,IF(ABS(AD44)&gt;=1E9,AD44/1E9,IF(ABS(AD44)&gt;=1E6,AD44/1E6,IF(ABS(AD44)&gt;=1E3,AD44/1E3,AD44))))</f>
        <v>0.0</v>
      </c>
      <c r="M44" s="11" t="str">
        <f>IF(ABS(AD44)&gt;=1E12,"TB",IF(ABS(AD44)&gt;=1E9,"GB",IF(ABS(AD44)&gt;=1E6,"MB",IF(ABS(AD44)&gt;=1E3,"KB","bytes"))))</f>
        <v>B</v>
      </c>
      <c r="N44" s="12">
        <f>IF(ABS(AA44)&gt;=1E12,AA44/1E12,IF(ABS(AA44)&gt;=1E9,AA44/1E9,IF(ABS(AA44)&gt;=1E6,AA44/1E6,IF(ABS(AA44)&gt;=1E3,AA44/1E3,AA44))))</f>
        <v>0.0</v>
      </c>
      <c r="O44" s="11" t="str">
        <f>IF(ABS(AA44)&gt;=1E12,"TB",IF(ABS(AA44)&gt;=1E9,"GB",IF(ABS(AA44)&gt;=1E6,"MB",IF(ABS(AA44)&gt;=1E3,"KB","bytes"))))</f>
        <v>B</v>
      </c>
      <c r="P44" s="12">
        <f>IF(ABS(AB44)&gt;=1E12,AB44/1E12,IF(ABS(AB44)&gt;=1E9,AB44/1E9,IF(ABS(AB44)&gt;=1E6,AB44/1E6,IF(ABS(AB44)&gt;=1E3,AB44/1E3,AB44))))</f>
        <v>5.865216</v>
      </c>
      <c r="Q44" s="11" t="str">
        <f>IF(ABS(AB44)&gt;=1E12,"TB",IF(ABS(AB44)&gt;=1E9,"GB",IF(ABS(AB44)&gt;=1E6,"MB",IF(ABS(AB44)&gt;=1E3,"KB","bytes"))))</f>
        <v>MB</v>
      </c>
      <c r="R44" s="4" t="s">
        <v>325</v>
      </c>
      <c r="S44" s="4" t="s">
        <v>337</v>
      </c>
      <c r="T44" s="13">
        <f>0</f>
        <v>0</v>
      </c>
      <c r="U44" s="13">
        <f>0</f>
        <v>0</v>
      </c>
      <c r="V44" s="13">
        <f>0</f>
        <v>0</v>
      </c>
      <c r="W44" s="13">
        <f>0</f>
        <v>0</v>
      </c>
      <c r="X44" s="13">
        <f>0</f>
        <v>0</v>
      </c>
      <c r="Y44" s="13">
        <f>0</f>
        <v>0</v>
      </c>
      <c r="Z44" s="13">
        <f>0</f>
        <v>0</v>
      </c>
      <c r="AA44" s="13">
        <f>4*(TP1Size-1)/TP1Size*DC_Rows*HiddenSize*BF16Bytes+2*4*(TP1Size-1)/TP1Size*DC_Rows*HiddenSize*FP32Bytes*TotalLayers+2*(TP1Size-1)*DC_Rows*TP1LocalVocab*FP32Bytes</f>
        <v>0.0</v>
      </c>
      <c r="AB44" s="13">
        <f>4*(TP8Size-1)/TP8Size*DC_Rows*HiddenSize*BF16Bytes+2*4*(TP8Size-1)/TP8Size*DC_Rows*HiddenSize*FP32Bytes*TotalLayers+2*(TP8Size-1)*DC_Rows*TP8LocalVocab*FP32Bytes</f>
        <v>5865216.0</v>
      </c>
      <c r="AC44" s="13">
        <f>(0)+(0)</f>
        <v>0</v>
      </c>
      <c r="AD44" s="13">
        <f>(0)+(0)</f>
        <v>0</v>
      </c>
    </row>
  </sheetData>
  <mergeCells count="2">
    <mergeCell ref="A31:S31"/>
    <mergeCell ref="A11:F11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U39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18.7109375" customWidth="1"/>
    <col min="2" max="2" width="32.7109375" customWidth="1"/>
    <col min="3" max="4" width="72.7109375" customWidth="1"/>
    <col min="5" max="14" width="18.7109375" customWidth="1"/>
    <col min="15" max="15" width="58.7109375" customWidth="1"/>
    <col min="16" max="21" width="0" hidden="1" customWidth="1"/>
  </cols>
  <sheetData>
    <row r="1" spans="1:21">
      <c r="A1" s="1" t="s">
        <v>402</v>
      </c>
    </row>
    <row r="2" spans="1:21">
      <c r="A2" s="2" t="s">
        <v>403</v>
      </c>
    </row>
    <row r="3" spans="1:21">
      <c r="A3" t="s">
        <v>404</v>
      </c>
      <c r="B3" t="s">
        <v>405</v>
      </c>
      <c r="C3" t="s">
        <v>406</v>
      </c>
      <c r="D3" t="s">
        <v>407</v>
      </c>
      <c r="E3" t="s">
        <v>408</v>
      </c>
      <c r="F3" t="s">
        <v>409</v>
      </c>
      <c r="G3" t="s">
        <v>410</v>
      </c>
      <c r="H3" t="s">
        <v>411</v>
      </c>
      <c r="I3" t="s">
        <v>412</v>
      </c>
      <c r="J3" t="s">
        <v>413</v>
      </c>
      <c r="K3" t="s">
        <v>414</v>
      </c>
      <c r="L3" t="s">
        <v>415</v>
      </c>
      <c r="M3" t="s">
        <v>416</v>
      </c>
      <c r="N3" t="s">
        <v>417</v>
      </c>
      <c r="O3" t="s">
        <v>418</v>
      </c>
    </row>
    <row r="4" spans="1:21">
      <c r="A4" s="4" t="s">
        <v>46</v>
      </c>
      <c r="B4" s="4" t="s">
        <v>419</v>
      </c>
      <c r="C4" s="10" t="s">
        <v>420</v>
      </c>
      <c r="D4" s="10" t="s">
        <v>421</v>
      </c>
      <c r="E4" s="12">
        <f>IF(ABS(P4)&gt;=1E12,P4/1E12,IF(ABS(P4)&gt;=1E9,P4/1E9,IF(ABS(P4)&gt;=1E6,P4/1E6,IF(ABS(P4)&gt;=1E3,P4/1E3,P4))))</f>
        <v>4.599054336</v>
      </c>
      <c r="F4" s="11" t="str">
        <f>IF(ABS(P4)&gt;=1E12,"T params",IF(ABS(P4)&gt;=1E9,"G params",IF(ABS(P4)&gt;=1E6,"M params",IF(ABS(P4)&gt;=1E3,"K params","params"))))</f>
        <v>G params</v>
      </c>
      <c r="G4" s="12">
        <f>IF(ABS(Q4)&gt;=1E12,Q4/1E12,IF(ABS(Q4)&gt;=1E9,Q4/1E9,IF(ABS(Q4)&gt;=1E6,Q4/1E6,IF(ABS(Q4)&gt;=1E3,Q4/1E3,Q4))))</f>
        <v>4.599054336</v>
      </c>
      <c r="H4" s="11" t="str">
        <f>IF(ABS(Q4)&gt;=1E12,"T params",IF(ABS(Q4)&gt;=1E9,"G params",IF(ABS(Q4)&gt;=1E6,"M params",IF(ABS(Q4)&gt;=1E3,"K params","params"))))</f>
        <v>G params</v>
      </c>
      <c r="I4" s="12">
        <f>IF(ABS(R4)&gt;=1E12,R4/1E12,IF(ABS(R4)&gt;=1E9,R4/1E9,IF(ABS(R4)&gt;=1E6,R4/1E6,IF(ABS(R4)&gt;=1E3,R4/1E3,R4))))</f>
        <v>811.597824</v>
      </c>
      <c r="J4" s="11" t="str">
        <f>IF(ABS(R4)&gt;=1E12,"T params",IF(ABS(R4)&gt;=1E9,"G params",IF(ABS(R4)&gt;=1E6,"M params",IF(ABS(R4)&gt;=1E3,"K params","params"))))</f>
        <v>M params</v>
      </c>
      <c r="K4" s="12">
        <f>IF(ABS(T4)&gt;=1E12,T4/1E12,IF(ABS(T4)&gt;=1E9,T4/1E9,IF(ABS(T4)&gt;=1E6,T4/1E6,IF(ABS(T4)&gt;=1E3,T4/1E3,T4))))</f>
        <v>6.042087552</v>
      </c>
      <c r="L4" s="11" t="str">
        <f>IF(ABS(T4)&gt;=1E12,"TB",IF(ABS(T4)&gt;=1E9,"GB",IF(ABS(T4)&gt;=1E6,"MB",IF(ABS(T4)&gt;=1E3,"KB","bytes"))))</f>
        <v>GB</v>
      </c>
      <c r="M4" s="12">
        <f>IF(ABS(U4)&gt;=1E12,U4/1E12,IF(ABS(U4)&gt;=1E9,U4/1E9,IF(ABS(U4)&gt;=1E6,U4/1E6,IF(ABS(U4)&gt;=1E3,U4/1E3,U4))))</f>
        <v>991.991424</v>
      </c>
      <c r="N4" s="11" t="str">
        <f>IF(ABS(U4)&gt;=1E12,"TB",IF(ABS(U4)&gt;=1E9,"GB",IF(ABS(U4)&gt;=1E6,"MB",IF(ABS(U4)&gt;=1E3,"KB","bytes"))))</f>
        <v>MB</v>
      </c>
      <c r="O4" s="4" t="s">
        <v>422</v>
      </c>
      <c r="P4" s="13">
        <f>TotalLayers*(HiddenSize*QLoraRank+QLoraRank*NumHeads*HeadDim+HiddenSize*HeadDim+NumHeads*HeadDim*OLoraRank+OGroups*OLoraRank*HiddenSize)</f>
        <v>4599054336</v>
      </c>
      <c r="Q4" s="13">
        <f>TotalLayers*(HiddenSize*QLoraRank+QLoraRank*TP1LocalHeads*HeadDim+HiddenSize*HeadDim+TP1LocalHeads*HeadDim*OLoraRank+TP1LocalOGroups*OLoraRank*HiddenSize)</f>
        <v>4599054336.0</v>
      </c>
      <c r="R4" s="13">
        <f>TotalLayers*(HiddenSize*QLoraRank+QLoraRank*TP8LocalHeads*HeadDim+HiddenSize*HeadDim+TP8LocalHeads*HeadDim*OLoraRank+TP8LocalOGroups*OLoraRank*HiddenSize)</f>
        <v>811597824.0</v>
      </c>
      <c r="S4" s="13">
        <f>TotalLayers*(((HiddenSize)*(QLoraRank)*FP8Bytes+ROUNDUP((HiddenSize)/FP8Block,0)*ROUNDUP((QLoraRank)/FP8Block,0)*ScaleBytes)+((QLoraRank)*(NumHeads*HeadDim)*FP8Bytes+ROUNDUP((QLoraRank)/FP8Block,0)*ROUNDUP((NumHeads*HeadDim)/FP8Block,0)*ScaleBytes)+((HiddenSize)*(HeadDim)*FP8Bytes+ROUNDUP((HiddenSize)/FP8Block,0)*ROUNDUP((HeadDim)/FP8Block,0)*ScaleBytes)+NumHeads*HeadDim*OLoraRank*BF16Bytes+((OGroups*OLoraRank)*(HiddenSize)*FP8Bytes+ROUNDUP((OGroups*OLoraRank)/FP8Block,0)*ROUNDUP((HiddenSize)/FP8Block,0)*ScaleBytes))</f>
        <v>6042087552</v>
      </c>
      <c r="T4" s="13">
        <f>TotalLayers*(((HiddenSize)*(QLoraRank)*FP8Bytes+ROUNDUP((HiddenSize)/FP8Block,0)*ROUNDUP((QLoraRank)/FP8Block,0)*ScaleBytes)+((QLoraRank)*(TP1LocalHeads*HeadDim)*FP8Bytes+ROUNDUP((QLoraRank)/FP8Block,0)*ROUNDUP((TP1LocalHeads*HeadDim)/FP8Block,0)*ScaleBytes)+((HiddenSize)*(HeadDim)*FP8Bytes+ROUNDUP((HiddenSize)/FP8Block,0)*ROUNDUP((HeadDim)/FP8Block,0)*ScaleBytes)+TP1LocalHeads*HeadDim*OLoraRank*BF16Bytes+((TP1LocalOGroups*OLoraRank)*(HiddenSize)*FP8Bytes+ROUNDUP((TP1LocalOGroups*OLoraRank)/FP8Block,0)*ROUNDUP((HiddenSize)/FP8Block,0)*ScaleBytes))</f>
        <v>6042087552</v>
      </c>
      <c r="U4" s="13">
        <f>TotalLayers*(((HiddenSize)*(QLoraRank)*FP8Bytes+ROUNDUP((HiddenSize)/FP8Block,0)*ROUNDUP((QLoraRank)/FP8Block,0)*ScaleBytes)+((QLoraRank)*(TP8LocalHeads*HeadDim)*FP8Bytes+ROUNDUP((QLoraRank)/FP8Block,0)*ROUNDUP((TP8LocalHeads*HeadDim)/FP8Block,0)*ScaleBytes)+((HiddenSize)*(HeadDim)*FP8Bytes+ROUNDUP((HiddenSize)/FP8Block,0)*ROUNDUP((HeadDim)/FP8Block,0)*ScaleBytes)+TP8LocalHeads*HeadDim*OLoraRank*BF16Bytes+((TP8LocalOGroups*OLoraRank)*(HiddenSize)*FP8Bytes+ROUNDUP((TP8LocalOGroups*OLoraRank)/FP8Block,0)*ROUNDUP((HiddenSize)/FP8Block,0)*ScaleBytes))</f>
        <v>991991424</v>
      </c>
    </row>
    <row r="5" spans="1:21">
      <c r="A5" s="4" t="s">
        <v>46</v>
      </c>
      <c r="B5" s="4" t="s">
        <v>423</v>
      </c>
      <c r="C5" s="10" t="s">
        <v>424</v>
      </c>
      <c r="D5" s="10" t="s">
        <v>425</v>
      </c>
      <c r="E5" s="12">
        <f>IF(ABS(P5)&gt;=1E12,P5/1E12,IF(ABS(P5)&gt;=1E9,P5/1E9,IF(ABS(P5)&gt;=1E6,P5/1E6,IF(ABS(P5)&gt;=1E3,P5/1E3,P5))))</f>
        <v>261.464576</v>
      </c>
      <c r="F5" s="11" t="str">
        <f>IF(ABS(P5)&gt;=1E12,"T params",IF(ABS(P5)&gt;=1E9,"G params",IF(ABS(P5)&gt;=1E6,"M params",IF(ABS(P5)&gt;=1E3,"K params","params"))))</f>
        <v>M params</v>
      </c>
      <c r="G5" s="12">
        <f>IF(ABS(Q5)&gt;=1E12,Q5/1E12,IF(ABS(Q5)&gt;=1E9,Q5/1E9,IF(ABS(Q5)&gt;=1E6,Q5/1E6,IF(ABS(Q5)&gt;=1E3,Q5/1E3,Q5))))</f>
        <v>261.464576</v>
      </c>
      <c r="H5" s="11" t="str">
        <f>IF(ABS(Q5)&gt;=1E12,"T params",IF(ABS(Q5)&gt;=1E9,"G params",IF(ABS(Q5)&gt;=1E6,"M params",IF(ABS(Q5)&gt;=1E3,"K params","params"))))</f>
        <v>M params</v>
      </c>
      <c r="I5" s="12">
        <f>IF(ABS(R5)&gt;=1E12,R5/1E12,IF(ABS(R5)&gt;=1E9,R5/1E9,IF(ABS(R5)&gt;=1E6,R5/1E6,IF(ABS(R5)&gt;=1E3,R5/1E3,R5))))</f>
        <v>261.464576</v>
      </c>
      <c r="J5" s="11" t="str">
        <f>IF(ABS(R5)&gt;=1E12,"T params",IF(ABS(R5)&gt;=1E9,"G params",IF(ABS(R5)&gt;=1E6,"M params",IF(ABS(R5)&gt;=1E3,"K params","params"))))</f>
        <v>M params</v>
      </c>
      <c r="K5" s="12">
        <f>IF(ABS(T5)&gt;=1E12,T5/1E12,IF(ABS(T5)&gt;=1E9,T5/1E9,IF(ABS(T5)&gt;=1E6,T5/1E6,IF(ABS(T5)&gt;=1E3,T5/1E3,T5))))</f>
        <v>1.045858304</v>
      </c>
      <c r="L5" s="11" t="str">
        <f>IF(ABS(T5)&gt;=1E12,"TB",IF(ABS(T5)&gt;=1E9,"GB",IF(ABS(T5)&gt;=1E6,"MB",IF(ABS(T5)&gt;=1E3,"KB","bytes"))))</f>
        <v>GB</v>
      </c>
      <c r="M5" s="12">
        <f>IF(ABS(U5)&gt;=1E12,U5/1E12,IF(ABS(U5)&gt;=1E9,U5/1E9,IF(ABS(U5)&gt;=1E6,U5/1E6,IF(ABS(U5)&gt;=1E3,U5/1E3,U5))))</f>
        <v>1.045858304</v>
      </c>
      <c r="N5" s="11" t="str">
        <f>IF(ABS(U5)&gt;=1E12,"TB",IF(ABS(U5)&gt;=1E9,"GB",IF(ABS(U5)&gt;=1E6,"MB",IF(ABS(U5)&gt;=1E3,"KB","bytes"))))</f>
        <v>GB</v>
      </c>
      <c r="O5" s="4" t="s">
        <v>426</v>
      </c>
      <c r="P5" s="13">
        <f>ShortLayers*(2*HiddenSize*(2*HeadDim)+ShortRatio*2*HeadDim+HeadDim)+LongLayers*(2*HiddenSize*HeadDim+LongRatio*HeadDim+HeadDim)</f>
        <v>261464576</v>
      </c>
      <c r="Q5" s="13">
        <f>ShortLayers*(2*HiddenSize*(2*HeadDim)+ShortRatio*2*HeadDim+HeadDim)+LongLayers*(2*HiddenSize*HeadDim+LongRatio*HeadDim+HeadDim)</f>
        <v>261464576</v>
      </c>
      <c r="R5" s="13">
        <f>ShortLayers*(2*HiddenSize*(2*HeadDim)+ShortRatio*2*HeadDim+HeadDim)+LongLayers*(2*HiddenSize*HeadDim+LongRatio*HeadDim+HeadDim)</f>
        <v>261464576</v>
      </c>
      <c r="S5" s="13">
        <f>ShortLayers*(2*HiddenSize*(2*HeadDim)*FP32Bytes+ShortRatio*2*HeadDim*FP32Bytes+HeadDim*FP32Bytes)+LongLayers*(2*HiddenSize*HeadDim*FP32Bytes+LongRatio*HeadDim*FP32Bytes+HeadDim*FP32Bytes)</f>
        <v>1045858304</v>
      </c>
      <c r="T5" s="13">
        <f>ShortLayers*(2*HiddenSize*(2*HeadDim)*FP32Bytes+ShortRatio*2*HeadDim*FP32Bytes+HeadDim*FP32Bytes)+LongLayers*(2*HiddenSize*HeadDim*FP32Bytes+LongRatio*HeadDim*FP32Bytes+HeadDim*FP32Bytes)</f>
        <v>1045858304</v>
      </c>
      <c r="U5" s="13">
        <f>ShortLayers*(2*HiddenSize*(2*HeadDim)*FP32Bytes+ShortRatio*2*HeadDim*FP32Bytes+HeadDim*FP32Bytes)+LongLayers*(2*HiddenSize*HeadDim*FP32Bytes+LongRatio*HeadDim*FP32Bytes+HeadDim*FP32Bytes)</f>
        <v>1045858304</v>
      </c>
    </row>
    <row r="6" spans="1:21">
      <c r="A6" s="4" t="s">
        <v>46</v>
      </c>
      <c r="B6" s="4" t="s">
        <v>427</v>
      </c>
      <c r="C6" s="10" t="s">
        <v>428</v>
      </c>
      <c r="D6" s="10" t="s">
        <v>429</v>
      </c>
      <c r="E6" s="12">
        <f>IF(ABS(P6)&gt;=1E12,P6/1E12,IF(ABS(P6)&gt;=1E9,P6/1E9,IF(ABS(P6)&gt;=1E6,P6/1E6,IF(ABS(P6)&gt;=1E3,P6/1E3,P6))))</f>
        <v>225.730176</v>
      </c>
      <c r="F6" s="11" t="str">
        <f>IF(ABS(P6)&gt;=1E12,"T params",IF(ABS(P6)&gt;=1E9,"G params",IF(ABS(P6)&gt;=1E6,"M params",IF(ABS(P6)&gt;=1E3,"K params","params"))))</f>
        <v>M params</v>
      </c>
      <c r="G6" s="12">
        <f>IF(ABS(Q6)&gt;=1E12,Q6/1E12,IF(ABS(Q6)&gt;=1E9,Q6/1E9,IF(ABS(Q6)&gt;=1E6,Q6/1E6,IF(ABS(Q6)&gt;=1E3,Q6/1E3,Q6))))</f>
        <v>225.730176</v>
      </c>
      <c r="H6" s="11" t="str">
        <f>IF(ABS(Q6)&gt;=1E12,"T params",IF(ABS(Q6)&gt;=1E9,"G params",IF(ABS(Q6)&gt;=1E6,"M params",IF(ABS(Q6)&gt;=1E3,"K params","params"))))</f>
        <v>M params</v>
      </c>
      <c r="I6" s="12">
        <f>IF(ABS(R6)&gt;=1E12,R6/1E12,IF(ABS(R6)&gt;=1E9,R6/1E9,IF(ABS(R6)&gt;=1E6,R6/1E6,IF(ABS(R6)&gt;=1E3,R6/1E3,R6))))</f>
        <v>66.772608</v>
      </c>
      <c r="J6" s="11" t="str">
        <f>IF(ABS(R6)&gt;=1E12,"T params",IF(ABS(R6)&gt;=1E9,"G params",IF(ABS(R6)&gt;=1E6,"M params",IF(ABS(R6)&gt;=1E3,"K params","params"))))</f>
        <v>M params</v>
      </c>
      <c r="K6" s="12">
        <f>IF(ABS(T6)&gt;=1E12,T6/1E12,IF(ABS(T6)&gt;=1E9,T6/1E9,IF(ABS(T6)&gt;=1E6,T6/1E6,IF(ABS(T6)&gt;=1E3,T6/1E3,T6))))</f>
        <v>363.439104</v>
      </c>
      <c r="L6" s="11" t="str">
        <f>IF(ABS(T6)&gt;=1E12,"TB",IF(ABS(T6)&gt;=1E9,"GB",IF(ABS(T6)&gt;=1E6,"MB",IF(ABS(T6)&gt;=1E3,"KB","bytes"))))</f>
        <v>MB</v>
      </c>
      <c r="M6" s="12">
        <f>IF(ABS(U6)&gt;=1E12,U6/1E12,IF(ABS(U6)&gt;=1E9,U6/1E9,IF(ABS(U6)&gt;=1E6,U6/1E6,IF(ABS(U6)&gt;=1E3,U6/1E3,U6))))</f>
        <v>199.655232</v>
      </c>
      <c r="N6" s="11" t="str">
        <f>IF(ABS(U6)&gt;=1E12,"TB",IF(ABS(U6)&gt;=1E9,"GB",IF(ABS(U6)&gt;=1E6,"MB",IF(ABS(U6)&gt;=1E3,"KB","bytes"))))</f>
        <v>MB</v>
      </c>
      <c r="O6" s="4" t="s">
        <v>430</v>
      </c>
      <c r="P6" s="13">
        <f>ShortLayers*(QLoraRank*IndexHeads*IndexHeadDim+HiddenSize*IndexHeads+2*HiddenSize*(2*IndexHeadDim)+ShortRatio*2*IndexHeadDim+IndexHeadDim)</f>
        <v>225730176</v>
      </c>
      <c r="Q6" s="13">
        <f>ShortLayers*(QLoraRank*TP1LocalIndexHeads*IndexHeadDim+HiddenSize*TP1LocalIndexHeads+2*HiddenSize*(2*IndexHeadDim)+ShortRatio*2*IndexHeadDim+IndexHeadDim)</f>
        <v>225730176.0</v>
      </c>
      <c r="R6" s="13">
        <f>ShortLayers*(QLoraRank*TP8LocalIndexHeads*IndexHeadDim+HiddenSize*TP8LocalIndexHeads+2*HiddenSize*(2*IndexHeadDim)+ShortRatio*2*IndexHeadDim+IndexHeadDim)</f>
        <v>66772608.0</v>
      </c>
      <c r="S6" s="13">
        <f>ShortLayers*(((QLoraRank)*(IndexHeads*IndexHeadDim)*FP8Bytes+ROUNDUP((QLoraRank)/FP8Block,0)*ROUNDUP((IndexHeads*IndexHeadDim)/FP8Block,0)*ScaleBytes)+HiddenSize*IndexHeads*BF16Bytes+2*HiddenSize*(2*IndexHeadDim)*FP32Bytes+ShortRatio*2*IndexHeadDim*FP32Bytes+IndexHeadDim*FP32Bytes)</f>
        <v>363439104</v>
      </c>
      <c r="T6" s="13">
        <f>ShortLayers*(((QLoraRank)*(TP1LocalIndexHeads*IndexHeadDim)*FP8Bytes+ROUNDUP((QLoraRank)/FP8Block,0)*ROUNDUP((TP1LocalIndexHeads*IndexHeadDim)/FP8Block,0)*ScaleBytes)+HiddenSize*TP1LocalIndexHeads*BF16Bytes+2*HiddenSize*(2*IndexHeadDim)*FP32Bytes+ShortRatio*2*IndexHeadDim*FP32Bytes+IndexHeadDim*FP32Bytes)</f>
        <v>363439104</v>
      </c>
      <c r="U6" s="13">
        <f>ShortLayers*(((QLoraRank)*(TP8LocalIndexHeads*IndexHeadDim)*FP8Bytes+ROUNDUP((QLoraRank)/FP8Block,0)*ROUNDUP((TP8LocalIndexHeads*IndexHeadDim)/FP8Block,0)*ScaleBytes)+HiddenSize*TP8LocalIndexHeads*BF16Bytes+2*HiddenSize*(2*IndexHeadDim)*FP32Bytes+ShortRatio*2*IndexHeadDim*FP32Bytes+IndexHeadDim*FP32Bytes)</f>
        <v>199655232</v>
      </c>
    </row>
    <row r="7" spans="1:21">
      <c r="A7" s="4" t="s">
        <v>67</v>
      </c>
      <c r="B7" s="4" t="s">
        <v>68</v>
      </c>
      <c r="C7" s="10" t="s">
        <v>431</v>
      </c>
      <c r="D7" s="10" t="s">
        <v>432</v>
      </c>
      <c r="E7" s="12">
        <f>IF(ABS(P7)&gt;=1E12,P7/1E12,IF(ABS(P7)&gt;=1E9,P7/1E9,IF(ABS(P7)&gt;=1E6,P7/1E6,IF(ABS(P7)&gt;=1E3,P7/1E3,P7))))</f>
        <v>277.025390592</v>
      </c>
      <c r="F7" s="11" t="str">
        <f>IF(ABS(P7)&gt;=1E12,"T params",IF(ABS(P7)&gt;=1E9,"G params",IF(ABS(P7)&gt;=1E6,"M params",IF(ABS(P7)&gt;=1E3,"K params","params"))))</f>
        <v>G params</v>
      </c>
      <c r="G7" s="12">
        <f>IF(ABS(Q7)&gt;=1E12,Q7/1E12,IF(ABS(Q7)&gt;=1E9,Q7/1E9,IF(ABS(Q7)&gt;=1E6,Q7/1E6,IF(ABS(Q7)&gt;=1E3,Q7/1E3,Q7))))</f>
        <v>277.025390592</v>
      </c>
      <c r="H7" s="11" t="str">
        <f>IF(ABS(Q7)&gt;=1E12,"T params",IF(ABS(Q7)&gt;=1E9,"G params",IF(ABS(Q7)&gt;=1E6,"M params",IF(ABS(Q7)&gt;=1E3,"K params","params"))))</f>
        <v>G params</v>
      </c>
      <c r="I7" s="12">
        <f>IF(ABS(R7)&gt;=1E12,R7/1E12,IF(ABS(R7)&gt;=1E9,R7/1E9,IF(ABS(R7)&gt;=1E6,R7/1E6,IF(ABS(R7)&gt;=1E3,R7/1E3,R7))))</f>
        <v>34.628173824</v>
      </c>
      <c r="J7" s="11" t="str">
        <f>IF(ABS(R7)&gt;=1E12,"T params",IF(ABS(R7)&gt;=1E9,"G params",IF(ABS(R7)&gt;=1E6,"M params",IF(ABS(R7)&gt;=1E3,"K params","params"))))</f>
        <v>G params</v>
      </c>
      <c r="K7" s="12">
        <f>IF(ABS(T7)&gt;=1E12,T7/1E12,IF(ABS(T7)&gt;=1E9,T7/1E9,IF(ABS(T7)&gt;=1E6,T7/1E6,IF(ABS(T7)&gt;=1E3,T7/1E3,T7))))</f>
        <v>147.169738752</v>
      </c>
      <c r="L7" s="11" t="str">
        <f>IF(ABS(T7)&gt;=1E12,"TB",IF(ABS(T7)&gt;=1E9,"GB",IF(ABS(T7)&gt;=1E6,"MB",IF(ABS(T7)&gt;=1E3,"KB","bytes"))))</f>
        <v>GB</v>
      </c>
      <c r="M7" s="12">
        <f>IF(ABS(U7)&gt;=1E12,U7/1E12,IF(ABS(U7)&gt;=1E9,U7/1E9,IF(ABS(U7)&gt;=1E6,U7/1E6,IF(ABS(U7)&gt;=1E3,U7/1E3,U7))))</f>
        <v>18.396217344</v>
      </c>
      <c r="N7" s="11" t="str">
        <f>IF(ABS(U7)&gt;=1E12,"TB",IF(ABS(U7)&gt;=1E9,"GB",IF(ABS(U7)&gt;=1E6,"MB",IF(ABS(U7)&gt;=1E3,"KB","bytes"))))</f>
        <v>GB</v>
      </c>
      <c r="O7" s="4" t="s">
        <v>433</v>
      </c>
      <c r="P7" s="13">
        <f>TotalLayers*RoutedExperts*3*HiddenSize*ExpertInter</f>
        <v>277025390592</v>
      </c>
      <c r="Q7" s="13">
        <f>TotalLayers*TP1LocalExperts*3*HiddenSize*ExpertInter</f>
        <v>277025390592.0</v>
      </c>
      <c r="R7" s="13">
        <f>TotalLayers*TP8LocalExperts*3*HiddenSize*ExpertInter</f>
        <v>34628173824.0</v>
      </c>
      <c r="S7" s="13">
        <f>TotalLayers*RoutedExperts*(3*HiddenSize*ExpertInter*FP4Bytes+3*HiddenSize*ExpertInter/FP4Block*ScaleBytes)</f>
        <v>147169738752.0</v>
      </c>
      <c r="T7" s="13">
        <f>TotalLayers*TP1LocalExperts*(3*HiddenSize*ExpertInter*FP4Bytes+3*HiddenSize*ExpertInter/FP4Block*ScaleBytes)</f>
        <v>147169738752.0</v>
      </c>
      <c r="U7" s="13">
        <f>TotalLayers*TP8LocalExperts*(3*HiddenSize*ExpertInter*FP4Bytes+3*HiddenSize*ExpertInter/FP4Block*ScaleBytes)</f>
        <v>18396217344.0</v>
      </c>
    </row>
    <row r="8" spans="1:21">
      <c r="A8" s="4" t="s">
        <v>67</v>
      </c>
      <c r="B8" s="4" t="s">
        <v>76</v>
      </c>
      <c r="C8" s="10" t="s">
        <v>434</v>
      </c>
      <c r="D8" s="10" t="s">
        <v>435</v>
      </c>
      <c r="E8" s="12">
        <f>IF(ABS(P8)&gt;=1E12,P8/1E12,IF(ABS(P8)&gt;=1E9,P8/1E9,IF(ABS(P8)&gt;=1E6,P8/1E6,IF(ABS(P8)&gt;=1E3,P8/1E3,P8))))</f>
        <v>1.082130432</v>
      </c>
      <c r="F8" s="11" t="str">
        <f>IF(ABS(P8)&gt;=1E12,"T params",IF(ABS(P8)&gt;=1E9,"G params",IF(ABS(P8)&gt;=1E6,"M params",IF(ABS(P8)&gt;=1E3,"K params","params"))))</f>
        <v>G params</v>
      </c>
      <c r="G8" s="12">
        <f>IF(ABS(Q8)&gt;=1E12,Q8/1E12,IF(ABS(Q8)&gt;=1E9,Q8/1E9,IF(ABS(Q8)&gt;=1E6,Q8/1E6,IF(ABS(Q8)&gt;=1E3,Q8/1E3,Q8))))</f>
        <v>1.082130432</v>
      </c>
      <c r="H8" s="11" t="str">
        <f>IF(ABS(Q8)&gt;=1E12,"T params",IF(ABS(Q8)&gt;=1E9,"G params",IF(ABS(Q8)&gt;=1E6,"M params",IF(ABS(Q8)&gt;=1E3,"K params","params"))))</f>
        <v>G params</v>
      </c>
      <c r="I8" s="12">
        <f>IF(ABS(R8)&gt;=1E12,R8/1E12,IF(ABS(R8)&gt;=1E9,R8/1E9,IF(ABS(R8)&gt;=1E6,R8/1E6,IF(ABS(R8)&gt;=1E3,R8/1E3,R8))))</f>
        <v>1.082130432</v>
      </c>
      <c r="J8" s="11" t="str">
        <f>IF(ABS(R8)&gt;=1E12,"T params",IF(ABS(R8)&gt;=1E9,"G params",IF(ABS(R8)&gt;=1E6,"M params",IF(ABS(R8)&gt;=1E3,"K params","params"))))</f>
        <v>G params</v>
      </c>
      <c r="K8" s="12">
        <f>IF(ABS(T8)&gt;=1E12,T8/1E12,IF(ABS(T8)&gt;=1E9,T8/1E9,IF(ABS(T8)&gt;=1E6,T8/1E6,IF(ABS(T8)&gt;=1E3,T8/1E3,T8))))</f>
        <v>1.08219648</v>
      </c>
      <c r="L8" s="11" t="str">
        <f>IF(ABS(T8)&gt;=1E12,"TB",IF(ABS(T8)&gt;=1E9,"GB",IF(ABS(T8)&gt;=1E6,"MB",IF(ABS(T8)&gt;=1E3,"KB","bytes"))))</f>
        <v>GB</v>
      </c>
      <c r="M8" s="12">
        <f>IF(ABS(U8)&gt;=1E12,U8/1E12,IF(ABS(U8)&gt;=1E9,U8/1E9,IF(ABS(U8)&gt;=1E6,U8/1E6,IF(ABS(U8)&gt;=1E3,U8/1E3,U8))))</f>
        <v>1.08219648</v>
      </c>
      <c r="N8" s="11" t="str">
        <f>IF(ABS(U8)&gt;=1E12,"TB",IF(ABS(U8)&gt;=1E9,"GB",IF(ABS(U8)&gt;=1E6,"MB",IF(ABS(U8)&gt;=1E3,"KB","bytes"))))</f>
        <v>GB</v>
      </c>
      <c r="O8" s="4" t="s">
        <v>436</v>
      </c>
      <c r="P8" s="13">
        <f>TotalLayers*SharedExperts*3*HiddenSize*ExpertInter</f>
        <v>1082130432</v>
      </c>
      <c r="Q8" s="13">
        <f>TotalLayers*SharedExperts*3*HiddenSize*ExpertInter</f>
        <v>1082130432</v>
      </c>
      <c r="R8" s="13">
        <f>TotalLayers*SharedExperts*3*HiddenSize*ExpertInter</f>
        <v>1082130432</v>
      </c>
      <c r="S8" s="13">
        <f>TotalLayers*SharedExperts*(2*((HiddenSize)*(ExpertInter)*FP8Bytes+ROUNDUP((HiddenSize)/FP8Block,0)*ROUNDUP((ExpertInter)/FP8Block,0)*ScaleBytes)+((ExpertInter)*(HiddenSize)*FP8Bytes+ROUNDUP((ExpertInter)/FP8Block,0)*ROUNDUP((HiddenSize)/FP8Block,0)*ScaleBytes))</f>
        <v>1082196480</v>
      </c>
      <c r="T8" s="13">
        <f>TotalLayers*SharedExperts*(2*((HiddenSize)*(ExpertInter)*FP8Bytes+ROUNDUP((HiddenSize)/FP8Block,0)*ROUNDUP((ExpertInter)/FP8Block,0)*ScaleBytes)+((ExpertInter)*(HiddenSize)*FP8Bytes+ROUNDUP((ExpertInter)/FP8Block,0)*ROUNDUP((HiddenSize)/FP8Block,0)*ScaleBytes))</f>
        <v>1082196480</v>
      </c>
      <c r="U8" s="13">
        <f>TotalLayers*SharedExperts*(2*((HiddenSize)*(ExpertInter)*FP8Bytes+ROUNDUP((HiddenSize)/FP8Block,0)*ROUNDUP((ExpertInter)/FP8Block,0)*ScaleBytes)+((ExpertInter)*(HiddenSize)*FP8Bytes+ROUNDUP((ExpertInter)/FP8Block,0)*ROUNDUP((HiddenSize)/FP8Block,0)*ScaleBytes))</f>
        <v>1082196480</v>
      </c>
    </row>
    <row r="9" spans="1:21">
      <c r="A9" s="4" t="s">
        <v>67</v>
      </c>
      <c r="B9" s="4" t="s">
        <v>437</v>
      </c>
      <c r="C9" s="10" t="s">
        <v>438</v>
      </c>
      <c r="D9" s="10" t="s">
        <v>439</v>
      </c>
      <c r="E9" s="12">
        <f>IF(ABS(P9)&gt;=1E12,P9/1E12,IF(ABS(P9)&gt;=1E9,P9/1E9,IF(ABS(P9)&gt;=1E6,P9/1E6,IF(ABS(P9)&gt;=1E3,P9/1E3,P9))))</f>
        <v>47.426048</v>
      </c>
      <c r="F9" s="11" t="str">
        <f>IF(ABS(P9)&gt;=1E12,"T params",IF(ABS(P9)&gt;=1E9,"G params",IF(ABS(P9)&gt;=1E6,"M params",IF(ABS(P9)&gt;=1E3,"K params","params"))))</f>
        <v>M params</v>
      </c>
      <c r="G9" s="12">
        <f>IF(ABS(Q9)&gt;=1E12,Q9/1E12,IF(ABS(Q9)&gt;=1E9,Q9/1E9,IF(ABS(Q9)&gt;=1E6,Q9/1E6,IF(ABS(Q9)&gt;=1E3,Q9/1E3,Q9))))</f>
        <v>47.426048</v>
      </c>
      <c r="H9" s="11" t="str">
        <f>IF(ABS(Q9)&gt;=1E12,"T params",IF(ABS(Q9)&gt;=1E9,"G params",IF(ABS(Q9)&gt;=1E6,"M params",IF(ABS(Q9)&gt;=1E3,"K params","params"))))</f>
        <v>M params</v>
      </c>
      <c r="I9" s="12">
        <f>IF(ABS(R9)&gt;=1E12,R9/1E12,IF(ABS(R9)&gt;=1E9,R9/1E9,IF(ABS(R9)&gt;=1E6,R9/1E6,IF(ABS(R9)&gt;=1E3,R9/1E3,R9))))</f>
        <v>47.426048</v>
      </c>
      <c r="J9" s="11" t="str">
        <f>IF(ABS(R9)&gt;=1E12,"T params",IF(ABS(R9)&gt;=1E9,"G params",IF(ABS(R9)&gt;=1E6,"M params",IF(ABS(R9)&gt;=1E3,"K params","params"))))</f>
        <v>M params</v>
      </c>
      <c r="K9" s="12">
        <f>IF(ABS(T9)&gt;=1E12,T9/1E12,IF(ABS(T9)&gt;=1E9,T9/1E9,IF(ABS(T9)&gt;=1E6,T9/1E6,IF(ABS(T9)&gt;=1E3,T9/1E3,T9))))</f>
        <v>99.526656</v>
      </c>
      <c r="L9" s="11" t="str">
        <f>IF(ABS(T9)&gt;=1E12,"TB",IF(ABS(T9)&gt;=1E9,"GB",IF(ABS(T9)&gt;=1E6,"MB",IF(ABS(T9)&gt;=1E3,"KB","bytes"))))</f>
        <v>MB</v>
      </c>
      <c r="M9" s="12">
        <f>IF(ABS(U9)&gt;=1E12,U9/1E12,IF(ABS(U9)&gt;=1E9,U9/1E9,IF(ABS(U9)&gt;=1E6,U9/1E6,IF(ABS(U9)&gt;=1E3,U9/1E3,U9))))</f>
        <v>99.526656</v>
      </c>
      <c r="N9" s="11" t="str">
        <f>IF(ABS(U9)&gt;=1E12,"TB",IF(ABS(U9)&gt;=1E9,"GB",IF(ABS(U9)&gt;=1E6,"MB",IF(ABS(U9)&gt;=1E3,"KB","bytes"))))</f>
        <v>MB</v>
      </c>
      <c r="O9" s="4" t="s">
        <v>440</v>
      </c>
      <c r="P9" s="13">
        <f>TotalLayers*RoutedExperts*HiddenSize+(TotalLayers-ActiveHashLayers)*RoutedExperts+ActiveHashLayers*VocabSize*ActivatedExperts</f>
        <v>47426048</v>
      </c>
      <c r="Q9" s="13">
        <f>TotalLayers*RoutedExperts*HiddenSize+(TotalLayers-ActiveHashLayers)*RoutedExperts+ActiveHashLayers*VocabSize*ActivatedExperts</f>
        <v>47426048</v>
      </c>
      <c r="R9" s="13">
        <f>TotalLayers*RoutedExperts*HiddenSize+(TotalLayers-ActiveHashLayers)*RoutedExperts+ActiveHashLayers*VocabSize*ActivatedExperts</f>
        <v>47426048</v>
      </c>
      <c r="S9" s="13">
        <f>TotalLayers*RoutedExperts*HiddenSize*BF16Bytes+(TotalLayers-ActiveHashLayers)*RoutedExperts*FP32Bytes+ActiveHashLayers*VocabSize*ActivatedExperts*INT32Bytes</f>
        <v>99526656</v>
      </c>
      <c r="T9" s="13">
        <f>TotalLayers*RoutedExperts*HiddenSize*BF16Bytes+(TotalLayers-ActiveHashLayers)*RoutedExperts*FP32Bytes+ActiveHashLayers*VocabSize*ActivatedExperts*INT32Bytes</f>
        <v>99526656</v>
      </c>
      <c r="U9" s="13">
        <f>TotalLayers*RoutedExperts*HiddenSize*BF16Bytes+(TotalLayers-ActiveHashLayers)*RoutedExperts*FP32Bytes+ActiveHashLayers*VocabSize*ActivatedExperts*INT32Bytes</f>
        <v>99526656</v>
      </c>
    </row>
    <row r="10" spans="1:21">
      <c r="A10" s="4" t="s">
        <v>321</v>
      </c>
      <c r="B10" s="4" t="s">
        <v>441</v>
      </c>
      <c r="C10" s="10" t="s">
        <v>442</v>
      </c>
      <c r="D10" s="10" t="s">
        <v>443</v>
      </c>
      <c r="E10" s="12">
        <f>IF(ABS(P10)&gt;=1E12,P10/1E12,IF(ABS(P10)&gt;=1E9,P10/1E9,IF(ABS(P10)&gt;=1E6,P10/1E6,IF(ABS(P10)&gt;=1E3,P10/1E3,P10))))</f>
        <v>529.53088</v>
      </c>
      <c r="F10" s="11" t="str">
        <f>IF(ABS(P10)&gt;=1E12,"T params",IF(ABS(P10)&gt;=1E9,"G params",IF(ABS(P10)&gt;=1E6,"M params",IF(ABS(P10)&gt;=1E3,"K params","params"))))</f>
        <v>M params</v>
      </c>
      <c r="G10" s="12">
        <f>IF(ABS(Q10)&gt;=1E12,Q10/1E12,IF(ABS(Q10)&gt;=1E9,Q10/1E9,IF(ABS(Q10)&gt;=1E6,Q10/1E6,IF(ABS(Q10)&gt;=1E3,Q10/1E3,Q10))))</f>
        <v>529.53088</v>
      </c>
      <c r="H10" s="11" t="str">
        <f>IF(ABS(Q10)&gt;=1E12,"T params",IF(ABS(Q10)&gt;=1E9,"G params",IF(ABS(Q10)&gt;=1E6,"M params",IF(ABS(Q10)&gt;=1E3,"K params","params"))))</f>
        <v>M params</v>
      </c>
      <c r="I10" s="12">
        <f>IF(ABS(R10)&gt;=1E12,R10/1E12,IF(ABS(R10)&gt;=1E9,R10/1E9,IF(ABS(R10)&gt;=1E6,R10/1E6,IF(ABS(R10)&gt;=1E3,R10/1E3,R10))))</f>
        <v>66.19136</v>
      </c>
      <c r="J10" s="11" t="str">
        <f>IF(ABS(R10)&gt;=1E12,"T params",IF(ABS(R10)&gt;=1E9,"G params",IF(ABS(R10)&gt;=1E6,"M params",IF(ABS(R10)&gt;=1E3,"K params","params"))))</f>
        <v>M params</v>
      </c>
      <c r="K10" s="12">
        <f>IF(ABS(T10)&gt;=1E12,T10/1E12,IF(ABS(T10)&gt;=1E9,T10/1E9,IF(ABS(T10)&gt;=1E6,T10/1E6,IF(ABS(T10)&gt;=1E3,T10/1E3,T10))))</f>
        <v>1.05906176</v>
      </c>
      <c r="L10" s="11" t="str">
        <f>IF(ABS(T10)&gt;=1E12,"TB",IF(ABS(T10)&gt;=1E9,"GB",IF(ABS(T10)&gt;=1E6,"MB",IF(ABS(T10)&gt;=1E3,"KB","bytes"))))</f>
        <v>GB</v>
      </c>
      <c r="M10" s="12">
        <f>IF(ABS(U10)&gt;=1E12,U10/1E12,IF(ABS(U10)&gt;=1E9,U10/1E9,IF(ABS(U10)&gt;=1E6,U10/1E6,IF(ABS(U10)&gt;=1E3,U10/1E3,U10))))</f>
        <v>132.38272</v>
      </c>
      <c r="N10" s="11" t="str">
        <f>IF(ABS(U10)&gt;=1E12,"TB",IF(ABS(U10)&gt;=1E9,"GB",IF(ABS(U10)&gt;=1E6,"MB",IF(ABS(U10)&gt;=1E3,"KB","bytes"))))</f>
        <v>MB</v>
      </c>
      <c r="O10" s="4" t="s">
        <v>444</v>
      </c>
      <c r="P10" s="13">
        <f>VocabSize*HiddenSize</f>
        <v>529530880</v>
      </c>
      <c r="Q10" s="13">
        <f>TP1LocalVocab*HiddenSize</f>
        <v>529530880.0</v>
      </c>
      <c r="R10" s="13">
        <f>TP8LocalVocab*HiddenSize</f>
        <v>66191360.0</v>
      </c>
      <c r="S10" s="13">
        <f>VocabSize*HiddenSize*BF16Bytes</f>
        <v>1059061760</v>
      </c>
      <c r="T10" s="13">
        <f>TP1LocalVocab*HiddenSize*BF16Bytes</f>
        <v>1059061760.0</v>
      </c>
      <c r="U10" s="13">
        <f>TP8LocalVocab*HiddenSize*BF16Bytes</f>
        <v>132382720.0</v>
      </c>
    </row>
    <row r="11" spans="1:21">
      <c r="A11" s="4" t="s">
        <v>321</v>
      </c>
      <c r="B11" s="4" t="s">
        <v>327</v>
      </c>
      <c r="C11" s="10" t="s">
        <v>442</v>
      </c>
      <c r="D11" s="10" t="s">
        <v>445</v>
      </c>
      <c r="E11" s="12">
        <f>IF(ABS(P11)&gt;=1E12,P11/1E12,IF(ABS(P11)&gt;=1E9,P11/1E9,IF(ABS(P11)&gt;=1E6,P11/1E6,IF(ABS(P11)&gt;=1E3,P11/1E3,P11))))</f>
        <v>529.53088</v>
      </c>
      <c r="F11" s="11" t="str">
        <f>IF(ABS(P11)&gt;=1E12,"T params",IF(ABS(P11)&gt;=1E9,"G params",IF(ABS(P11)&gt;=1E6,"M params",IF(ABS(P11)&gt;=1E3,"K params","params"))))</f>
        <v>M params</v>
      </c>
      <c r="G11" s="12">
        <f>IF(ABS(Q11)&gt;=1E12,Q11/1E12,IF(ABS(Q11)&gt;=1E9,Q11/1E9,IF(ABS(Q11)&gt;=1E6,Q11/1E6,IF(ABS(Q11)&gt;=1E3,Q11/1E3,Q11))))</f>
        <v>529.53088</v>
      </c>
      <c r="H11" s="11" t="str">
        <f>IF(ABS(Q11)&gt;=1E12,"T params",IF(ABS(Q11)&gt;=1E9,"G params",IF(ABS(Q11)&gt;=1E6,"M params",IF(ABS(Q11)&gt;=1E3,"K params","params"))))</f>
        <v>M params</v>
      </c>
      <c r="I11" s="12">
        <f>IF(ABS(R11)&gt;=1E12,R11/1E12,IF(ABS(R11)&gt;=1E9,R11/1E9,IF(ABS(R11)&gt;=1E6,R11/1E6,IF(ABS(R11)&gt;=1E3,R11/1E3,R11))))</f>
        <v>66.19136</v>
      </c>
      <c r="J11" s="11" t="str">
        <f>IF(ABS(R11)&gt;=1E12,"T params",IF(ABS(R11)&gt;=1E9,"G params",IF(ABS(R11)&gt;=1E6,"M params",IF(ABS(R11)&gt;=1E3,"K params","params"))))</f>
        <v>M params</v>
      </c>
      <c r="K11" s="12">
        <f>IF(ABS(T11)&gt;=1E12,T11/1E12,IF(ABS(T11)&gt;=1E9,T11/1E9,IF(ABS(T11)&gt;=1E6,T11/1E6,IF(ABS(T11)&gt;=1E3,T11/1E3,T11))))</f>
        <v>2.11812352</v>
      </c>
      <c r="L11" s="11" t="str">
        <f>IF(ABS(T11)&gt;=1E12,"TB",IF(ABS(T11)&gt;=1E9,"GB",IF(ABS(T11)&gt;=1E6,"MB",IF(ABS(T11)&gt;=1E3,"KB","bytes"))))</f>
        <v>GB</v>
      </c>
      <c r="M11" s="12">
        <f>IF(ABS(U11)&gt;=1E12,U11/1E12,IF(ABS(U11)&gt;=1E9,U11/1E9,IF(ABS(U11)&gt;=1E6,U11/1E6,IF(ABS(U11)&gt;=1E3,U11/1E3,U11))))</f>
        <v>264.76544</v>
      </c>
      <c r="N11" s="11" t="str">
        <f>IF(ABS(U11)&gt;=1E12,"TB",IF(ABS(U11)&gt;=1E9,"GB",IF(ABS(U11)&gt;=1E6,"MB",IF(ABS(U11)&gt;=1E3,"KB","bytes"))))</f>
        <v>MB</v>
      </c>
      <c r="O11" s="4" t="s">
        <v>446</v>
      </c>
      <c r="P11" s="13">
        <f>VocabSize*HiddenSize</f>
        <v>529530880</v>
      </c>
      <c r="Q11" s="13">
        <f>TP1LocalVocab*HiddenSize</f>
        <v>529530880.0</v>
      </c>
      <c r="R11" s="13">
        <f>TP8LocalVocab*HiddenSize</f>
        <v>66191360.0</v>
      </c>
      <c r="S11" s="13">
        <f>VocabSize*HiddenSize*FP32Bytes</f>
        <v>2118123520</v>
      </c>
      <c r="T11" s="13">
        <f>TP1LocalVocab*HiddenSize*FP32Bytes</f>
        <v>2118123520.0</v>
      </c>
      <c r="U11" s="13">
        <f>TP8LocalVocab*HiddenSize*FP32Bytes</f>
        <v>264765440.0</v>
      </c>
    </row>
    <row r="12" spans="1:21">
      <c r="A12" s="4" t="s">
        <v>321</v>
      </c>
      <c r="B12" s="4" t="s">
        <v>447</v>
      </c>
      <c r="C12" s="10" t="s">
        <v>448</v>
      </c>
      <c r="D12" s="10" t="s">
        <v>449</v>
      </c>
      <c r="E12" s="12">
        <f>IF(ABS(P12)&gt;=1E12,P12/1E12,IF(ABS(P12)&gt;=1E9,P12/1E9,IF(ABS(P12)&gt;=1E6,P12/1E6,IF(ABS(P12)&gt;=1E3,P12/1E3,P12))))</f>
        <v>33.818898</v>
      </c>
      <c r="F12" s="11" t="str">
        <f>IF(ABS(P12)&gt;=1E12,"T params",IF(ABS(P12)&gt;=1E9,"G params",IF(ABS(P12)&gt;=1E6,"M params",IF(ABS(P12)&gt;=1E3,"K params","params"))))</f>
        <v>M params</v>
      </c>
      <c r="G12" s="12">
        <f>IF(ABS(Q12)&gt;=1E12,Q12/1E12,IF(ABS(Q12)&gt;=1E9,Q12/1E9,IF(ABS(Q12)&gt;=1E6,Q12/1E6,IF(ABS(Q12)&gt;=1E3,Q12/1E3,Q12))))</f>
        <v>33.818898</v>
      </c>
      <c r="H12" s="11" t="str">
        <f>IF(ABS(Q12)&gt;=1E12,"T params",IF(ABS(Q12)&gt;=1E9,"G params",IF(ABS(Q12)&gt;=1E6,"M params",IF(ABS(Q12)&gt;=1E3,"K params","params"))))</f>
        <v>M params</v>
      </c>
      <c r="I12" s="12">
        <f>IF(ABS(R12)&gt;=1E12,R12/1E12,IF(ABS(R12)&gt;=1E9,R12/1E9,IF(ABS(R12)&gt;=1E6,R12/1E6,IF(ABS(R12)&gt;=1E3,R12/1E3,R12))))</f>
        <v>33.818898</v>
      </c>
      <c r="J12" s="11" t="str">
        <f>IF(ABS(R12)&gt;=1E12,"T params",IF(ABS(R12)&gt;=1E9,"G params",IF(ABS(R12)&gt;=1E6,"M params",IF(ABS(R12)&gt;=1E3,"K params","params"))))</f>
        <v>M params</v>
      </c>
      <c r="K12" s="12">
        <f>IF(ABS(T12)&gt;=1E12,T12/1E12,IF(ABS(T12)&gt;=1E9,T12/1E9,IF(ABS(T12)&gt;=1E6,T12/1E6,IF(ABS(T12)&gt;=1E3,T12/1E3,T12))))</f>
        <v>135.275592</v>
      </c>
      <c r="L12" s="11" t="str">
        <f>IF(ABS(T12)&gt;=1E12,"TB",IF(ABS(T12)&gt;=1E9,"GB",IF(ABS(T12)&gt;=1E6,"MB",IF(ABS(T12)&gt;=1E3,"KB","bytes"))))</f>
        <v>MB</v>
      </c>
      <c r="M12" s="12">
        <f>IF(ABS(U12)&gt;=1E12,U12/1E12,IF(ABS(U12)&gt;=1E9,U12/1E9,IF(ABS(U12)&gt;=1E6,U12/1E6,IF(ABS(U12)&gt;=1E3,U12/1E3,U12))))</f>
        <v>135.275592</v>
      </c>
      <c r="N12" s="11" t="str">
        <f>IF(ABS(U12)&gt;=1E12,"TB",IF(ABS(U12)&gt;=1E9,"GB",IF(ABS(U12)&gt;=1E6,"MB",IF(ABS(U12)&gt;=1E3,"KB","bytes"))))</f>
        <v>MB</v>
      </c>
      <c r="O12" s="4" t="s">
        <v>450</v>
      </c>
      <c r="P12" s="13">
        <f>TotalLayers*2*(((2+HCSlots)*HCSlots)*HCSlots*HiddenSize+((2+HCSlots)*HCSlots)+3)</f>
        <v>33818898</v>
      </c>
      <c r="Q12" s="13">
        <f>TotalLayers*2*(((2+HCSlots)*HCSlots)*HCSlots*HiddenSize+((2+HCSlots)*HCSlots)+3)</f>
        <v>33818898</v>
      </c>
      <c r="R12" s="13">
        <f>TotalLayers*2*(((2+HCSlots)*HCSlots)*HCSlots*HiddenSize+((2+HCSlots)*HCSlots)+3)</f>
        <v>33818898</v>
      </c>
      <c r="S12" s="13">
        <f>(TotalLayers*2*(((2+HCSlots)*HCSlots)*HCSlots*HiddenSize+((2+HCSlots)*HCSlots)+3))*FP32Bytes</f>
        <v>135275592</v>
      </c>
      <c r="T12" s="13">
        <f>(TotalLayers*2*(((2+HCSlots)*HCSlots)*HCSlots*HiddenSize+((2+HCSlots)*HCSlots)+3))*FP32Bytes</f>
        <v>135275592</v>
      </c>
      <c r="U12" s="13">
        <f>(TotalLayers*2*(((2+HCSlots)*HCSlots)*HCSlots*HiddenSize+((2+HCSlots)*HCSlots)+3))*FP32Bytes</f>
        <v>135275592</v>
      </c>
    </row>
    <row r="13" spans="1:21">
      <c r="A13" s="4" t="s">
        <v>321</v>
      </c>
      <c r="B13" s="4" t="s">
        <v>451</v>
      </c>
      <c r="C13" s="10" t="s">
        <v>452</v>
      </c>
      <c r="D13" s="10" t="s">
        <v>453</v>
      </c>
      <c r="E13" s="12">
        <f>IF(ABS(P13)&gt;=1E12,P13/1E12,IF(ABS(P13)&gt;=1E9,P13/1E9,IF(ABS(P13)&gt;=1E6,P13/1E6,IF(ABS(P13)&gt;=1E3,P13/1E3,P13))))</f>
        <v>421.056</v>
      </c>
      <c r="F13" s="11" t="str">
        <f>IF(ABS(P13)&gt;=1E12,"T params",IF(ABS(P13)&gt;=1E9,"G params",IF(ABS(P13)&gt;=1E6,"M params",IF(ABS(P13)&gt;=1E3,"K params","params"))))</f>
        <v>K params</v>
      </c>
      <c r="G13" s="12">
        <f>IF(ABS(Q13)&gt;=1E12,Q13/1E12,IF(ABS(Q13)&gt;=1E9,Q13/1E9,IF(ABS(Q13)&gt;=1E6,Q13/1E6,IF(ABS(Q13)&gt;=1E3,Q13/1E3,Q13))))</f>
        <v>421.056</v>
      </c>
      <c r="H13" s="11" t="str">
        <f>IF(ABS(Q13)&gt;=1E12,"T params",IF(ABS(Q13)&gt;=1E9,"G params",IF(ABS(Q13)&gt;=1E6,"M params",IF(ABS(Q13)&gt;=1E3,"K params","params"))))</f>
        <v>K params</v>
      </c>
      <c r="I13" s="12">
        <f>IF(ABS(R13)&gt;=1E12,R13/1E12,IF(ABS(R13)&gt;=1E9,R13/1E9,IF(ABS(R13)&gt;=1E6,R13/1E6,IF(ABS(R13)&gt;=1E3,R13/1E3,R13))))</f>
        <v>418.648</v>
      </c>
      <c r="J13" s="11" t="str">
        <f>IF(ABS(R13)&gt;=1E12,"T params",IF(ABS(R13)&gt;=1E9,"G params",IF(ABS(R13)&gt;=1E6,"M params",IF(ABS(R13)&gt;=1E3,"K params","params"))))</f>
        <v>K params</v>
      </c>
      <c r="K13" s="12">
        <f>IF(ABS(T13)&gt;=1E12,T13/1E12,IF(ABS(T13)&gt;=1E9,T13/1E9,IF(ABS(T13)&gt;=1E6,T13/1E6,IF(ABS(T13)&gt;=1E3,T13/1E3,T13))))</f>
        <v>1.684224</v>
      </c>
      <c r="L13" s="11" t="str">
        <f>IF(ABS(T13)&gt;=1E12,"TB",IF(ABS(T13)&gt;=1E9,"GB",IF(ABS(T13)&gt;=1E6,"MB",IF(ABS(T13)&gt;=1E3,"KB","bytes"))))</f>
        <v>MB</v>
      </c>
      <c r="M13" s="12">
        <f>IF(ABS(U13)&gt;=1E12,U13/1E12,IF(ABS(U13)&gt;=1E9,U13/1E9,IF(ABS(U13)&gt;=1E6,U13/1E6,IF(ABS(U13)&gt;=1E3,U13/1E3,U13))))</f>
        <v>1.674592</v>
      </c>
      <c r="N13" s="11" t="str">
        <f>IF(ABS(U13)&gt;=1E12,"TB",IF(ABS(U13)&gt;=1E9,"GB",IF(ABS(U13)&gt;=1E6,"MB",IF(ABS(U13)&gt;=1E3,"KB","bytes"))))</f>
        <v>MB</v>
      </c>
      <c r="O13" s="4" t="s">
        <v>454</v>
      </c>
      <c r="P13" s="13">
        <f>TotalLayers*(2*HiddenSize+QLoraRank+HeadDim+NumHeads)</f>
        <v>421056</v>
      </c>
      <c r="Q13" s="13">
        <f>TotalLayers*(2*HiddenSize+QLoraRank+HeadDim+TP1LocalHeads)</f>
        <v>421056.0</v>
      </c>
      <c r="R13" s="13">
        <f>TotalLayers*(2*HiddenSize+QLoraRank+HeadDim+TP8LocalHeads)</f>
        <v>418648.0</v>
      </c>
      <c r="S13" s="13">
        <f>(TotalLayers*(2*HiddenSize+QLoraRank+HeadDim+NumHeads))*FP32Bytes</f>
        <v>1684224</v>
      </c>
      <c r="T13" s="13">
        <f>(TotalLayers*(2*HiddenSize+QLoraRank+HeadDim+TP1LocalHeads))*FP32Bytes</f>
        <v>1684224</v>
      </c>
      <c r="U13" s="13">
        <f>(TotalLayers*(2*HiddenSize+QLoraRank+HeadDim+TP8LocalHeads))*FP32Bytes</f>
        <v>1674592</v>
      </c>
    </row>
    <row r="14" spans="1:21">
      <c r="A14" s="4" t="s">
        <v>321</v>
      </c>
      <c r="B14" s="4" t="s">
        <v>455</v>
      </c>
      <c r="C14" s="10" t="s">
        <v>456</v>
      </c>
      <c r="D14" s="10" t="s">
        <v>457</v>
      </c>
      <c r="E14" s="12">
        <f>IF(ABS(P14)&gt;=1E12,P14/1E12,IF(ABS(P14)&gt;=1E9,P14/1E9,IF(ABS(P14)&gt;=1E6,P14/1E6,IF(ABS(P14)&gt;=1E3,P14/1E3,P14))))</f>
        <v>69.637</v>
      </c>
      <c r="F14" s="11" t="str">
        <f>IF(ABS(P14)&gt;=1E12,"T params",IF(ABS(P14)&gt;=1E9,"G params",IF(ABS(P14)&gt;=1E6,"M params",IF(ABS(P14)&gt;=1E3,"K params","params"))))</f>
        <v>K params</v>
      </c>
      <c r="G14" s="12">
        <f>IF(ABS(Q14)&gt;=1E12,Q14/1E12,IF(ABS(Q14)&gt;=1E9,Q14/1E9,IF(ABS(Q14)&gt;=1E6,Q14/1E6,IF(ABS(Q14)&gt;=1E3,Q14/1E3,Q14))))</f>
        <v>69.637</v>
      </c>
      <c r="H14" s="11" t="str">
        <f>IF(ABS(Q14)&gt;=1E12,"T params",IF(ABS(Q14)&gt;=1E9,"G params",IF(ABS(Q14)&gt;=1E6,"M params",IF(ABS(Q14)&gt;=1E3,"K params","params"))))</f>
        <v>K params</v>
      </c>
      <c r="I14" s="12">
        <f>IF(ABS(R14)&gt;=1E12,R14/1E12,IF(ABS(R14)&gt;=1E9,R14/1E9,IF(ABS(R14)&gt;=1E6,R14/1E6,IF(ABS(R14)&gt;=1E3,R14/1E3,R14))))</f>
        <v>69.637</v>
      </c>
      <c r="J14" s="11" t="str">
        <f>IF(ABS(R14)&gt;=1E12,"T params",IF(ABS(R14)&gt;=1E9,"G params",IF(ABS(R14)&gt;=1E6,"M params",IF(ABS(R14)&gt;=1E3,"K params","params"))))</f>
        <v>K params</v>
      </c>
      <c r="K14" s="12">
        <f>IF(ABS(T14)&gt;=1E12,T14/1E12,IF(ABS(T14)&gt;=1E9,T14/1E9,IF(ABS(T14)&gt;=1E6,T14/1E6,IF(ABS(T14)&gt;=1E3,T14/1E3,T14))))</f>
        <v>278.548</v>
      </c>
      <c r="L14" s="11" t="str">
        <f>IF(ABS(T14)&gt;=1E12,"TB",IF(ABS(T14)&gt;=1E9,"GB",IF(ABS(T14)&gt;=1E6,"MB",IF(ABS(T14)&gt;=1E3,"KB","bytes"))))</f>
        <v>KB</v>
      </c>
      <c r="M14" s="12">
        <f>IF(ABS(U14)&gt;=1E12,U14/1E12,IF(ABS(U14)&gt;=1E9,U14/1E9,IF(ABS(U14)&gt;=1E6,U14/1E6,IF(ABS(U14)&gt;=1E3,U14/1E3,U14))))</f>
        <v>278.548</v>
      </c>
      <c r="N14" s="11" t="str">
        <f>IF(ABS(U14)&gt;=1E12,"TB",IF(ABS(U14)&gt;=1E9,"GB",IF(ABS(U14)&gt;=1E6,"MB",IF(ABS(U14)&gt;=1E3,"KB","bytes"))))</f>
        <v>KB</v>
      </c>
      <c r="O14" s="4" t="s">
        <v>458</v>
      </c>
      <c r="P14" s="13">
        <f>HCSlots*HCSlots*HiddenSize+HCSlots+1+HiddenSize</f>
        <v>69637</v>
      </c>
      <c r="Q14" s="13">
        <f>HCSlots*HCSlots*HiddenSize+HCSlots+1+HiddenSize</f>
        <v>69637</v>
      </c>
      <c r="R14" s="13">
        <f>HCSlots*HCSlots*HiddenSize+HCSlots+1+HiddenSize</f>
        <v>69637</v>
      </c>
      <c r="S14" s="13">
        <f>(HCSlots*HCSlots*HiddenSize+HCSlots+1+HiddenSize)*FP32Bytes</f>
        <v>278548</v>
      </c>
      <c r="T14" s="13">
        <f>(HCSlots*HCSlots*HiddenSize+HCSlots+1+HiddenSize)*FP32Bytes</f>
        <v>278548</v>
      </c>
      <c r="U14" s="13">
        <f>(HCSlots*HCSlots*HiddenSize+HCSlots+1+HiddenSize)*FP32Bytes</f>
        <v>278548</v>
      </c>
    </row>
    <row r="16" spans="1:21">
      <c r="A16" s="7" t="s">
        <v>459</v>
      </c>
      <c r="B16" s="7"/>
      <c r="C16" s="7"/>
      <c r="D16" s="7"/>
      <c r="E16" s="7"/>
      <c r="F16" s="7"/>
      <c r="G16" s="7"/>
      <c r="H16" s="7"/>
      <c r="I16" s="7"/>
    </row>
    <row r="17" spans="1:19">
      <c r="A17" s="3" t="s">
        <v>404</v>
      </c>
      <c r="B17" s="3" t="s">
        <v>410</v>
      </c>
      <c r="C17" s="3" t="s">
        <v>460</v>
      </c>
      <c r="D17" s="3" t="s">
        <v>412</v>
      </c>
      <c r="E17" s="3" t="s">
        <v>460</v>
      </c>
      <c r="F17" s="3" t="s">
        <v>414</v>
      </c>
      <c r="G17" s="3" t="s">
        <v>460</v>
      </c>
      <c r="H17" s="3" t="s">
        <v>416</v>
      </c>
      <c r="I17" s="3" t="s">
        <v>460</v>
      </c>
    </row>
    <row r="18" spans="1:19">
      <c r="A18" s="4" t="s">
        <v>46</v>
      </c>
      <c r="B18" s="12">
        <f>IF(ABS(P18)&gt;=1E12,P18/1E12,IF(ABS(P18)&gt;=1E9,P18/1E9,IF(ABS(P18)&gt;=1E6,P18/1E6,IF(ABS(P18)&gt;=1E3,P18/1E3,P18))))</f>
        <v>5.086249088</v>
      </c>
      <c r="C18" s="11" t="str">
        <f>IF(ABS(P18)&gt;=1E12,"T params",IF(ABS(P18)&gt;=1E9,"G params",IF(ABS(P18)&gt;=1E6,"M params",IF(ABS(P18)&gt;=1E3,"K params","params"))))</f>
        <v>G params</v>
      </c>
      <c r="D18" s="12">
        <f>IF(ABS(Q18)&gt;=1E12,Q18/1E12,IF(ABS(Q18)&gt;=1E9,Q18/1E9,IF(ABS(Q18)&gt;=1E6,Q18/1E6,IF(ABS(Q18)&gt;=1E3,Q18/1E3,Q18))))</f>
        <v>1.139835008</v>
      </c>
      <c r="E18" s="11" t="str">
        <f>IF(ABS(Q18)&gt;=1E12,"T params",IF(ABS(Q18)&gt;=1E9,"G params",IF(ABS(Q18)&gt;=1E6,"M params",IF(ABS(Q18)&gt;=1E3,"K params","params"))))</f>
        <v>G params</v>
      </c>
      <c r="F18" s="12">
        <f>IF(ABS(R18)&gt;=1E12,R18/1E12,IF(ABS(R18)&gt;=1E9,R18/1E9,IF(ABS(R18)&gt;=1E6,R18/1E6,IF(ABS(R18)&gt;=1E3,R18/1E3,R18))))</f>
        <v>7.45138496</v>
      </c>
      <c r="G18" s="11" t="str">
        <f>IF(ABS(R18)&gt;=1E12,"TB",IF(ABS(R18)&gt;=1E9,"GB",IF(ABS(R18)&gt;=1E6,"MB",IF(ABS(R18)&gt;=1E3,"KB","bytes"))))</f>
        <v>GB</v>
      </c>
      <c r="H18" s="12">
        <f>IF(ABS(S18)&gt;=1E12,S18/1E12,IF(ABS(S18)&gt;=1E9,S18/1E9,IF(ABS(S18)&gt;=1E6,S18/1E6,IF(ABS(S18)&gt;=1E3,S18/1E3,S18))))</f>
        <v>2.23750496</v>
      </c>
      <c r="I18" s="11" t="str">
        <f>IF(ABS(S18)&gt;=1E12,"TB",IF(ABS(S18)&gt;=1E9,"GB",IF(ABS(S18)&gt;=1E6,"MB",IF(ABS(S18)&gt;=1E3,"KB","bytes"))))</f>
        <v>GB</v>
      </c>
      <c r="P18" s="13">
        <f>SUMIF($A$4:$A$14,"Attention",$Q$4:$Q$14)</f>
        <v>5086249088.0</v>
      </c>
      <c r="Q18" s="13">
        <f>SUMIF($A$4:$A$14,"Attention",$R$4:$R$14)</f>
        <v>1139835008.0</v>
      </c>
      <c r="R18" s="13">
        <f>SUMIF($A$4:$A$14,"Attention",$T$4:$T$14)</f>
        <v>7451384960</v>
      </c>
      <c r="S18" s="13">
        <f>SUMIF($A$4:$A$14,"Attention",$U$4:$U$14)</f>
        <v>2237504960</v>
      </c>
    </row>
    <row r="19" spans="1:19">
      <c r="A19" s="4" t="s">
        <v>67</v>
      </c>
      <c r="B19" s="12">
        <f>IF(ABS(P19)&gt;=1E12,P19/1E12,IF(ABS(P19)&gt;=1E9,P19/1E9,IF(ABS(P19)&gt;=1E6,P19/1E6,IF(ABS(P19)&gt;=1E3,P19/1E3,P19))))</f>
        <v>278.154947072</v>
      </c>
      <c r="C19" s="11" t="str">
        <f>IF(ABS(P19)&gt;=1E12,"T params",IF(ABS(P19)&gt;=1E9,"G params",IF(ABS(P19)&gt;=1E6,"M params",IF(ABS(P19)&gt;=1E3,"K params","params"))))</f>
        <v>G params</v>
      </c>
      <c r="D19" s="12">
        <f>IF(ABS(Q19)&gt;=1E12,Q19/1E12,IF(ABS(Q19)&gt;=1E9,Q19/1E9,IF(ABS(Q19)&gt;=1E6,Q19/1E6,IF(ABS(Q19)&gt;=1E3,Q19/1E3,Q19))))</f>
        <v>35.757730304</v>
      </c>
      <c r="E19" s="11" t="str">
        <f>IF(ABS(Q19)&gt;=1E12,"T params",IF(ABS(Q19)&gt;=1E9,"G params",IF(ABS(Q19)&gt;=1E6,"M params",IF(ABS(Q19)&gt;=1E3,"K params","params"))))</f>
        <v>G params</v>
      </c>
      <c r="F19" s="12">
        <f>IF(ABS(R19)&gt;=1E12,R19/1E12,IF(ABS(R19)&gt;=1E9,R19/1E9,IF(ABS(R19)&gt;=1E6,R19/1E6,IF(ABS(R19)&gt;=1E3,R19/1E3,R19))))</f>
        <v>148.351461888</v>
      </c>
      <c r="G19" s="11" t="str">
        <f>IF(ABS(R19)&gt;=1E12,"TB",IF(ABS(R19)&gt;=1E9,"GB",IF(ABS(R19)&gt;=1E6,"MB",IF(ABS(R19)&gt;=1E3,"KB","bytes"))))</f>
        <v>GB</v>
      </c>
      <c r="H19" s="12">
        <f>IF(ABS(S19)&gt;=1E12,S19/1E12,IF(ABS(S19)&gt;=1E9,S19/1E9,IF(ABS(S19)&gt;=1E6,S19/1E6,IF(ABS(S19)&gt;=1E3,S19/1E3,S19))))</f>
        <v>19.57794048</v>
      </c>
      <c r="I19" s="11" t="str">
        <f>IF(ABS(S19)&gt;=1E12,"TB",IF(ABS(S19)&gt;=1E9,"GB",IF(ABS(S19)&gt;=1E6,"MB",IF(ABS(S19)&gt;=1E3,"KB","bytes"))))</f>
        <v>GB</v>
      </c>
      <c r="P19" s="13">
        <f>SUMIF($A$4:$A$14,"MoE",$Q$4:$Q$14)</f>
        <v>278154947072.0</v>
      </c>
      <c r="Q19" s="13">
        <f>SUMIF($A$4:$A$14,"MoE",$R$4:$R$14)</f>
        <v>35757730304.0</v>
      </c>
      <c r="R19" s="13">
        <f>SUMIF($A$4:$A$14,"MoE",$T$4:$T$14)</f>
        <v>148351461888.0</v>
      </c>
      <c r="S19" s="13">
        <f>SUMIF($A$4:$A$14,"MoE",$U$4:$U$14)</f>
        <v>19577940480.0</v>
      </c>
    </row>
    <row r="20" spans="1:19">
      <c r="A20" s="4" t="s">
        <v>321</v>
      </c>
      <c r="B20" s="12">
        <f>IF(ABS(P20)&gt;=1E12,P20/1E12,IF(ABS(P20)&gt;=1E9,P20/1E9,IF(ABS(P20)&gt;=1E6,P20/1E6,IF(ABS(P20)&gt;=1E3,P20/1E3,P20))))</f>
        <v>1.093371351</v>
      </c>
      <c r="C20" s="11" t="str">
        <f>IF(ABS(P20)&gt;=1E12,"T params",IF(ABS(P20)&gt;=1E9,"G params",IF(ABS(P20)&gt;=1E6,"M params",IF(ABS(P20)&gt;=1E3,"K params","params"))))</f>
        <v>G params</v>
      </c>
      <c r="D20" s="12">
        <f>IF(ABS(Q20)&gt;=1E12,Q20/1E12,IF(ABS(Q20)&gt;=1E9,Q20/1E9,IF(ABS(Q20)&gt;=1E6,Q20/1E6,IF(ABS(Q20)&gt;=1E3,Q20/1E3,Q20))))</f>
        <v>166.689903</v>
      </c>
      <c r="E20" s="11" t="str">
        <f>IF(ABS(Q20)&gt;=1E12,"T params",IF(ABS(Q20)&gt;=1E9,"G params",IF(ABS(Q20)&gt;=1E6,"M params",IF(ABS(Q20)&gt;=1E3,"K params","params"))))</f>
        <v>M params</v>
      </c>
      <c r="F20" s="12">
        <f>IF(ABS(R20)&gt;=1E12,R20/1E12,IF(ABS(R20)&gt;=1E9,R20/1E9,IF(ABS(R20)&gt;=1E6,R20/1E6,IF(ABS(R20)&gt;=1E3,R20/1E3,R20))))</f>
        <v>3.314423644</v>
      </c>
      <c r="G20" s="11" t="str">
        <f>IF(ABS(R20)&gt;=1E12,"TB",IF(ABS(R20)&gt;=1E9,"GB",IF(ABS(R20)&gt;=1E6,"MB",IF(ABS(R20)&gt;=1E3,"KB","bytes"))))</f>
        <v>GB</v>
      </c>
      <c r="H20" s="12">
        <f>IF(ABS(S20)&gt;=1E12,S20/1E12,IF(ABS(S20)&gt;=1E9,S20/1E9,IF(ABS(S20)&gt;=1E6,S20/1E6,IF(ABS(S20)&gt;=1E3,S20/1E3,S20))))</f>
        <v>534.376892</v>
      </c>
      <c r="I20" s="11" t="str">
        <f>IF(ABS(S20)&gt;=1E12,"TB",IF(ABS(S20)&gt;=1E9,"GB",IF(ABS(S20)&gt;=1E6,"MB",IF(ABS(S20)&gt;=1E3,"KB","bytes"))))</f>
        <v>MB</v>
      </c>
      <c r="P20" s="13">
        <f>SUMIF($A$4:$A$14,"Other",$Q$4:$Q$14)</f>
        <v>1093371351.0</v>
      </c>
      <c r="Q20" s="13">
        <f>SUMIF($A$4:$A$14,"Other",$R$4:$R$14)</f>
        <v>166689903.0</v>
      </c>
      <c r="R20" s="13">
        <f>SUMIF($A$4:$A$14,"Other",$T$4:$T$14)</f>
        <v>3314423644.0</v>
      </c>
      <c r="S20" s="13">
        <f>SUMIF($A$4:$A$14,"Other",$U$4:$U$14)</f>
        <v>534376892.0</v>
      </c>
    </row>
    <row r="21" spans="1:19">
      <c r="A21" s="14" t="s">
        <v>461</v>
      </c>
      <c r="B21" s="14">
        <f>IF(ABS(P21)&gt;=1E12,P21/1E12,IF(ABS(P21)&gt;=1E9,P21/1E9,IF(ABS(P21)&gt;=1E6,P21/1E6,IF(ABS(P21)&gt;=1E3,P21/1E3,P21))))</f>
        <v>284.334567511</v>
      </c>
      <c r="C21" s="11" t="str">
        <f>IF(ABS(P21)&gt;=1E12,"T params",IF(ABS(P21)&gt;=1E9,"G params",IF(ABS(P21)&gt;=1E6,"M params",IF(ABS(P21)&gt;=1E3,"K params","params"))))</f>
        <v>G params</v>
      </c>
      <c r="D21" s="14">
        <f>IF(ABS(Q21)&gt;=1E12,Q21/1E12,IF(ABS(Q21)&gt;=1E9,Q21/1E9,IF(ABS(Q21)&gt;=1E6,Q21/1E6,IF(ABS(Q21)&gt;=1E3,Q21/1E3,Q21))))</f>
        <v>37.064255215</v>
      </c>
      <c r="E21" s="11" t="str">
        <f>IF(ABS(Q21)&gt;=1E12,"T params",IF(ABS(Q21)&gt;=1E9,"G params",IF(ABS(Q21)&gt;=1E6,"M params",IF(ABS(Q21)&gt;=1E3,"K params","params"))))</f>
        <v>G params</v>
      </c>
      <c r="F21" s="14">
        <f>IF(ABS(R21)&gt;=1E12,R21/1E12,IF(ABS(R21)&gt;=1E9,R21/1E9,IF(ABS(R21)&gt;=1E6,R21/1E6,IF(ABS(R21)&gt;=1E3,R21/1E3,R21))))</f>
        <v>159.117270492</v>
      </c>
      <c r="G21" s="11" t="str">
        <f>IF(ABS(R21)&gt;=1E12,"TB",IF(ABS(R21)&gt;=1E9,"GB",IF(ABS(R21)&gt;=1E6,"MB",IF(ABS(R21)&gt;=1E3,"KB","bytes"))))</f>
        <v>GB</v>
      </c>
      <c r="H21" s="14">
        <f>IF(ABS(S21)&gt;=1E12,S21/1E12,IF(ABS(S21)&gt;=1E9,S21/1E9,IF(ABS(S21)&gt;=1E6,S21/1E6,IF(ABS(S21)&gt;=1E3,S21/1E3,S21))))</f>
        <v>22.349822332</v>
      </c>
      <c r="I21" s="11" t="str">
        <f>IF(ABS(S21)&gt;=1E12,"TB",IF(ABS(S21)&gt;=1E9,"GB",IF(ABS(S21)&gt;=1E6,"MB",IF(ABS(S21)&gt;=1E3,"KB","bytes"))))</f>
        <v>GB</v>
      </c>
      <c r="P21" s="13">
        <f>SUM($Q$4:$Q$14)</f>
        <v>284334567511.0</v>
      </c>
      <c r="Q21" s="13">
        <f>SUM($R$4:$R$14)</f>
        <v>37064255215.0</v>
      </c>
      <c r="R21" s="13">
        <f>SUM($T$4:$T$14)</f>
        <v>159117270492.0</v>
      </c>
      <c r="S21" s="13">
        <f>SUM($U$4:$U$14)</f>
        <v>22349822332.0</v>
      </c>
    </row>
    <row r="24" spans="1:19">
      <c r="A24" s="7" t="s">
        <v>462</v>
      </c>
      <c r="B24" s="7"/>
      <c r="C24" s="7"/>
      <c r="D24" s="7"/>
      <c r="E24" s="7"/>
      <c r="F24" s="7"/>
      <c r="G24" s="7"/>
    </row>
    <row r="25" spans="1:19">
      <c r="A25" s="3" t="s">
        <v>463</v>
      </c>
      <c r="B25" s="3" t="s">
        <v>464</v>
      </c>
      <c r="C25" s="3" t="s">
        <v>465</v>
      </c>
      <c r="D25" s="3" t="s">
        <v>460</v>
      </c>
      <c r="E25" s="3" t="s">
        <v>466</v>
      </c>
      <c r="F25" s="3" t="s">
        <v>460</v>
      </c>
      <c r="G25" s="3" t="s">
        <v>418</v>
      </c>
    </row>
    <row r="26" spans="1:19">
      <c r="A26" s="4" t="s">
        <v>467</v>
      </c>
      <c r="B26" s="10" t="s">
        <v>468</v>
      </c>
      <c r="C26" s="12">
        <f>IF(ABS(P26)&gt;=1E12,P26/1E12,IF(ABS(P26)&gt;=1E9,P26/1E9,IF(ABS(P26)&gt;=1E6,P26/1E6,IF(ABS(P26)&gt;=1E3,P26/1E3,P26))))</f>
        <v>50.987008</v>
      </c>
      <c r="D26" s="11" t="str">
        <f>IF(ABS(P26)&gt;=1E12,"TB",IF(ABS(P26)&gt;=1E9,"GB",IF(ABS(P26)&gt;=1E6,"MB",IF(ABS(P26)&gt;=1E3,"KB","bytes"))))</f>
        <v>MB</v>
      </c>
      <c r="E26" s="12">
        <f>IF(ABS(Q26)&gt;=1E12,Q26/1E12,IF(ABS(Q26)&gt;=1E9,Q26/1E9,IF(ABS(Q26)&gt;=1E6,Q26/1E6,IF(ABS(Q26)&gt;=1E3,Q26/1E3,Q26))))</f>
        <v>50.987008</v>
      </c>
      <c r="F26" s="11" t="str">
        <f>IF(ABS(Q26)&gt;=1E12,"TB",IF(ABS(Q26)&gt;=1E9,"GB",IF(ABS(Q26)&gt;=1E6,"MB",IF(ABS(Q26)&gt;=1E3,"KB","bytes"))))</f>
        <v>MB</v>
      </c>
      <c r="G26" s="4" t="s">
        <v>469</v>
      </c>
      <c r="P26" s="13">
        <f>PrefillBatch*HeadDim*BF16Bytes*(WindowLayers*MIN(PrefillSequence,WindowSize)+ShortLayers*(MIN(PrefillSequence,WindowSize)+INT(PrefillSequence/ShortRatio))+LongLayers*(MIN(PrefillSequence,WindowSize)+INT(PrefillSequence/LongRatio)))</f>
        <v>50987008</v>
      </c>
      <c r="Q26" s="13">
        <f>PrefillBatch*HeadDim*BF16Bytes*(WindowLayers*MIN(PrefillSequence,WindowSize)+ShortLayers*(MIN(PrefillSequence,WindowSize)+INT(PrefillSequence/ShortRatio))+LongLayers*(MIN(PrefillSequence,WindowSize)+INT(PrefillSequence/LongRatio)))</f>
        <v>50987008</v>
      </c>
    </row>
    <row r="27" spans="1:19">
      <c r="A27" s="4" t="s">
        <v>470</v>
      </c>
      <c r="B27" s="10" t="s">
        <v>471</v>
      </c>
      <c r="C27" s="12">
        <f>IF(ABS(P27)&gt;=1E12,P27/1E12,IF(ABS(P27)&gt;=1E9,P27/1E9,IF(ABS(P27)&gt;=1E6,P27/1E6,IF(ABS(P27)&gt;=1E3,P27/1E3,P27))))</f>
        <v>11.010048</v>
      </c>
      <c r="D27" s="11" t="str">
        <f>IF(ABS(P27)&gt;=1E12,"TB",IF(ABS(P27)&gt;=1E9,"GB",IF(ABS(P27)&gt;=1E6,"MB",IF(ABS(P27)&gt;=1E3,"KB","bytes"))))</f>
        <v>MB</v>
      </c>
      <c r="E27" s="12">
        <f>IF(ABS(Q27)&gt;=1E12,Q27/1E12,IF(ABS(Q27)&gt;=1E9,Q27/1E9,IF(ABS(Q27)&gt;=1E6,Q27/1E6,IF(ABS(Q27)&gt;=1E3,Q27/1E3,Q27))))</f>
        <v>11.010048</v>
      </c>
      <c r="F27" s="11" t="str">
        <f>IF(ABS(Q27)&gt;=1E12,"TB",IF(ABS(Q27)&gt;=1E9,"GB",IF(ABS(Q27)&gt;=1E6,"MB",IF(ABS(Q27)&gt;=1E3,"KB","bytes"))))</f>
        <v>MB</v>
      </c>
      <c r="G27" s="4" t="s">
        <v>472</v>
      </c>
      <c r="P27" s="13">
        <f>PrefillBatch*ShortLayers*INT(PrefillSequence/ShortRatio)*IndexHeadDim*BF16Bytes</f>
        <v>11010048</v>
      </c>
      <c r="Q27" s="13">
        <f>PrefillBatch*ShortLayers*INT(PrefillSequence/ShortRatio)*IndexHeadDim*BF16Bytes</f>
        <v>11010048</v>
      </c>
    </row>
    <row r="28" spans="1:19">
      <c r="A28" s="4" t="s">
        <v>473</v>
      </c>
      <c r="B28" s="10" t="s">
        <v>474</v>
      </c>
      <c r="C28" s="12">
        <f>IF(ABS(P28)&gt;=1E12,P28/1E12,IF(ABS(P28)&gt;=1E9,P28/1E9,IF(ABS(P28)&gt;=1E6,P28/1E6,IF(ABS(P28)&gt;=1E3,P28/1E3,P28))))</f>
        <v>12.20608</v>
      </c>
      <c r="D28" s="11" t="str">
        <f>IF(ABS(P28)&gt;=1E12,"TB",IF(ABS(P28)&gt;=1E9,"GB",IF(ABS(P28)&gt;=1E6,"MB",IF(ABS(P28)&gt;=1E3,"KB","bytes"))))</f>
        <v>MB</v>
      </c>
      <c r="E28" s="12">
        <f>IF(ABS(Q28)&gt;=1E12,Q28/1E12,IF(ABS(Q28)&gt;=1E9,Q28/1E9,IF(ABS(Q28)&gt;=1E6,Q28/1E6,IF(ABS(Q28)&gt;=1E3,Q28/1E3,Q28))))</f>
        <v>12.20608</v>
      </c>
      <c r="F28" s="11" t="str">
        <f>IF(ABS(Q28)&gt;=1E12,"TB",IF(ABS(Q28)&gt;=1E9,"GB",IF(ABS(Q28)&gt;=1E6,"MB",IF(ABS(Q28)&gt;=1E3,"KB","bytes"))))</f>
        <v>MB</v>
      </c>
      <c r="G28" s="4" t="s">
        <v>475</v>
      </c>
      <c r="P28" s="13">
        <f>PrefillBatch*FP32Bytes*(ShortLayers*2*(2*ShortRatio)*(2*HeadDim)+LongLayers*2*LongRatio*HeadDim+ShortLayers*2*(2*ShortRatio)*(2*IndexHeadDim))</f>
        <v>12206080</v>
      </c>
      <c r="Q28" s="13">
        <f>PrefillBatch*FP32Bytes*(ShortLayers*2*(2*ShortRatio)*(2*HeadDim)+LongLayers*2*LongRatio*HeadDim+ShortLayers*2*(2*ShortRatio)*(2*IndexHeadDim))</f>
        <v>12206080</v>
      </c>
    </row>
    <row r="29" spans="1:19">
      <c r="A29" s="4" t="s">
        <v>476</v>
      </c>
      <c r="B29" s="10" t="s">
        <v>477</v>
      </c>
      <c r="C29" s="12">
        <f>IF(ABS(P29)&gt;=1E12,P29/1E12,IF(ABS(P29)&gt;=1E9,P29/1E9,IF(ABS(P29)&gt;=1E6,P29/1E6,IF(ABS(P29)&gt;=1E3,P29/1E3,P29))))</f>
        <v>7.232045056</v>
      </c>
      <c r="D29" s="11" t="str">
        <f>IF(ABS(P29)&gt;=1E12,"TB",IF(ABS(P29)&gt;=1E9,"GB",IF(ABS(P29)&gt;=1E6,"MB",IF(ABS(P29)&gt;=1E3,"KB","bytes"))))</f>
        <v>GB</v>
      </c>
      <c r="E29" s="12">
        <f>IF(ABS(Q29)&gt;=1E12,Q29/1E12,IF(ABS(Q29)&gt;=1E9,Q29/1E9,IF(ABS(Q29)&gt;=1E6,Q29/1E6,IF(ABS(Q29)&gt;=1E3,Q29/1E3,Q29))))</f>
        <v>7.232045056</v>
      </c>
      <c r="F29" s="11" t="str">
        <f>IF(ABS(Q29)&gt;=1E12,"TB",IF(ABS(Q29)&gt;=1E9,"GB",IF(ABS(Q29)&gt;=1E6,"MB",IF(ABS(Q29)&gt;=1E3,"KB","bytes"))))</f>
        <v>GB</v>
      </c>
      <c r="G29" s="4" t="s">
        <v>478</v>
      </c>
      <c r="P29" s="13">
        <f>PrefillBatch*(HeadDim*BF16Bytes*(WindowLayers*WindowSize+ShortLayers*(WindowSize+INT(MaxContext/ShortRatio))+LongLayers*(WindowSize+INT(MaxContext/LongRatio)))+ShortLayers*INT(MaxContext/ShortRatio)*IndexHeadDim*BF16Bytes)+PrefillBatch*FP32Bytes*(ShortLayers*2*(2*ShortRatio)*(2*HeadDim)+LongLayers*2*LongRatio*HeadDim+ShortLayers*2*(2*ShortRatio)*(2*IndexHeadDim))</f>
        <v>7232045056</v>
      </c>
      <c r="Q29" s="13">
        <f>PrefillBatch*(HeadDim*BF16Bytes*(WindowLayers*WindowSize+ShortLayers*(WindowSize+INT(MaxContext/ShortRatio))+LongLayers*(WindowSize+INT(MaxContext/LongRatio)))+ShortLayers*INT(MaxContext/ShortRatio)*IndexHeadDim*BF16Bytes)+PrefillBatch*FP32Bytes*(ShortLayers*2*(2*ShortRatio)*(2*HeadDim)+LongLayers*2*LongRatio*HeadDim+ShortLayers*2*(2*ShortRatio)*(2*IndexHeadDim))</f>
        <v>7232045056</v>
      </c>
    </row>
    <row r="30" spans="1:19">
      <c r="A30" s="4" t="s">
        <v>479</v>
      </c>
      <c r="B30" s="10" t="s">
        <v>480</v>
      </c>
      <c r="C30" s="12">
        <f>IF(ABS(P30)&gt;=1E12,P30/1E12,IF(ABS(P30)&gt;=1E9,P30/1E9,IF(ABS(P30)&gt;=1E6,P30/1E6,IF(ABS(P30)&gt;=1E3,P30/1E3,P30))))</f>
        <v>5.810552832</v>
      </c>
      <c r="D30" s="11" t="str">
        <f>IF(ABS(P30)&gt;=1E12,"TB",IF(ABS(P30)&gt;=1E9,"GB",IF(ABS(P30)&gt;=1E6,"MB",IF(ABS(P30)&gt;=1E3,"KB","bytes"))))</f>
        <v>GB</v>
      </c>
      <c r="E30" s="12">
        <f>IF(ABS(Q30)&gt;=1E12,Q30/1E12,IF(ABS(Q30)&gt;=1E9,Q30/1E9,IF(ABS(Q30)&gt;=1E6,Q30/1E6,IF(ABS(Q30)&gt;=1E3,Q30/1E3,Q30))))</f>
        <v>5.810552832</v>
      </c>
      <c r="F30" s="11" t="str">
        <f>IF(ABS(Q30)&gt;=1E12,"TB",IF(ABS(Q30)&gt;=1E9,"GB",IF(ABS(Q30)&gt;=1E6,"MB",IF(ABS(Q30)&gt;=1E3,"KB","bytes"))))</f>
        <v>GB</v>
      </c>
      <c r="G30" s="4" t="s">
        <v>481</v>
      </c>
      <c r="P30" s="13">
        <f>DecodeBatch*HeadDim*BF16Bytes*(WindowLayers*MIN(DecodeContext,WindowSize)+ShortLayers*(MIN(DecodeContext,WindowSize)+INT(DecodeContext/ShortRatio))+LongLayers*(MIN(DecodeContext,WindowSize)+INT(DecodeContext/LongRatio)))</f>
        <v>5810552832</v>
      </c>
      <c r="Q30" s="13">
        <f>DecodeBatch*HeadDim*BF16Bytes*(WindowLayers*MIN(DecodeContext,WindowSize)+ShortLayers*(MIN(DecodeContext,WindowSize)+INT(DecodeContext/ShortRatio))+LongLayers*(MIN(DecodeContext,WindowSize)+INT(DecodeContext/LongRatio)))</f>
        <v>5810552832</v>
      </c>
    </row>
    <row r="31" spans="1:19">
      <c r="A31" s="4" t="s">
        <v>482</v>
      </c>
      <c r="B31" s="10" t="s">
        <v>483</v>
      </c>
      <c r="C31" s="12">
        <f>IF(ABS(P31)&gt;=1E12,P31/1E12,IF(ABS(P31)&gt;=1E9,P31/1E9,IF(ABS(P31)&gt;=1E6,P31/1E6,IF(ABS(P31)&gt;=1E3,P31/1E3,P31))))</f>
        <v>1.409286144</v>
      </c>
      <c r="D31" s="11" t="str">
        <f>IF(ABS(P31)&gt;=1E12,"TB",IF(ABS(P31)&gt;=1E9,"GB",IF(ABS(P31)&gt;=1E6,"MB",IF(ABS(P31)&gt;=1E3,"KB","bytes"))))</f>
        <v>GB</v>
      </c>
      <c r="E31" s="12">
        <f>IF(ABS(Q31)&gt;=1E12,Q31/1E12,IF(ABS(Q31)&gt;=1E9,Q31/1E9,IF(ABS(Q31)&gt;=1E6,Q31/1E6,IF(ABS(Q31)&gt;=1E3,Q31/1E3,Q31))))</f>
        <v>1.409286144</v>
      </c>
      <c r="F31" s="11" t="str">
        <f>IF(ABS(Q31)&gt;=1E12,"TB",IF(ABS(Q31)&gt;=1E9,"GB",IF(ABS(Q31)&gt;=1E6,"MB",IF(ABS(Q31)&gt;=1E3,"KB","bytes"))))</f>
        <v>GB</v>
      </c>
      <c r="G31" s="4" t="s">
        <v>484</v>
      </c>
      <c r="P31" s="13">
        <f>DecodeBatch*ShortLayers*INT(DecodeContext/ShortRatio)*IndexHeadDim*BF16Bytes</f>
        <v>1409286144</v>
      </c>
      <c r="Q31" s="13">
        <f>DecodeBatch*ShortLayers*INT(DecodeContext/ShortRatio)*IndexHeadDim*BF16Bytes</f>
        <v>1409286144</v>
      </c>
    </row>
    <row r="32" spans="1:19">
      <c r="A32" s="4" t="s">
        <v>485</v>
      </c>
      <c r="B32" s="10" t="s">
        <v>486</v>
      </c>
      <c r="C32" s="12">
        <f>IF(ABS(P32)&gt;=1E12,P32/1E12,IF(ABS(P32)&gt;=1E9,P32/1E9,IF(ABS(P32)&gt;=1E6,P32/1E6,IF(ABS(P32)&gt;=1E3,P32/1E3,P32))))</f>
        <v>12.20608</v>
      </c>
      <c r="D32" s="11" t="str">
        <f>IF(ABS(P32)&gt;=1E12,"TB",IF(ABS(P32)&gt;=1E9,"GB",IF(ABS(P32)&gt;=1E6,"MB",IF(ABS(P32)&gt;=1E3,"KB","bytes"))))</f>
        <v>MB</v>
      </c>
      <c r="E32" s="12">
        <f>IF(ABS(Q32)&gt;=1E12,Q32/1E12,IF(ABS(Q32)&gt;=1E9,Q32/1E9,IF(ABS(Q32)&gt;=1E6,Q32/1E6,IF(ABS(Q32)&gt;=1E3,Q32/1E3,Q32))))</f>
        <v>12.20608</v>
      </c>
      <c r="F32" s="11" t="str">
        <f>IF(ABS(Q32)&gt;=1E12,"TB",IF(ABS(Q32)&gt;=1E9,"GB",IF(ABS(Q32)&gt;=1E6,"MB",IF(ABS(Q32)&gt;=1E3,"KB","bytes"))))</f>
        <v>MB</v>
      </c>
      <c r="G32" s="4" t="s">
        <v>487</v>
      </c>
      <c r="P32" s="13">
        <f>DecodeBatch*FP32Bytes*(ShortLayers*2*(2*ShortRatio)*(2*HeadDim)+LongLayers*2*LongRatio*HeadDim+ShortLayers*2*(2*ShortRatio)*(2*IndexHeadDim))</f>
        <v>12206080</v>
      </c>
      <c r="Q32" s="13">
        <f>DecodeBatch*FP32Bytes*(ShortLayers*2*(2*ShortRatio)*(2*HeadDim)+LongLayers*2*LongRatio*HeadDim+ShortLayers*2*(2*ShortRatio)*(2*IndexHeadDim))</f>
        <v>12206080</v>
      </c>
    </row>
    <row r="33" spans="1:17">
      <c r="A33" s="4" t="s">
        <v>488</v>
      </c>
      <c r="B33" s="10" t="s">
        <v>489</v>
      </c>
      <c r="C33" s="12">
        <f>IF(ABS(P33)&gt;=1E12,P33/1E12,IF(ABS(P33)&gt;=1E9,P33/1E9,IF(ABS(P33)&gt;=1E6,P33/1E6,IF(ABS(P33)&gt;=1E3,P33/1E3,P33))))</f>
        <v>7.232045056</v>
      </c>
      <c r="D33" s="11" t="str">
        <f>IF(ABS(P33)&gt;=1E12,"TB",IF(ABS(P33)&gt;=1E9,"GB",IF(ABS(P33)&gt;=1E6,"MB",IF(ABS(P33)&gt;=1E3,"KB","bytes"))))</f>
        <v>GB</v>
      </c>
      <c r="E33" s="12">
        <f>IF(ABS(Q33)&gt;=1E12,Q33/1E12,IF(ABS(Q33)&gt;=1E9,Q33/1E9,IF(ABS(Q33)&gt;=1E6,Q33/1E6,IF(ABS(Q33)&gt;=1E3,Q33/1E3,Q33))))</f>
        <v>7.232045056</v>
      </c>
      <c r="F33" s="11" t="str">
        <f>IF(ABS(Q33)&gt;=1E12,"TB",IF(ABS(Q33)&gt;=1E9,"GB",IF(ABS(Q33)&gt;=1E6,"MB",IF(ABS(Q33)&gt;=1E3,"KB","bytes"))))</f>
        <v>GB</v>
      </c>
      <c r="G33" s="4" t="s">
        <v>490</v>
      </c>
      <c r="P33" s="13">
        <f>DecodeBatch*(HeadDim*BF16Bytes*(WindowLayers*WindowSize+ShortLayers*(WindowSize+INT(MaxContext/ShortRatio))+LongLayers*(WindowSize+INT(MaxContext/LongRatio)))+ShortLayers*INT(MaxContext/ShortRatio)*IndexHeadDim*BF16Bytes)+DecodeBatch*FP32Bytes*(ShortLayers*2*(2*ShortRatio)*(2*HeadDim)+LongLayers*2*LongRatio*HeadDim+ShortLayers*2*(2*ShortRatio)*(2*IndexHeadDim))</f>
        <v>7232045056</v>
      </c>
      <c r="Q33" s="13">
        <f>DecodeBatch*(HeadDim*BF16Bytes*(WindowLayers*WindowSize+ShortLayers*(WindowSize+INT(MaxContext/ShortRatio))+LongLayers*(WindowSize+INT(MaxContext/LongRatio)))+ShortLayers*INT(MaxContext/ShortRatio)*IndexHeadDim*BF16Bytes)+DecodeBatch*FP32Bytes*(ShortLayers*2*(2*ShortRatio)*(2*HeadDim)+LongLayers*2*LongRatio*HeadDim+ShortLayers*2*(2*ShortRatio)*(2*IndexHeadDim))</f>
        <v>7232045056</v>
      </c>
    </row>
    <row r="36" spans="1:17">
      <c r="A36" s="7" t="s">
        <v>491</v>
      </c>
      <c r="B36" s="7"/>
      <c r="C36" s="7"/>
      <c r="D36" s="7"/>
      <c r="E36" s="7"/>
      <c r="F36" s="7"/>
      <c r="G36" s="7"/>
      <c r="H36" s="7"/>
      <c r="I36" s="7"/>
      <c r="J36" s="7"/>
    </row>
    <row r="37" spans="1:17">
      <c r="A37" t="s">
        <v>492</v>
      </c>
      <c r="B37" t="s">
        <v>493</v>
      </c>
      <c r="C37" t="s">
        <v>494</v>
      </c>
      <c r="D37" t="s">
        <v>495</v>
      </c>
      <c r="E37" t="s">
        <v>496</v>
      </c>
      <c r="F37" t="s">
        <v>497</v>
      </c>
      <c r="G37" t="s">
        <v>498</v>
      </c>
      <c r="H37" t="s">
        <v>499</v>
      </c>
      <c r="I37" t="s">
        <v>500</v>
      </c>
      <c r="J37" t="s">
        <v>501</v>
      </c>
    </row>
    <row r="38" spans="1:17">
      <c r="A38" s="4" t="s">
        <v>502</v>
      </c>
      <c r="B38" s="4" t="s">
        <v>503</v>
      </c>
      <c r="C38" s="13">
        <f>'Memory'!$R$18/1E9</f>
        <v>7.45138496</v>
      </c>
      <c r="D38" s="13">
        <f>'Memory'!$R$19/1E9</f>
        <v>148.351461888</v>
      </c>
      <c r="E38" s="13">
        <f>'Memory'!$R$20/1E9</f>
        <v>3.314423644</v>
      </c>
      <c r="F38" s="13">
        <f>'Memory'!$R$21/1E9</f>
        <v>159.117270492</v>
      </c>
      <c r="G38" s="13">
        <f>'Memory'!$P$33/1E9</f>
        <v>7.232045056</v>
      </c>
      <c r="H38" s="13">
        <f>F38+G38</f>
        <v>166.349315548</v>
      </c>
      <c r="I38" s="13">
        <f>'Memory'!$P$21/1E9</f>
        <v>284.334567511</v>
      </c>
      <c r="J38" s="4" t="s">
        <v>504</v>
      </c>
    </row>
    <row r="39" spans="1:17">
      <c r="A39" s="4" t="s">
        <v>505</v>
      </c>
      <c r="B39" s="4" t="s">
        <v>503</v>
      </c>
      <c r="C39" s="13">
        <f>'Memory'!$S$18/1E9</f>
        <v>2.23750496</v>
      </c>
      <c r="D39" s="13">
        <f>'Memory'!$S$19/1E9</f>
        <v>19.57794048</v>
      </c>
      <c r="E39" s="13">
        <f>'Memory'!$S$20/1E9</f>
        <v>0.534376892</v>
      </c>
      <c r="F39" s="13">
        <f>'Memory'!$S$21/1E9</f>
        <v>22.349822332</v>
      </c>
      <c r="G39" s="13">
        <f>'Memory'!$Q$33/1E9</f>
        <v>7.232045056</v>
      </c>
      <c r="H39" s="13">
        <f>F39+G39</f>
        <v>29.581867388</v>
      </c>
      <c r="I39" s="13">
        <f>'Memory'!$Q$21/1E9</f>
        <v>37.064255215</v>
      </c>
      <c r="J39" s="4" t="s">
        <v>506</v>
      </c>
    </row>
  </sheetData>
  <mergeCells count="3">
    <mergeCell ref="A16:I16"/>
    <mergeCell ref="A24:G24"/>
    <mergeCell ref="A36:J36"/>
  </mergeCells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>
  <dimension ref="A1:E27"/>
  <sheetViews>
    <sheetView showGridLines="0" workbookViewId="0"/>
  </sheetViews>
  <sheetFormatPr defaultRowHeight="15"/>
  <cols>
    <col min="1" max="1" width="25.7109375" customWidth="1"/>
    <col min="2" max="5" width="20.7109375" customWidth="1"/>
  </cols>
  <sheetData>
    <row r="1" spans="1:5">
      <c r="A1" s="1" t="s">
        <v>507</v>
      </c>
    </row>
    <row r="2" spans="1:5">
      <c r="A2" s="2" t="s">
        <v>508</v>
      </c>
    </row>
    <row r="4" spans="1:5">
      <c r="A4" s="3" t="s">
        <v>404</v>
      </c>
      <c r="B4" s="3" t="s">
        <v>509</v>
      </c>
      <c r="C4" s="3" t="s">
        <v>510</v>
      </c>
      <c r="D4" s="3" t="s">
        <v>511</v>
      </c>
      <c r="E4" s="3" t="s">
        <v>512</v>
      </c>
    </row>
    <row r="5" spans="1:5">
      <c r="A5" s="4" t="s">
        <v>46</v>
      </c>
      <c r="B5" s="13">
        <f>'Prefill_8K'!$AE$13/1e+12</f>
        <v>102.836037746688</v>
      </c>
      <c r="C5" s="13">
        <f>'Prefill_8K'!$AF$13/1e+12</f>
        <v>23.172382457856</v>
      </c>
      <c r="D5" s="13">
        <f>'Decode_1M'!$AE$13/1e+09</f>
        <v>123.969470464</v>
      </c>
      <c r="E5" s="13">
        <f>'Decode_1M'!$AF$13/1e+09</f>
        <v>19.452461056</v>
      </c>
    </row>
    <row r="6" spans="1:5">
      <c r="A6" s="4" t="s">
        <v>67</v>
      </c>
      <c r="B6" s="13">
        <f>'Prefill_8K'!$AE$14/1e+12</f>
        <v>124.846109360128</v>
      </c>
      <c r="C6" s="13">
        <f>'Prefill_8K'!$AF$14/1e+12</f>
        <v>31.765578121216</v>
      </c>
      <c r="D6" s="13">
        <f>'Decode_1M'!$AE$14/1e+09</f>
        <v>15.240003584</v>
      </c>
      <c r="E6" s="13">
        <f>'Decode_1M'!$AF$14/1e+09</f>
        <v>3.877634048</v>
      </c>
    </row>
    <row r="7" spans="1:5">
      <c r="A7" s="4" t="s">
        <v>321</v>
      </c>
      <c r="B7" s="13">
        <f>'Prefill_8K'!$AE$15/1e+12</f>
        <v>0.702280286208</v>
      </c>
      <c r="C7" s="13">
        <f>'Prefill_8K'!$AF$15/1e+12</f>
        <v>0.701353607168</v>
      </c>
      <c r="D7" s="13">
        <f>'Decode_1M'!$AE$15/1e+09</f>
        <v>1.144660054</v>
      </c>
      <c r="E7" s="13">
        <f>'Decode_1M'!$AF$15/1e+09</f>
        <v>0.217981014</v>
      </c>
    </row>
    <row r="10" spans="1:5">
      <c r="A10" s="3" t="s">
        <v>404</v>
      </c>
      <c r="B10" s="3" t="s">
        <v>513</v>
      </c>
      <c r="C10" s="3" t="s">
        <v>514</v>
      </c>
      <c r="D10" s="3" t="s">
        <v>515</v>
      </c>
      <c r="E10" s="3" t="s">
        <v>516</v>
      </c>
    </row>
    <row r="11" spans="1:5">
      <c r="A11" s="4" t="s">
        <v>46</v>
      </c>
      <c r="B11" s="13">
        <f>'Prefill_8K'!$AE$17/1E9</f>
        <v>358.0378144</v>
      </c>
      <c r="C11" s="13">
        <f>'Prefill_8K'!$AF$17/1E9</f>
        <v>231.531806144</v>
      </c>
      <c r="D11" s="13">
        <f>'Decode_1M'!$AE$17/1E9</f>
        <v>10.492228352</v>
      </c>
      <c r="E11" s="13">
        <f>'Decode_1M'!$AF$17/1E9</f>
        <v>4.035232528</v>
      </c>
    </row>
    <row r="12" spans="1:5">
      <c r="A12" s="4" t="s">
        <v>67</v>
      </c>
      <c r="B12" s="13">
        <f>'Prefill_8K'!$AE$18/1E9</f>
        <v>191.988670976</v>
      </c>
      <c r="C12" s="13">
        <f>'Prefill_8K'!$AF$18/1E9</f>
        <v>32.915497472</v>
      </c>
      <c r="D12" s="13">
        <f>'Decode_1M'!$AE$18/1E9</f>
        <v>4.627033672</v>
      </c>
      <c r="E12" s="13">
        <f>'Decode_1M'!$AF$18/1E9</f>
        <v>1.605205576</v>
      </c>
    </row>
    <row r="13" spans="1:5">
      <c r="A13" s="4" t="s">
        <v>321</v>
      </c>
      <c r="B13" s="13">
        <f>'Prefill_8K'!$AE$19/1E9</f>
        <v>94.59572948</v>
      </c>
      <c r="C13" s="13">
        <f>'Prefill_8K'!$AF$19/1E9</f>
        <v>92.74191892</v>
      </c>
      <c r="D13" s="13">
        <f>'Decode_1M'!$AE$19/1E9</f>
        <v>2.265204808</v>
      </c>
      <c r="E13" s="13">
        <f>'Decode_1M'!$AF$19/1E9</f>
        <v>0.411394248</v>
      </c>
    </row>
    <row r="16" spans="1:5">
      <c r="A16" s="3" t="s">
        <v>517</v>
      </c>
      <c r="B16" s="3" t="s">
        <v>518</v>
      </c>
      <c r="C16" s="3" t="s">
        <v>519</v>
      </c>
    </row>
    <row r="17" spans="1:3">
      <c r="A17" s="4" t="s">
        <v>46</v>
      </c>
      <c r="B17" s="13">
        <f>'Memory'!$R$18/1E9</f>
        <v>7.45138496</v>
      </c>
      <c r="C17" s="13">
        <f>'Memory'!$S$18/1E9</f>
        <v>2.23750496</v>
      </c>
    </row>
    <row r="18" spans="1:3">
      <c r="A18" s="4" t="s">
        <v>67</v>
      </c>
      <c r="B18" s="13">
        <f>'Memory'!$R$19/1E9</f>
        <v>148.351461888</v>
      </c>
      <c r="C18" s="13">
        <f>'Memory'!$S$19/1E9</f>
        <v>19.57794048</v>
      </c>
    </row>
    <row r="19" spans="1:3">
      <c r="A19" s="4" t="s">
        <v>321</v>
      </c>
      <c r="B19" s="13">
        <f>'Memory'!$R$20/1E9</f>
        <v>3.314423644</v>
      </c>
      <c r="C19" s="13">
        <f>'Memory'!$S$20/1E9</f>
        <v>0.534376892</v>
      </c>
    </row>
    <row r="20" spans="1:3">
      <c r="A20" s="2" t="s">
        <v>520</v>
      </c>
    </row>
    <row r="22" spans="1:3">
      <c r="A22" s="3" t="s">
        <v>521</v>
      </c>
      <c r="B22" s="3" t="s">
        <v>518</v>
      </c>
      <c r="C22" s="3" t="s">
        <v>519</v>
      </c>
    </row>
    <row r="23" spans="1:3">
      <c r="A23" s="4" t="s">
        <v>522</v>
      </c>
      <c r="B23" s="13">
        <f>'Memory'!$R$21/1E9</f>
        <v>159.117270492</v>
      </c>
      <c r="C23" s="13">
        <f>'Memory'!$S$21/1E9</f>
        <v>22.349822332</v>
      </c>
    </row>
    <row r="24" spans="1:3">
      <c r="A24" s="4" t="s">
        <v>523</v>
      </c>
      <c r="B24" s="13">
        <f>'Memory'!$P$29/1E9</f>
        <v>7.232045056</v>
      </c>
      <c r="C24" s="13">
        <f>'Memory'!$Q$29/1E9</f>
        <v>7.232045056</v>
      </c>
    </row>
    <row r="25" spans="1:3">
      <c r="A25" s="4" t="s">
        <v>524</v>
      </c>
      <c r="B25" s="13">
        <f>'Memory'!$R$21+'Memory'!$P$29/1E9</f>
        <v>166.349315548</v>
      </c>
      <c r="C25" s="13">
        <f>'Memory'!$S$21+'Memory'!$Q$29/1E9</f>
        <v>29.581867388</v>
      </c>
    </row>
    <row r="26" spans="1:3">
      <c r="A26" s="4" t="s">
        <v>525</v>
      </c>
      <c r="B26" s="13">
        <f>'Memory'!$P$33/1E9</f>
        <v>7.232045056</v>
      </c>
      <c r="C26" s="13">
        <f>'Memory'!$Q$33/1E9</f>
        <v>7.232045056</v>
      </c>
    </row>
    <row r="27" spans="1:3">
      <c r="A27" s="4" t="s">
        <v>526</v>
      </c>
      <c r="B27" s="13">
        <f>'Memory'!$R$21+'Memory'!$P$33/1E9</f>
        <v>166.349315548</v>
      </c>
      <c r="C27" s="13">
        <f>'Memory'!$S$21+'Memory'!$Q$33/1E9</f>
        <v>29.581867388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B16"/>
  <sheetViews>
    <sheetView showGridLines="0" workbookViewId="0"/>
  </sheetViews>
  <sheetFormatPr defaultRowHeight="15"/>
  <cols>
    <col min="1" max="1" width="24.7109375" customWidth="1"/>
    <col min="2" max="2" width="120.7109375" customWidth="1"/>
  </cols>
  <sheetData>
    <row r="1" spans="1:2">
      <c r="A1" s="1" t="s">
        <v>527</v>
      </c>
    </row>
    <row r="3" spans="1:2">
      <c r="A3" s="3" t="s">
        <v>528</v>
      </c>
      <c r="B3" s="3" t="s">
        <v>529</v>
      </c>
    </row>
    <row r="4" spans="1:2">
      <c r="A4" s="4" t="s">
        <v>530</v>
      </c>
      <c r="B4" s="4" t="s">
        <v>531</v>
      </c>
    </row>
    <row r="5" spans="1:2">
      <c r="A5" s="4" t="s">
        <v>532</v>
      </c>
      <c r="B5" s="4" t="s">
        <v>533</v>
      </c>
    </row>
    <row r="6" spans="1:2">
      <c r="A6" s="4" t="s">
        <v>534</v>
      </c>
      <c r="B6" s="4" t="s">
        <v>535</v>
      </c>
    </row>
    <row r="7" spans="1:2">
      <c r="A7" s="4" t="s">
        <v>536</v>
      </c>
      <c r="B7" s="4" t="s">
        <v>537</v>
      </c>
    </row>
    <row r="8" spans="1:2">
      <c r="A8" s="4" t="s">
        <v>67</v>
      </c>
      <c r="B8" s="4" t="s">
        <v>538</v>
      </c>
    </row>
    <row r="9" spans="1:2">
      <c r="A9" s="4" t="s">
        <v>539</v>
      </c>
      <c r="B9" s="4" t="s">
        <v>540</v>
      </c>
    </row>
    <row r="10" spans="1:2">
      <c r="A10" s="4" t="s">
        <v>541</v>
      </c>
      <c r="B10" s="4" t="s">
        <v>542</v>
      </c>
    </row>
    <row r="11" spans="1:2">
      <c r="A11" s="4" t="s">
        <v>543</v>
      </c>
      <c r="B11" s="4" t="s">
        <v>544</v>
      </c>
    </row>
    <row r="12" spans="1:2">
      <c r="A12" s="4" t="s">
        <v>545</v>
      </c>
      <c r="B12" s="4" t="s">
        <v>546</v>
      </c>
    </row>
    <row r="13" spans="1:2">
      <c r="A13" s="4" t="s">
        <v>547</v>
      </c>
      <c r="B13" s="4" t="s">
        <v>548</v>
      </c>
    </row>
    <row r="14" spans="1:2">
      <c r="A14" s="4" t="s">
        <v>549</v>
      </c>
      <c r="B14" s="4" t="s">
        <v>550</v>
      </c>
    </row>
    <row r="15" spans="1:2">
      <c r="A15" s="4" t="s">
        <v>460</v>
      </c>
      <c r="B15" s="4" t="s">
        <v>551</v>
      </c>
    </row>
    <row r="16" spans="1:2">
      <c r="A16" s="4" t="s">
        <v>552</v>
      </c>
      <c r="B16" s="4" t="s">
        <v>553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H62"/>
  <sheetViews>
    <sheetView showGridLines="0" tabSelected="1" workbookViewId="0">
      <pane ySplit="3" topLeftCell="A4" activePane="bottomLeft" state="frozen"/>
      <selection pane="bottomLeft"/>
    </sheetView>
  </sheetViews>
  <sheetFormatPr defaultRowHeight="15"/>
  <cols>
    <col min="1" max="1" width="30.7109375" customWidth="1"/>
    <col min="2" max="5" width="18.7109375" customWidth="1"/>
    <col min="6" max="6" width="62.7109375" customWidth="1"/>
    <col min="7" max="8" width="0" hidden="1" customWidth="1"/>
  </cols>
  <sheetData>
    <row r="1" spans="1:8">
      <c r="A1" s="1" t="s">
        <v>554</v>
      </c>
    </row>
    <row r="2" spans="1:8">
      <c r="A2" s="2" t="s">
        <v>555</v>
      </c>
    </row>
    <row r="4" spans="1:8">
      <c r="A4" s="7" t="s">
        <v>556</v>
      </c>
      <c r="B4" s="7"/>
      <c r="C4" s="7"/>
      <c r="D4" s="7"/>
      <c r="E4" s="7"/>
      <c r="F4" s="7"/>
    </row>
    <row r="5" spans="1:8">
      <c r="A5" s="3" t="s">
        <v>557</v>
      </c>
      <c r="B5" s="3" t="s">
        <v>558</v>
      </c>
      <c r="C5" s="3" t="s">
        <v>460</v>
      </c>
      <c r="D5" s="3" t="s">
        <v>559</v>
      </c>
      <c r="E5" s="3" t="s">
        <v>460</v>
      </c>
      <c r="F5" s="3" t="s">
        <v>418</v>
      </c>
    </row>
    <row r="6" spans="1:8">
      <c r="A6" s="4" t="s">
        <v>560</v>
      </c>
      <c r="B6" s="12">
        <f>IF(ABS(G6)&gt;=1E15,G6/1E15,IF(ABS(G6)&gt;=1E12,G6/1E12,IF(ABS(G6)&gt;=1E9,G6/1E9,IF(ABS(G6)&gt;=1E6,G6/1E6,G6))))</f>
        <v>102.836037746688</v>
      </c>
      <c r="C6" s="11" t="str">
        <f>IF(ABS(G6)&gt;=1E15,"PFLOPs",IF(ABS(G6)&gt;=1E12,"TFLOPs",IF(ABS(G6)&gt;=1E9,"GFLOPs",IF(ABS(G6)&gt;=1E6,"MFLOPs","flops"))))</f>
        <v>TFLOPs</v>
      </c>
      <c r="D6" s="12">
        <f>IF(ABS(H6)&gt;=1E15,H6/1E15,IF(ABS(H6)&gt;=1E12,H6/1E12,IF(ABS(H6)&gt;=1E9,H6/1E9,IF(ABS(H6)&gt;=1E6,H6/1E6,H6))))</f>
        <v>123.969470464</v>
      </c>
      <c r="E6" s="11" t="str">
        <f>IF(ABS(H6)&gt;=1E15,"PFLOPs",IF(ABS(H6)&gt;=1E12,"TFLOPs",IF(ABS(H6)&gt;=1E9,"GFLOPs",IF(ABS(H6)&gt;=1E6,"MFLOPs","flops"))))</f>
        <v>GFLOPs</v>
      </c>
      <c r="F6" s="4" t="s">
        <v>561</v>
      </c>
      <c r="G6" s="13">
        <f>'Prefill_8K'!$AE$13</f>
        <v>102836037746688.0</v>
      </c>
      <c r="H6" s="13">
        <f>'Decode_1M'!$AE$13</f>
        <v>123969470464.0</v>
      </c>
    </row>
    <row r="7" spans="1:8">
      <c r="A7" s="4" t="s">
        <v>562</v>
      </c>
      <c r="B7" s="12">
        <f>IF(ABS(G7)&gt;=1E15,G7/1E15,IF(ABS(G7)&gt;=1E12,G7/1E12,IF(ABS(G7)&gt;=1E9,G7/1E9,IF(ABS(G7)&gt;=1E6,G7/1E6,G7))))</f>
        <v>124.846109360128</v>
      </c>
      <c r="C7" s="11" t="str">
        <f>IF(ABS(G7)&gt;=1E15,"PFLOPs",IF(ABS(G7)&gt;=1E12,"TFLOPs",IF(ABS(G7)&gt;=1E9,"GFLOPs",IF(ABS(G7)&gt;=1E6,"MFLOPs","flops"))))</f>
        <v>TFLOPs</v>
      </c>
      <c r="D7" s="12">
        <f>IF(ABS(H7)&gt;=1E15,H7/1E15,IF(ABS(H7)&gt;=1E12,H7/1E12,IF(ABS(H7)&gt;=1E9,H7/1E9,IF(ABS(H7)&gt;=1E6,H7/1E6,H7))))</f>
        <v>15.240003584</v>
      </c>
      <c r="E7" s="11" t="str">
        <f>IF(ABS(H7)&gt;=1E15,"PFLOPs",IF(ABS(H7)&gt;=1E12,"TFLOPs",IF(ABS(H7)&gt;=1E9,"GFLOPs",IF(ABS(H7)&gt;=1E6,"MFLOPs","flops"))))</f>
        <v>GFLOPs</v>
      </c>
      <c r="F7" s="4" t="s">
        <v>561</v>
      </c>
      <c r="G7" s="13">
        <f>'Prefill_8K'!$AE$14</f>
        <v>124846109360128.0</v>
      </c>
      <c r="H7" s="13">
        <f>'Decode_1M'!$AE$14</f>
        <v>15240003584.0</v>
      </c>
    </row>
    <row r="8" spans="1:8">
      <c r="A8" s="4" t="s">
        <v>563</v>
      </c>
      <c r="B8" s="12">
        <f>IF(ABS(G8)&gt;=1E15,G8/1E15,IF(ABS(G8)&gt;=1E12,G8/1E12,IF(ABS(G8)&gt;=1E9,G8/1E9,IF(ABS(G8)&gt;=1E6,G8/1E6,G8))))</f>
        <v>702.280286208</v>
      </c>
      <c r="C8" s="11" t="str">
        <f>IF(ABS(G8)&gt;=1E15,"PFLOPs",IF(ABS(G8)&gt;=1E12,"TFLOPs",IF(ABS(G8)&gt;=1E9,"GFLOPs",IF(ABS(G8)&gt;=1E6,"MFLOPs","flops"))))</f>
        <v>GFLOPs</v>
      </c>
      <c r="D8" s="12">
        <f>IF(ABS(H8)&gt;=1E15,H8/1E15,IF(ABS(H8)&gt;=1E12,H8/1E12,IF(ABS(H8)&gt;=1E9,H8/1E9,IF(ABS(H8)&gt;=1E6,H8/1E6,H8))))</f>
        <v>1.144660054</v>
      </c>
      <c r="E8" s="11" t="str">
        <f>IF(ABS(H8)&gt;=1E15,"PFLOPs",IF(ABS(H8)&gt;=1E12,"TFLOPs",IF(ABS(H8)&gt;=1E9,"GFLOPs",IF(ABS(H8)&gt;=1E6,"MFLOPs","flops"))))</f>
        <v>GFLOPs</v>
      </c>
      <c r="F8" s="4" t="s">
        <v>561</v>
      </c>
      <c r="G8" s="13">
        <f>'Prefill_8K'!$AE$15</f>
        <v>702280286208.0</v>
      </c>
      <c r="H8" s="13">
        <f>'Decode_1M'!$AE$15</f>
        <v>1144660054.0</v>
      </c>
    </row>
    <row r="9" spans="1:8">
      <c r="A9" s="14" t="s">
        <v>564</v>
      </c>
      <c r="B9" s="14">
        <f>IF(ABS(G9)&gt;=1E15,G9/1E15,IF(ABS(G9)&gt;=1E12,G9/1E12,IF(ABS(G9)&gt;=1E9,G9/1E9,IF(ABS(G9)&gt;=1E6,G9/1E6,G9))))</f>
        <v>228.384427393024</v>
      </c>
      <c r="C9" s="11" t="str">
        <f>IF(ABS(G9)&gt;=1E15,"PFLOPs",IF(ABS(G9)&gt;=1E12,"TFLOPs",IF(ABS(G9)&gt;=1E9,"GFLOPs",IF(ABS(G9)&gt;=1E6,"MFLOPs","flops"))))</f>
        <v>TFLOPs</v>
      </c>
      <c r="D9" s="14">
        <f>IF(ABS(H9)&gt;=1E15,H9/1E15,IF(ABS(H9)&gt;=1E12,H9/1E12,IF(ABS(H9)&gt;=1E9,H9/1E9,IF(ABS(H9)&gt;=1E6,H9/1E6,H9))))</f>
        <v>140.354134102</v>
      </c>
      <c r="E9" s="11" t="str">
        <f>IF(ABS(H9)&gt;=1E15,"PFLOPs",IF(ABS(H9)&gt;=1E12,"TFLOPs",IF(ABS(H9)&gt;=1E9,"GFLOPs",IF(ABS(H9)&gt;=1E6,"MFLOPs","flops"))))</f>
        <v>GFLOPs</v>
      </c>
      <c r="F9" s="4" t="s">
        <v>561</v>
      </c>
      <c r="G9" s="13">
        <f>'Prefill_8K'!$AE$16</f>
        <v>228384427393024.0</v>
      </c>
      <c r="H9" s="13">
        <f>'Decode_1M'!$AE$16</f>
        <v>140354134102.0</v>
      </c>
    </row>
    <row r="10" spans="1:8">
      <c r="A10" s="4" t="s">
        <v>565</v>
      </c>
      <c r="B10" s="12">
        <f>IF(ABS(G10)&gt;=1E12,G10/1E12,IF(ABS(G10)&gt;=1E9,G10/1E9,IF(ABS(G10)&gt;=1E6,G10/1E6,IF(ABS(G10)&gt;=1E3,G10/1E3,G10))))</f>
        <v>358.0378144</v>
      </c>
      <c r="C10" s="11" t="str">
        <f>IF(ABS(G10)&gt;=1E12,"TB",IF(ABS(G10)&gt;=1E9,"GB",IF(ABS(G10)&gt;=1E6,"MB",IF(ABS(G10)&gt;=1E3,"KB","bytes"))))</f>
        <v>GB</v>
      </c>
      <c r="D10" s="12">
        <f>IF(ABS(H10)&gt;=1E12,H10/1E12,IF(ABS(H10)&gt;=1E9,H10/1E9,IF(ABS(H10)&gt;=1E6,H10/1E6,IF(ABS(H10)&gt;=1E3,H10/1E3,H10))))</f>
        <v>10.492228352</v>
      </c>
      <c r="E10" s="11" t="str">
        <f>IF(ABS(H10)&gt;=1E12,"TB",IF(ABS(H10)&gt;=1E9,"GB",IF(ABS(H10)&gt;=1E6,"MB",IF(ABS(H10)&gt;=1E3,"KB","bytes"))))</f>
        <v>GB</v>
      </c>
      <c r="F10" s="4" t="s">
        <v>566</v>
      </c>
      <c r="G10" s="13">
        <f>'Prefill_8K'!$AE$17</f>
        <v>358037814400.0</v>
      </c>
      <c r="H10" s="13">
        <f>'Decode_1M'!$AE$17</f>
        <v>10492228352.0</v>
      </c>
    </row>
    <row r="11" spans="1:8">
      <c r="A11" s="4" t="s">
        <v>567</v>
      </c>
      <c r="B11" s="12">
        <f>IF(ABS(G11)&gt;=1E12,G11/1E12,IF(ABS(G11)&gt;=1E9,G11/1E9,IF(ABS(G11)&gt;=1E6,G11/1E6,IF(ABS(G11)&gt;=1E3,G11/1E3,G11))))</f>
        <v>191.988670976</v>
      </c>
      <c r="C11" s="11" t="str">
        <f>IF(ABS(G11)&gt;=1E12,"TB",IF(ABS(G11)&gt;=1E9,"GB",IF(ABS(G11)&gt;=1E6,"MB",IF(ABS(G11)&gt;=1E3,"KB","bytes"))))</f>
        <v>GB</v>
      </c>
      <c r="D11" s="12">
        <f>IF(ABS(H11)&gt;=1E12,H11/1E12,IF(ABS(H11)&gt;=1E9,H11/1E9,IF(ABS(H11)&gt;=1E6,H11/1E6,IF(ABS(H11)&gt;=1E3,H11/1E3,H11))))</f>
        <v>4.627033672</v>
      </c>
      <c r="E11" s="11" t="str">
        <f>IF(ABS(H11)&gt;=1E12,"TB",IF(ABS(H11)&gt;=1E9,"GB",IF(ABS(H11)&gt;=1E6,"MB",IF(ABS(H11)&gt;=1E3,"KB","bytes"))))</f>
        <v>GB</v>
      </c>
      <c r="F11" s="4" t="s">
        <v>566</v>
      </c>
      <c r="G11" s="13">
        <f>'Prefill_8K'!$AE$18</f>
        <v>191988670976.0</v>
      </c>
      <c r="H11" s="13">
        <f>'Decode_1M'!$AE$18</f>
        <v>4627033672.0</v>
      </c>
    </row>
    <row r="12" spans="1:8">
      <c r="A12" s="4" t="s">
        <v>568</v>
      </c>
      <c r="B12" s="12">
        <f>IF(ABS(G12)&gt;=1E12,G12/1E12,IF(ABS(G12)&gt;=1E9,G12/1E9,IF(ABS(G12)&gt;=1E6,G12/1E6,IF(ABS(G12)&gt;=1E3,G12/1E3,G12))))</f>
        <v>94.59572948</v>
      </c>
      <c r="C12" s="11" t="str">
        <f>IF(ABS(G12)&gt;=1E12,"TB",IF(ABS(G12)&gt;=1E9,"GB",IF(ABS(G12)&gt;=1E6,"MB",IF(ABS(G12)&gt;=1E3,"KB","bytes"))))</f>
        <v>GB</v>
      </c>
      <c r="D12" s="12">
        <f>IF(ABS(H12)&gt;=1E12,H12/1E12,IF(ABS(H12)&gt;=1E9,H12/1E9,IF(ABS(H12)&gt;=1E6,H12/1E6,IF(ABS(H12)&gt;=1E3,H12/1E3,H12))))</f>
        <v>2.265204808</v>
      </c>
      <c r="E12" s="11" t="str">
        <f>IF(ABS(H12)&gt;=1E12,"TB",IF(ABS(H12)&gt;=1E9,"GB",IF(ABS(H12)&gt;=1E6,"MB",IF(ABS(H12)&gt;=1E3,"KB","bytes"))))</f>
        <v>GB</v>
      </c>
      <c r="F12" s="4" t="s">
        <v>566</v>
      </c>
      <c r="G12" s="13">
        <f>'Prefill_8K'!$AE$19</f>
        <v>94595729480.0</v>
      </c>
      <c r="H12" s="13">
        <f>'Decode_1M'!$AE$19</f>
        <v>2265204808.0</v>
      </c>
    </row>
    <row r="13" spans="1:8">
      <c r="A13" s="14" t="s">
        <v>569</v>
      </c>
      <c r="B13" s="14">
        <f>IF(ABS(G13)&gt;=1E12,G13/1E12,IF(ABS(G13)&gt;=1E9,G13/1E9,IF(ABS(G13)&gt;=1E6,G13/1E6,IF(ABS(G13)&gt;=1E3,G13/1E3,G13))))</f>
        <v>644.622214856</v>
      </c>
      <c r="C13" s="11" t="str">
        <f>IF(ABS(G13)&gt;=1E12,"TB",IF(ABS(G13)&gt;=1E9,"GB",IF(ABS(G13)&gt;=1E6,"MB",IF(ABS(G13)&gt;=1E3,"KB","bytes"))))</f>
        <v>GB</v>
      </c>
      <c r="D13" s="14">
        <f>IF(ABS(H13)&gt;=1E12,H13/1E12,IF(ABS(H13)&gt;=1E9,H13/1E9,IF(ABS(H13)&gt;=1E6,H13/1E6,IF(ABS(H13)&gt;=1E3,H13/1E3,H13))))</f>
        <v>17.384466832</v>
      </c>
      <c r="E13" s="11" t="str">
        <f>IF(ABS(H13)&gt;=1E12,"TB",IF(ABS(H13)&gt;=1E9,"GB",IF(ABS(H13)&gt;=1E6,"MB",IF(ABS(H13)&gt;=1E3,"KB","bytes"))))</f>
        <v>GB</v>
      </c>
      <c r="F13" s="4" t="s">
        <v>566</v>
      </c>
      <c r="G13" s="13">
        <f>'Prefill_8K'!$AE$20</f>
        <v>644622214856.0</v>
      </c>
      <c r="H13" s="13">
        <f>'Decode_1M'!$AE$20</f>
        <v>17384466832.0</v>
      </c>
    </row>
    <row r="14" spans="1:8">
      <c r="A14" s="4" t="s">
        <v>570</v>
      </c>
      <c r="B14" s="12">
        <f>G14</f>
        <v>358.0378144</v>
      </c>
      <c r="C14" s="11" t="s">
        <v>159</v>
      </c>
      <c r="D14" s="12">
        <f>H14</f>
        <v>1049.2228352</v>
      </c>
      <c r="E14" s="11" t="s">
        <v>159</v>
      </c>
      <c r="F14" s="4" t="s">
        <v>571</v>
      </c>
      <c r="G14" s="13">
        <f>'Prefill_8K'!$AE$17/(PrefillTargetMs/1000)/1E9</f>
        <v>358.0378144</v>
      </c>
      <c r="H14" s="13">
        <f>'Decode_1M'!$AE$17/(DecodeTargetMs/1000)/1E9</f>
        <v>1049.2228352</v>
      </c>
    </row>
    <row r="15" spans="1:8">
      <c r="A15" s="4" t="s">
        <v>572</v>
      </c>
      <c r="B15" s="12">
        <f>G15</f>
        <v>191.988670976</v>
      </c>
      <c r="C15" s="11" t="s">
        <v>159</v>
      </c>
      <c r="D15" s="12">
        <f>H15</f>
        <v>462.7033672</v>
      </c>
      <c r="E15" s="11" t="s">
        <v>159</v>
      </c>
      <c r="F15" s="4" t="s">
        <v>571</v>
      </c>
      <c r="G15" s="13">
        <f>'Prefill_8K'!$AE$18/(PrefillTargetMs/1000)/1E9</f>
        <v>191.988670976</v>
      </c>
      <c r="H15" s="13">
        <f>'Decode_1M'!$AE$18/(DecodeTargetMs/1000)/1E9</f>
        <v>462.7033672</v>
      </c>
    </row>
    <row r="16" spans="1:8">
      <c r="A16" s="4" t="s">
        <v>573</v>
      </c>
      <c r="B16" s="12">
        <f>G16</f>
        <v>94.59572948</v>
      </c>
      <c r="C16" s="11" t="s">
        <v>159</v>
      </c>
      <c r="D16" s="12">
        <f>H16</f>
        <v>226.5204808</v>
      </c>
      <c r="E16" s="11" t="s">
        <v>159</v>
      </c>
      <c r="F16" s="4" t="s">
        <v>571</v>
      </c>
      <c r="G16" s="13">
        <f>'Prefill_8K'!$AE$19/(PrefillTargetMs/1000)/1E9</f>
        <v>94.59572948</v>
      </c>
      <c r="H16" s="13">
        <f>'Decode_1M'!$AE$19/(DecodeTargetMs/1000)/1E9</f>
        <v>226.5204808</v>
      </c>
    </row>
    <row r="17" spans="1:8">
      <c r="A17" s="4" t="s">
        <v>574</v>
      </c>
      <c r="B17" s="12">
        <f>G17</f>
        <v>228.384427393024</v>
      </c>
      <c r="C17" s="11" t="s">
        <v>155</v>
      </c>
      <c r="D17" s="12">
        <f>H17</f>
        <v>14.0354134102</v>
      </c>
      <c r="E17" s="11" t="s">
        <v>155</v>
      </c>
      <c r="F17" s="4" t="s">
        <v>575</v>
      </c>
      <c r="G17" s="13">
        <f>'Prefill_8K'!$AE$23</f>
        <v>228.384427393024</v>
      </c>
      <c r="H17" s="13">
        <f>'Decode_1M'!$AE$23</f>
        <v>14.0354134102</v>
      </c>
    </row>
    <row r="18" spans="1:8">
      <c r="A18" s="4" t="s">
        <v>576</v>
      </c>
      <c r="B18" s="12">
        <f>IF(ABS(G18)&gt;=1E12,G18/1E12,IF(ABS(G18)&gt;=1E9,G18/1E9,IF(ABS(G18)&gt;=1E6,G18/1E6,IF(ABS(G18)&gt;=1E3,G18/1E3,G18))))</f>
        <v>0.0</v>
      </c>
      <c r="C18" s="11" t="str">
        <f>IF(ABS(G18)&gt;=1E12,"TB",IF(ABS(G18)&gt;=1E9,"GB",IF(ABS(G18)&gt;=1E6,"MB",IF(ABS(G18)&gt;=1E3,"KB","bytes"))))</f>
        <v>B</v>
      </c>
      <c r="D18" s="12">
        <f>IF(ABS(H18)&gt;=1E12,H18/1E12,IF(ABS(H18)&gt;=1E9,H18/1E9,IF(ABS(H18)&gt;=1E6,H18/1E6,IF(ABS(H18)&gt;=1E3,H18/1E3,H18))))</f>
        <v>0.0</v>
      </c>
      <c r="E18" s="11" t="str">
        <f>IF(ABS(H18)&gt;=1E12,"TB",IF(ABS(H18)&gt;=1E9,"GB",IF(ABS(H18)&gt;=1E6,"MB",IF(ABS(H18)&gt;=1E3,"KB","bytes"))))</f>
        <v>B</v>
      </c>
      <c r="F18" s="4" t="s">
        <v>577</v>
      </c>
      <c r="G18" s="13">
        <f>'Prefill_8K'!$AE$21</f>
        <v>0.0</v>
      </c>
      <c r="H18" s="13">
        <f>'Decode_1M'!$AE$21</f>
        <v>0.0</v>
      </c>
    </row>
    <row r="19" spans="1:8">
      <c r="A19" s="4" t="s">
        <v>578</v>
      </c>
      <c r="B19" s="12">
        <f>G19</f>
        <v>0.0</v>
      </c>
      <c r="C19" s="11" t="s">
        <v>159</v>
      </c>
      <c r="D19" s="12">
        <f>H19</f>
        <v>0.0</v>
      </c>
      <c r="E19" s="11" t="s">
        <v>159</v>
      </c>
      <c r="F19" s="4" t="s">
        <v>579</v>
      </c>
      <c r="G19" s="13">
        <f>'Prefill_8K'!$AE$21/(PrefillTargetMs/1000)/1E9</f>
        <v>0.0</v>
      </c>
      <c r="H19" s="13">
        <f>'Decode_1M'!$AE$21/(DecodeTargetMs/1000)/1E9</f>
        <v>0.0</v>
      </c>
    </row>
    <row r="20" spans="1:8">
      <c r="A20" s="4" t="s">
        <v>580</v>
      </c>
      <c r="B20" s="12">
        <f>IF(ABS(G20)&gt;=1E12,G20/1E12,IF(ABS(G20)&gt;=1E9,G20/1E9,IF(ABS(G20)&gt;=1E6,G20/1E6,IF(ABS(G20)&gt;=1E3,G20/1E3,G20))))</f>
        <v>5.086249088</v>
      </c>
      <c r="C20" s="11" t="str">
        <f>IF(ABS(G20)&gt;=1E12,"T params",IF(ABS(G20)&gt;=1E9,"G params",IF(ABS(G20)&gt;=1E6,"M params",IF(ABS(G20)&gt;=1E3,"K params","params"))))</f>
        <v>G params</v>
      </c>
      <c r="D20" s="12">
        <f>IF(ABS(H20)&gt;=1E12,H20/1E12,IF(ABS(H20)&gt;=1E9,H20/1E9,IF(ABS(H20)&gt;=1E6,H20/1E6,IF(ABS(H20)&gt;=1E3,H20/1E3,H20))))</f>
        <v>5.086249088</v>
      </c>
      <c r="E20" s="11" t="str">
        <f>IF(ABS(H20)&gt;=1E12,"T params",IF(ABS(H20)&gt;=1E9,"G params",IF(ABS(H20)&gt;=1E6,"M params",IF(ABS(H20)&gt;=1E3,"K params","params"))))</f>
        <v>G params</v>
      </c>
      <c r="F20" s="4" t="s">
        <v>581</v>
      </c>
      <c r="G20" s="13">
        <f>'Memory'!$P$18</f>
        <v>5086249088.0</v>
      </c>
      <c r="H20" s="13">
        <f>'Memory'!$P$18</f>
        <v>5086249088.0</v>
      </c>
    </row>
    <row r="21" spans="1:8">
      <c r="A21" s="4" t="s">
        <v>582</v>
      </c>
      <c r="B21" s="12">
        <f>IF(ABS(G21)&gt;=1E12,G21/1E12,IF(ABS(G21)&gt;=1E9,G21/1E9,IF(ABS(G21)&gt;=1E6,G21/1E6,IF(ABS(G21)&gt;=1E3,G21/1E3,G21))))</f>
        <v>278.154947072</v>
      </c>
      <c r="C21" s="11" t="str">
        <f>IF(ABS(G21)&gt;=1E12,"T params",IF(ABS(G21)&gt;=1E9,"G params",IF(ABS(G21)&gt;=1E6,"M params",IF(ABS(G21)&gt;=1E3,"K params","params"))))</f>
        <v>G params</v>
      </c>
      <c r="D21" s="12">
        <f>IF(ABS(H21)&gt;=1E12,H21/1E12,IF(ABS(H21)&gt;=1E9,H21/1E9,IF(ABS(H21)&gt;=1E6,H21/1E6,IF(ABS(H21)&gt;=1E3,H21/1E3,H21))))</f>
        <v>278.154947072</v>
      </c>
      <c r="E21" s="11" t="str">
        <f>IF(ABS(H21)&gt;=1E12,"T params",IF(ABS(H21)&gt;=1E9,"G params",IF(ABS(H21)&gt;=1E6,"M params",IF(ABS(H21)&gt;=1E3,"K params","params"))))</f>
        <v>G params</v>
      </c>
      <c r="F21" s="4" t="s">
        <v>583</v>
      </c>
      <c r="G21" s="13">
        <f>'Memory'!$P$19</f>
        <v>278154947072.0</v>
      </c>
      <c r="H21" s="13">
        <f>'Memory'!$P$19</f>
        <v>278154947072.0</v>
      </c>
    </row>
    <row r="22" spans="1:8">
      <c r="A22" s="4" t="s">
        <v>584</v>
      </c>
      <c r="B22" s="12">
        <f>IF(ABS(G22)&gt;=1E12,G22/1E12,IF(ABS(G22)&gt;=1E9,G22/1E9,IF(ABS(G22)&gt;=1E6,G22/1E6,IF(ABS(G22)&gt;=1E3,G22/1E3,G22))))</f>
        <v>1.093371351</v>
      </c>
      <c r="C22" s="11" t="str">
        <f>IF(ABS(G22)&gt;=1E12,"T params",IF(ABS(G22)&gt;=1E9,"G params",IF(ABS(G22)&gt;=1E6,"M params",IF(ABS(G22)&gt;=1E3,"K params","params"))))</f>
        <v>G params</v>
      </c>
      <c r="D22" s="12">
        <f>IF(ABS(H22)&gt;=1E12,H22/1E12,IF(ABS(H22)&gt;=1E9,H22/1E9,IF(ABS(H22)&gt;=1E6,H22/1E6,IF(ABS(H22)&gt;=1E3,H22/1E3,H22))))</f>
        <v>1.093371351</v>
      </c>
      <c r="E22" s="11" t="str">
        <f>IF(ABS(H22)&gt;=1E12,"T params",IF(ABS(H22)&gt;=1E9,"G params",IF(ABS(H22)&gt;=1E6,"M params",IF(ABS(H22)&gt;=1E3,"K params","params"))))</f>
        <v>G params</v>
      </c>
      <c r="F22" s="4" t="s">
        <v>585</v>
      </c>
      <c r="G22" s="13">
        <f>'Memory'!$P$20</f>
        <v>1093371351.0</v>
      </c>
      <c r="H22" s="13">
        <f>'Memory'!$P$20</f>
        <v>1093371351.0</v>
      </c>
    </row>
    <row r="23" spans="1:8">
      <c r="A23" s="14" t="s">
        <v>586</v>
      </c>
      <c r="B23" s="14">
        <f>IF(ABS(G23)&gt;=1E12,G23/1E12,IF(ABS(G23)&gt;=1E9,G23/1E9,IF(ABS(G23)&gt;=1E6,G23/1E6,IF(ABS(G23)&gt;=1E3,G23/1E3,G23))))</f>
        <v>284.334567511</v>
      </c>
      <c r="C23" s="11" t="str">
        <f>IF(ABS(G23)&gt;=1E12,"T params",IF(ABS(G23)&gt;=1E9,"G params",IF(ABS(G23)&gt;=1E6,"M params",IF(ABS(G23)&gt;=1E3,"K params","params"))))</f>
        <v>G params</v>
      </c>
      <c r="D23" s="14">
        <f>IF(ABS(H23)&gt;=1E12,H23/1E12,IF(ABS(H23)&gt;=1E9,H23/1E9,IF(ABS(H23)&gt;=1E6,H23/1E6,IF(ABS(H23)&gt;=1E3,H23/1E3,H23))))</f>
        <v>284.334567511</v>
      </c>
      <c r="E23" s="11" t="str">
        <f>IF(ABS(H23)&gt;=1E12,"T params",IF(ABS(H23)&gt;=1E9,"G params",IF(ABS(H23)&gt;=1E6,"M params",IF(ABS(H23)&gt;=1E3,"K params","params"))))</f>
        <v>G params</v>
      </c>
      <c r="F23" s="4" t="s">
        <v>587</v>
      </c>
      <c r="G23" s="13">
        <f>'Memory'!$P$21</f>
        <v>284334567511.0</v>
      </c>
      <c r="H23" s="13">
        <f>'Memory'!$P$21</f>
        <v>284334567511.0</v>
      </c>
    </row>
    <row r="24" spans="1:8">
      <c r="A24" s="4" t="s">
        <v>588</v>
      </c>
      <c r="B24" s="12">
        <f>IF(ABS(G24)&gt;=1E12,G24/1E12,IF(ABS(G24)&gt;=1E9,G24/1E9,IF(ABS(G24)&gt;=1E6,G24/1E6,IF(ABS(G24)&gt;=1E3,G24/1E3,G24))))</f>
        <v>7.45138496</v>
      </c>
      <c r="C24" s="11" t="str">
        <f>IF(ABS(G24)&gt;=1E12,"TB",IF(ABS(G24)&gt;=1E9,"GB",IF(ABS(G24)&gt;=1E6,"MB",IF(ABS(G24)&gt;=1E3,"KB","bytes"))))</f>
        <v>GB</v>
      </c>
      <c r="D24" s="12">
        <f>IF(ABS(H24)&gt;=1E12,H24/1E12,IF(ABS(H24)&gt;=1E9,H24/1E9,IF(ABS(H24)&gt;=1E6,H24/1E6,IF(ABS(H24)&gt;=1E3,H24/1E3,H24))))</f>
        <v>7.45138496</v>
      </c>
      <c r="E24" s="11" t="str">
        <f>IF(ABS(H24)&gt;=1E12,"TB",IF(ABS(H24)&gt;=1E9,"GB",IF(ABS(H24)&gt;=1E6,"MB",IF(ABS(H24)&gt;=1E3,"KB","bytes"))))</f>
        <v>GB</v>
      </c>
      <c r="F24" s="4" t="s">
        <v>589</v>
      </c>
      <c r="G24" s="13">
        <f>'Memory'!$R$18</f>
        <v>7451384960</v>
      </c>
      <c r="H24" s="13">
        <f>'Memory'!$R$18</f>
        <v>7451384960</v>
      </c>
    </row>
    <row r="25" spans="1:8">
      <c r="A25" s="4" t="s">
        <v>590</v>
      </c>
      <c r="B25" s="12">
        <f>IF(ABS(G25)&gt;=1E12,G25/1E12,IF(ABS(G25)&gt;=1E9,G25/1E9,IF(ABS(G25)&gt;=1E6,G25/1E6,IF(ABS(G25)&gt;=1E3,G25/1E3,G25))))</f>
        <v>148.351461888</v>
      </c>
      <c r="C25" s="11" t="str">
        <f>IF(ABS(G25)&gt;=1E12,"TB",IF(ABS(G25)&gt;=1E9,"GB",IF(ABS(G25)&gt;=1E6,"MB",IF(ABS(G25)&gt;=1E3,"KB","bytes"))))</f>
        <v>GB</v>
      </c>
      <c r="D25" s="12">
        <f>IF(ABS(H25)&gt;=1E12,H25/1E12,IF(ABS(H25)&gt;=1E9,H25/1E9,IF(ABS(H25)&gt;=1E6,H25/1E6,IF(ABS(H25)&gt;=1E3,H25/1E3,H25))))</f>
        <v>148.351461888</v>
      </c>
      <c r="E25" s="11" t="str">
        <f>IF(ABS(H25)&gt;=1E12,"TB",IF(ABS(H25)&gt;=1E9,"GB",IF(ABS(H25)&gt;=1E6,"MB",IF(ABS(H25)&gt;=1E3,"KB","bytes"))))</f>
        <v>GB</v>
      </c>
      <c r="F25" s="4" t="s">
        <v>591</v>
      </c>
      <c r="G25" s="13">
        <f>'Memory'!$R$19</f>
        <v>148351461888.0</v>
      </c>
      <c r="H25" s="13">
        <f>'Memory'!$R$19</f>
        <v>148351461888.0</v>
      </c>
    </row>
    <row r="26" spans="1:8">
      <c r="A26" s="4" t="s">
        <v>592</v>
      </c>
      <c r="B26" s="12">
        <f>IF(ABS(G26)&gt;=1E12,G26/1E12,IF(ABS(G26)&gt;=1E9,G26/1E9,IF(ABS(G26)&gt;=1E6,G26/1E6,IF(ABS(G26)&gt;=1E3,G26/1E3,G26))))</f>
        <v>3.314423644</v>
      </c>
      <c r="C26" s="11" t="str">
        <f>IF(ABS(G26)&gt;=1E12,"TB",IF(ABS(G26)&gt;=1E9,"GB",IF(ABS(G26)&gt;=1E6,"MB",IF(ABS(G26)&gt;=1E3,"KB","bytes"))))</f>
        <v>GB</v>
      </c>
      <c r="D26" s="12">
        <f>IF(ABS(H26)&gt;=1E12,H26/1E12,IF(ABS(H26)&gt;=1E9,H26/1E9,IF(ABS(H26)&gt;=1E6,H26/1E6,IF(ABS(H26)&gt;=1E3,H26/1E3,H26))))</f>
        <v>3.314423644</v>
      </c>
      <c r="E26" s="11" t="str">
        <f>IF(ABS(H26)&gt;=1E12,"TB",IF(ABS(H26)&gt;=1E9,"GB",IF(ABS(H26)&gt;=1E6,"MB",IF(ABS(H26)&gt;=1E3,"KB","bytes"))))</f>
        <v>GB</v>
      </c>
      <c r="F26" s="4" t="s">
        <v>585</v>
      </c>
      <c r="G26" s="13">
        <f>'Memory'!$R$20</f>
        <v>3314423644.0</v>
      </c>
      <c r="H26" s="13">
        <f>'Memory'!$R$20</f>
        <v>3314423644.0</v>
      </c>
    </row>
    <row r="27" spans="1:8">
      <c r="A27" s="14" t="s">
        <v>593</v>
      </c>
      <c r="B27" s="14">
        <f>IF(ABS(G27)&gt;=1E12,G27/1E12,IF(ABS(G27)&gt;=1E9,G27/1E9,IF(ABS(G27)&gt;=1E6,G27/1E6,IF(ABS(G27)&gt;=1E3,G27/1E3,G27))))</f>
        <v>159.117270492</v>
      </c>
      <c r="C27" s="11" t="str">
        <f>IF(ABS(G27)&gt;=1E12,"TB",IF(ABS(G27)&gt;=1E9,"GB",IF(ABS(G27)&gt;=1E6,"MB",IF(ABS(G27)&gt;=1E3,"KB","bytes"))))</f>
        <v>GB</v>
      </c>
      <c r="D27" s="14">
        <f>IF(ABS(H27)&gt;=1E12,H27/1E12,IF(ABS(H27)&gt;=1E9,H27/1E9,IF(ABS(H27)&gt;=1E6,H27/1E6,IF(ABS(H27)&gt;=1E3,H27/1E3,H27))))</f>
        <v>159.117270492</v>
      </c>
      <c r="E27" s="11" t="str">
        <f>IF(ABS(H27)&gt;=1E12,"TB",IF(ABS(H27)&gt;=1E9,"GB",IF(ABS(H27)&gt;=1E6,"MB",IF(ABS(H27)&gt;=1E3,"KB","bytes"))))</f>
        <v>GB</v>
      </c>
      <c r="F27" s="4" t="s">
        <v>594</v>
      </c>
      <c r="G27" s="13">
        <f>'Memory'!$R$21</f>
        <v>159117270492.0</v>
      </c>
      <c r="H27" s="13">
        <f>'Memory'!$R$21</f>
        <v>159117270492.0</v>
      </c>
    </row>
    <row r="28" spans="1:8">
      <c r="A28" s="4" t="s">
        <v>595</v>
      </c>
      <c r="B28" s="12">
        <f>IF(ABS(G28)&gt;=1E12,G28/1E12,IF(ABS(G28)&gt;=1E9,G28/1E9,IF(ABS(G28)&gt;=1E6,G28/1E6,IF(ABS(G28)&gt;=1E3,G28/1E3,G28))))</f>
        <v>50.987008</v>
      </c>
      <c r="C28" s="11" t="str">
        <f>IF(ABS(G28)&gt;=1E12,"TB",IF(ABS(G28)&gt;=1E9,"GB",IF(ABS(G28)&gt;=1E6,"MB",IF(ABS(G28)&gt;=1E3,"KB","bytes"))))</f>
        <v>MB</v>
      </c>
      <c r="D28" s="12">
        <f>IF(ABS(H28)&gt;=1E12,H28/1E12,IF(ABS(H28)&gt;=1E9,H28/1E9,IF(ABS(H28)&gt;=1E6,H28/1E6,IF(ABS(H28)&gt;=1E3,H28/1E3,H28))))</f>
        <v>5.810552832</v>
      </c>
      <c r="E28" s="11" t="str">
        <f>IF(ABS(H28)&gt;=1E12,"TB",IF(ABS(H28)&gt;=1E9,"GB",IF(ABS(H28)&gt;=1E6,"MB",IF(ABS(H28)&gt;=1E3,"KB","bytes"))))</f>
        <v>GB</v>
      </c>
      <c r="F28" s="4" t="s">
        <v>596</v>
      </c>
      <c r="G28" s="13">
        <f>'Memory'!$P$26</f>
        <v>50987008</v>
      </c>
      <c r="H28" s="13">
        <f>'Memory'!$P$30</f>
        <v>5810552832</v>
      </c>
    </row>
    <row r="29" spans="1:8">
      <c r="A29" s="4" t="s">
        <v>597</v>
      </c>
      <c r="B29" s="12">
        <f>IF(ABS(G29)&gt;=1E12,G29/1E12,IF(ABS(G29)&gt;=1E9,G29/1E9,IF(ABS(G29)&gt;=1E6,G29/1E6,IF(ABS(G29)&gt;=1E3,G29/1E3,G29))))</f>
        <v>11.010048</v>
      </c>
      <c r="C29" s="11" t="str">
        <f>IF(ABS(G29)&gt;=1E12,"TB",IF(ABS(G29)&gt;=1E9,"GB",IF(ABS(G29)&gt;=1E6,"MB",IF(ABS(G29)&gt;=1E3,"KB","bytes"))))</f>
        <v>MB</v>
      </c>
      <c r="D29" s="12">
        <f>IF(ABS(H29)&gt;=1E12,H29/1E12,IF(ABS(H29)&gt;=1E9,H29/1E9,IF(ABS(H29)&gt;=1E6,H29/1E6,IF(ABS(H29)&gt;=1E3,H29/1E3,H29))))</f>
        <v>1.409286144</v>
      </c>
      <c r="E29" s="11" t="str">
        <f>IF(ABS(H29)&gt;=1E12,"TB",IF(ABS(H29)&gt;=1E9,"GB",IF(ABS(H29)&gt;=1E6,"MB",IF(ABS(H29)&gt;=1E3,"KB","bytes"))))</f>
        <v>GB</v>
      </c>
      <c r="F29" s="4" t="s">
        <v>596</v>
      </c>
      <c r="G29" s="13">
        <f>'Memory'!$P$27</f>
        <v>11010048</v>
      </c>
      <c r="H29" s="13">
        <f>'Memory'!$P$31</f>
        <v>1409286144</v>
      </c>
    </row>
    <row r="30" spans="1:8">
      <c r="A30" s="4" t="s">
        <v>598</v>
      </c>
      <c r="B30" s="12">
        <f>IF(ABS(G30)&gt;=1E12,G30/1E12,IF(ABS(G30)&gt;=1E9,G30/1E9,IF(ABS(G30)&gt;=1E6,G30/1E6,IF(ABS(G30)&gt;=1E3,G30/1E3,G30))))</f>
        <v>12.20608</v>
      </c>
      <c r="C30" s="11" t="str">
        <f>IF(ABS(G30)&gt;=1E12,"TB",IF(ABS(G30)&gt;=1E9,"GB",IF(ABS(G30)&gt;=1E6,"MB",IF(ABS(G30)&gt;=1E3,"KB","bytes"))))</f>
        <v>MB</v>
      </c>
      <c r="D30" s="12">
        <f>IF(ABS(H30)&gt;=1E12,H30/1E12,IF(ABS(H30)&gt;=1E9,H30/1E9,IF(ABS(H30)&gt;=1E6,H30/1E6,IF(ABS(H30)&gt;=1E3,H30/1E3,H30))))</f>
        <v>12.20608</v>
      </c>
      <c r="E30" s="11" t="str">
        <f>IF(ABS(H30)&gt;=1E12,"TB",IF(ABS(H30)&gt;=1E9,"GB",IF(ABS(H30)&gt;=1E6,"MB",IF(ABS(H30)&gt;=1E3,"KB","bytes"))))</f>
        <v>MB</v>
      </c>
      <c r="F30" s="4" t="s">
        <v>596</v>
      </c>
      <c r="G30" s="13">
        <f>'Memory'!$P$28</f>
        <v>12206080</v>
      </c>
      <c r="H30" s="13">
        <f>'Memory'!$P$32</f>
        <v>12206080</v>
      </c>
    </row>
    <row r="31" spans="1:8">
      <c r="A31" s="4" t="s">
        <v>599</v>
      </c>
      <c r="B31" s="12">
        <f>IF(ABS(G31)&gt;=1E12,G31/1E12,IF(ABS(G31)&gt;=1E9,G31/1E9,IF(ABS(G31)&gt;=1E6,G31/1E6,IF(ABS(G31)&gt;=1E3,G31/1E3,G31))))</f>
        <v>7.232045056</v>
      </c>
      <c r="C31" s="11" t="str">
        <f>IF(ABS(G31)&gt;=1E12,"TB",IF(ABS(G31)&gt;=1E9,"GB",IF(ABS(G31)&gt;=1E6,"MB",IF(ABS(G31)&gt;=1E3,"KB","bytes"))))</f>
        <v>GB</v>
      </c>
      <c r="D31" s="12">
        <f>IF(ABS(H31)&gt;=1E12,H31/1E12,IF(ABS(H31)&gt;=1E9,H31/1E9,IF(ABS(H31)&gt;=1E6,H31/1E6,IF(ABS(H31)&gt;=1E3,H31/1E3,H31))))</f>
        <v>7.232045056</v>
      </c>
      <c r="E31" s="11" t="str">
        <f>IF(ABS(H31)&gt;=1E12,"TB",IF(ABS(H31)&gt;=1E9,"GB",IF(ABS(H31)&gt;=1E6,"MB",IF(ABS(H31)&gt;=1E3,"KB","bytes"))))</f>
        <v>GB</v>
      </c>
      <c r="F31" s="4" t="s">
        <v>596</v>
      </c>
      <c r="G31" s="13">
        <f>'Memory'!$P$29</f>
        <v>7232045056</v>
      </c>
      <c r="H31" s="13">
        <f>'Memory'!$P$33</f>
        <v>7232045056</v>
      </c>
    </row>
    <row r="32" spans="1:8">
      <c r="A32" s="14" t="s">
        <v>600</v>
      </c>
      <c r="B32" s="14">
        <f>IF(ABS(G32)&gt;=1E12,G32/1E12,IF(ABS(G32)&gt;=1E9,G32/1E9,IF(ABS(G32)&gt;=1E6,G32/1E6,IF(ABS(G32)&gt;=1E3,G32/1E3,G32))))</f>
        <v>166.349315548</v>
      </c>
      <c r="C32" s="11" t="str">
        <f>IF(ABS(G32)&gt;=1E12,"TB",IF(ABS(G32)&gt;=1E9,"GB",IF(ABS(G32)&gt;=1E6,"MB",IF(ABS(G32)&gt;=1E3,"KB","bytes"))))</f>
        <v>GB</v>
      </c>
      <c r="D32" s="14">
        <f>IF(ABS(H32)&gt;=1E12,H32/1E12,IF(ABS(H32)&gt;=1E9,H32/1E9,IF(ABS(H32)&gt;=1E6,H32/1E6,IF(ABS(H32)&gt;=1E3,H32/1E3,H32))))</f>
        <v>166.349315548</v>
      </c>
      <c r="E32" s="11" t="str">
        <f>IF(ABS(H32)&gt;=1E12,"TB",IF(ABS(H32)&gt;=1E9,"GB",IF(ABS(H32)&gt;=1E6,"MB",IF(ABS(H32)&gt;=1E3,"KB","bytes"))))</f>
        <v>GB</v>
      </c>
      <c r="F32" s="4" t="s">
        <v>601</v>
      </c>
      <c r="G32" s="13">
        <f>'Memory'!$R$21+'Memory'!$P$29</f>
        <v>166349315548.0</v>
      </c>
      <c r="H32" s="13">
        <f>'Memory'!$R$21+'Memory'!$P$33</f>
        <v>166349315548.0</v>
      </c>
    </row>
    <row r="34" spans="1:8">
      <c r="A34" s="7" t="s">
        <v>602</v>
      </c>
      <c r="B34" s="7"/>
      <c r="C34" s="7"/>
      <c r="D34" s="7"/>
      <c r="E34" s="7"/>
      <c r="F34" s="7"/>
    </row>
    <row r="35" spans="1:8">
      <c r="A35" s="3" t="s">
        <v>557</v>
      </c>
      <c r="B35" s="3" t="s">
        <v>558</v>
      </c>
      <c r="C35" s="3" t="s">
        <v>460</v>
      </c>
      <c r="D35" s="3" t="s">
        <v>559</v>
      </c>
      <c r="E35" s="3" t="s">
        <v>460</v>
      </c>
      <c r="F35" s="3" t="s">
        <v>418</v>
      </c>
    </row>
    <row r="36" spans="1:8">
      <c r="A36" s="4" t="s">
        <v>560</v>
      </c>
      <c r="B36" s="12">
        <f>IF(ABS(G36)&gt;=1E15,G36/1E15,IF(ABS(G36)&gt;=1E12,G36/1E12,IF(ABS(G36)&gt;=1E9,G36/1E9,IF(ABS(G36)&gt;=1E6,G36/1E6,G36))))</f>
        <v>23.172382457856</v>
      </c>
      <c r="C36" s="11" t="str">
        <f>IF(ABS(G36)&gt;=1E15,"PFLOPs",IF(ABS(G36)&gt;=1E12,"TFLOPs",IF(ABS(G36)&gt;=1E9,"GFLOPs",IF(ABS(G36)&gt;=1E6,"MFLOPs","flops"))))</f>
        <v>TFLOPs</v>
      </c>
      <c r="D36" s="12">
        <f>IF(ABS(H36)&gt;=1E15,H36/1E15,IF(ABS(H36)&gt;=1E12,H36/1E12,IF(ABS(H36)&gt;=1E9,H36/1E9,IF(ABS(H36)&gt;=1E6,H36/1E6,H36))))</f>
        <v>19.452461056</v>
      </c>
      <c r="E36" s="11" t="str">
        <f>IF(ABS(H36)&gt;=1E15,"PFLOPs",IF(ABS(H36)&gt;=1E12,"TFLOPs",IF(ABS(H36)&gt;=1E9,"GFLOPs",IF(ABS(H36)&gt;=1E6,"MFLOPs","flops"))))</f>
        <v>GFLOPs</v>
      </c>
      <c r="F36" s="4" t="s">
        <v>561</v>
      </c>
      <c r="G36" s="13">
        <f>'Prefill_8K'!$AF$13</f>
        <v>23172382457856.0</v>
      </c>
      <c r="H36" s="13">
        <f>'Decode_1M'!$AF$13</f>
        <v>19452461056.0</v>
      </c>
    </row>
    <row r="37" spans="1:8">
      <c r="A37" s="4" t="s">
        <v>562</v>
      </c>
      <c r="B37" s="12">
        <f>IF(ABS(G37)&gt;=1E15,G37/1E15,IF(ABS(G37)&gt;=1E12,G37/1E12,IF(ABS(G37)&gt;=1E9,G37/1E9,IF(ABS(G37)&gt;=1E6,G37/1E6,G37))))</f>
        <v>31.765578121216</v>
      </c>
      <c r="C37" s="11" t="str">
        <f>IF(ABS(G37)&gt;=1E15,"PFLOPs",IF(ABS(G37)&gt;=1E12,"TFLOPs",IF(ABS(G37)&gt;=1E9,"GFLOPs",IF(ABS(G37)&gt;=1E6,"MFLOPs","flops"))))</f>
        <v>TFLOPs</v>
      </c>
      <c r="D37" s="12">
        <f>IF(ABS(H37)&gt;=1E15,H37/1E15,IF(ABS(H37)&gt;=1E12,H37/1E12,IF(ABS(H37)&gt;=1E9,H37/1E9,IF(ABS(H37)&gt;=1E6,H37/1E6,H37))))</f>
        <v>3.877634048</v>
      </c>
      <c r="E37" s="11" t="str">
        <f>IF(ABS(H37)&gt;=1E15,"PFLOPs",IF(ABS(H37)&gt;=1E12,"TFLOPs",IF(ABS(H37)&gt;=1E9,"GFLOPs",IF(ABS(H37)&gt;=1E6,"MFLOPs","flops"))))</f>
        <v>GFLOPs</v>
      </c>
      <c r="F37" s="4" t="s">
        <v>561</v>
      </c>
      <c r="G37" s="13">
        <f>'Prefill_8K'!$AF$14</f>
        <v>31765578121216.0</v>
      </c>
      <c r="H37" s="13">
        <f>'Decode_1M'!$AF$14</f>
        <v>3877634048.0</v>
      </c>
    </row>
    <row r="38" spans="1:8">
      <c r="A38" s="4" t="s">
        <v>563</v>
      </c>
      <c r="B38" s="12">
        <f>IF(ABS(G38)&gt;=1E15,G38/1E15,IF(ABS(G38)&gt;=1E12,G38/1E12,IF(ABS(G38)&gt;=1E9,G38/1E9,IF(ABS(G38)&gt;=1E6,G38/1E6,G38))))</f>
        <v>701.353607168</v>
      </c>
      <c r="C38" s="11" t="str">
        <f>IF(ABS(G38)&gt;=1E15,"PFLOPs",IF(ABS(G38)&gt;=1E12,"TFLOPs",IF(ABS(G38)&gt;=1E9,"GFLOPs",IF(ABS(G38)&gt;=1E6,"MFLOPs","flops"))))</f>
        <v>GFLOPs</v>
      </c>
      <c r="D38" s="12">
        <f>IF(ABS(H38)&gt;=1E15,H38/1E15,IF(ABS(H38)&gt;=1E12,H38/1E12,IF(ABS(H38)&gt;=1E9,H38/1E9,IF(ABS(H38)&gt;=1E6,H38/1E6,H38))))</f>
        <v>217.981014</v>
      </c>
      <c r="E38" s="11" t="str">
        <f>IF(ABS(H38)&gt;=1E15,"PFLOPs",IF(ABS(H38)&gt;=1E12,"TFLOPs",IF(ABS(H38)&gt;=1E9,"GFLOPs",IF(ABS(H38)&gt;=1E6,"MFLOPs","flops"))))</f>
        <v>MFLOPs</v>
      </c>
      <c r="F38" s="4" t="s">
        <v>561</v>
      </c>
      <c r="G38" s="13">
        <f>'Prefill_8K'!$AF$15</f>
        <v>701353607168.0</v>
      </c>
      <c r="H38" s="13">
        <f>'Decode_1M'!$AF$15</f>
        <v>217981014.0</v>
      </c>
    </row>
    <row r="39" spans="1:8">
      <c r="A39" s="14" t="s">
        <v>564</v>
      </c>
      <c r="B39" s="14">
        <f>IF(ABS(G39)&gt;=1E15,G39/1E15,IF(ABS(G39)&gt;=1E12,G39/1E12,IF(ABS(G39)&gt;=1E9,G39/1E9,IF(ABS(G39)&gt;=1E6,G39/1E6,G39))))</f>
        <v>55.63931418624</v>
      </c>
      <c r="C39" s="11" t="str">
        <f>IF(ABS(G39)&gt;=1E15,"PFLOPs",IF(ABS(G39)&gt;=1E12,"TFLOPs",IF(ABS(G39)&gt;=1E9,"GFLOPs",IF(ABS(G39)&gt;=1E6,"MFLOPs","flops"))))</f>
        <v>TFLOPs</v>
      </c>
      <c r="D39" s="14">
        <f>IF(ABS(H39)&gt;=1E15,H39/1E15,IF(ABS(H39)&gt;=1E12,H39/1E12,IF(ABS(H39)&gt;=1E9,H39/1E9,IF(ABS(H39)&gt;=1E6,H39/1E6,H39))))</f>
        <v>23.548076118</v>
      </c>
      <c r="E39" s="11" t="str">
        <f>IF(ABS(H39)&gt;=1E15,"PFLOPs",IF(ABS(H39)&gt;=1E12,"TFLOPs",IF(ABS(H39)&gt;=1E9,"GFLOPs",IF(ABS(H39)&gt;=1E6,"MFLOPs","flops"))))</f>
        <v>GFLOPs</v>
      </c>
      <c r="F39" s="4" t="s">
        <v>561</v>
      </c>
      <c r="G39" s="13">
        <f>'Prefill_8K'!$AF$16</f>
        <v>55639314186240.0</v>
      </c>
      <c r="H39" s="13">
        <f>'Decode_1M'!$AF$16</f>
        <v>23548076118.0</v>
      </c>
    </row>
    <row r="40" spans="1:8">
      <c r="A40" s="4" t="s">
        <v>565</v>
      </c>
      <c r="B40" s="12">
        <f>IF(ABS(G40)&gt;=1E12,G40/1E12,IF(ABS(G40)&gt;=1E9,G40/1E9,IF(ABS(G40)&gt;=1E6,G40/1E6,IF(ABS(G40)&gt;=1E3,G40/1E3,G40))))</f>
        <v>231.531806144</v>
      </c>
      <c r="C40" s="11" t="str">
        <f>IF(ABS(G40)&gt;=1E12,"TB",IF(ABS(G40)&gt;=1E9,"GB",IF(ABS(G40)&gt;=1E6,"MB",IF(ABS(G40)&gt;=1E3,"KB","bytes"))))</f>
        <v>GB</v>
      </c>
      <c r="D40" s="12">
        <f>IF(ABS(H40)&gt;=1E12,H40/1E12,IF(ABS(H40)&gt;=1E9,H40/1E9,IF(ABS(H40)&gt;=1E6,H40/1E6,IF(ABS(H40)&gt;=1E3,H40/1E3,H40))))</f>
        <v>4.035232528</v>
      </c>
      <c r="E40" s="11" t="str">
        <f>IF(ABS(H40)&gt;=1E12,"TB",IF(ABS(H40)&gt;=1E9,"GB",IF(ABS(H40)&gt;=1E6,"MB",IF(ABS(H40)&gt;=1E3,"KB","bytes"))))</f>
        <v>GB</v>
      </c>
      <c r="F40" s="4" t="s">
        <v>566</v>
      </c>
      <c r="G40" s="13">
        <f>'Prefill_8K'!$AF$17</f>
        <v>231531806144.0</v>
      </c>
      <c r="H40" s="13">
        <f>'Decode_1M'!$AF$17</f>
        <v>4035232528.0</v>
      </c>
    </row>
    <row r="41" spans="1:8">
      <c r="A41" s="4" t="s">
        <v>567</v>
      </c>
      <c r="B41" s="12">
        <f>IF(ABS(G41)&gt;=1E12,G41/1E12,IF(ABS(G41)&gt;=1E9,G41/1E9,IF(ABS(G41)&gt;=1E6,G41/1E6,IF(ABS(G41)&gt;=1E3,G41/1E3,G41))))</f>
        <v>32.915497472</v>
      </c>
      <c r="C41" s="11" t="str">
        <f>IF(ABS(G41)&gt;=1E12,"TB",IF(ABS(G41)&gt;=1E9,"GB",IF(ABS(G41)&gt;=1E6,"MB",IF(ABS(G41)&gt;=1E3,"KB","bytes"))))</f>
        <v>GB</v>
      </c>
      <c r="D41" s="12">
        <f>IF(ABS(H41)&gt;=1E12,H41/1E12,IF(ABS(H41)&gt;=1E9,H41/1E9,IF(ABS(H41)&gt;=1E6,H41/1E6,IF(ABS(H41)&gt;=1E3,H41/1E3,H41))))</f>
        <v>1.605205576</v>
      </c>
      <c r="E41" s="11" t="str">
        <f>IF(ABS(H41)&gt;=1E12,"TB",IF(ABS(H41)&gt;=1E9,"GB",IF(ABS(H41)&gt;=1E6,"MB",IF(ABS(H41)&gt;=1E3,"KB","bytes"))))</f>
        <v>GB</v>
      </c>
      <c r="F41" s="4" t="s">
        <v>566</v>
      </c>
      <c r="G41" s="13">
        <f>'Prefill_8K'!$AF$18</f>
        <v>32915497472.0</v>
      </c>
      <c r="H41" s="13">
        <f>'Decode_1M'!$AF$18</f>
        <v>1605205576.0</v>
      </c>
    </row>
    <row r="42" spans="1:8">
      <c r="A42" s="4" t="s">
        <v>568</v>
      </c>
      <c r="B42" s="12">
        <f>IF(ABS(G42)&gt;=1E12,G42/1E12,IF(ABS(G42)&gt;=1E9,G42/1E9,IF(ABS(G42)&gt;=1E6,G42/1E6,IF(ABS(G42)&gt;=1E3,G42/1E3,G42))))</f>
        <v>92.74191892</v>
      </c>
      <c r="C42" s="11" t="str">
        <f>IF(ABS(G42)&gt;=1E12,"TB",IF(ABS(G42)&gt;=1E9,"GB",IF(ABS(G42)&gt;=1E6,"MB",IF(ABS(G42)&gt;=1E3,"KB","bytes"))))</f>
        <v>GB</v>
      </c>
      <c r="D42" s="12">
        <f>IF(ABS(H42)&gt;=1E12,H42/1E12,IF(ABS(H42)&gt;=1E9,H42/1E9,IF(ABS(H42)&gt;=1E6,H42/1E6,IF(ABS(H42)&gt;=1E3,H42/1E3,H42))))</f>
        <v>411.394248</v>
      </c>
      <c r="E42" s="11" t="str">
        <f>IF(ABS(H42)&gt;=1E12,"TB",IF(ABS(H42)&gt;=1E9,"GB",IF(ABS(H42)&gt;=1E6,"MB",IF(ABS(H42)&gt;=1E3,"KB","bytes"))))</f>
        <v>MB</v>
      </c>
      <c r="F42" s="4" t="s">
        <v>566</v>
      </c>
      <c r="G42" s="13">
        <f>'Prefill_8K'!$AF$19</f>
        <v>92741918920.0</v>
      </c>
      <c r="H42" s="13">
        <f>'Decode_1M'!$AF$19</f>
        <v>411394248.0</v>
      </c>
    </row>
    <row r="43" spans="1:8">
      <c r="A43" s="14" t="s">
        <v>569</v>
      </c>
      <c r="B43" s="14">
        <f>IF(ABS(G43)&gt;=1E12,G43/1E12,IF(ABS(G43)&gt;=1E9,G43/1E9,IF(ABS(G43)&gt;=1E6,G43/1E6,IF(ABS(G43)&gt;=1E3,G43/1E3,G43))))</f>
        <v>357.189222536</v>
      </c>
      <c r="C43" s="11" t="str">
        <f>IF(ABS(G43)&gt;=1E12,"TB",IF(ABS(G43)&gt;=1E9,"GB",IF(ABS(G43)&gt;=1E6,"MB",IF(ABS(G43)&gt;=1E3,"KB","bytes"))))</f>
        <v>GB</v>
      </c>
      <c r="D43" s="14">
        <f>IF(ABS(H43)&gt;=1E12,H43/1E12,IF(ABS(H43)&gt;=1E9,H43/1E9,IF(ABS(H43)&gt;=1E6,H43/1E6,IF(ABS(H43)&gt;=1E3,H43/1E3,H43))))</f>
        <v>6.051832352</v>
      </c>
      <c r="E43" s="11" t="str">
        <f>IF(ABS(H43)&gt;=1E12,"TB",IF(ABS(H43)&gt;=1E9,"GB",IF(ABS(H43)&gt;=1E6,"MB",IF(ABS(H43)&gt;=1E3,"KB","bytes"))))</f>
        <v>GB</v>
      </c>
      <c r="F43" s="4" t="s">
        <v>566</v>
      </c>
      <c r="G43" s="13">
        <f>'Prefill_8K'!$AF$20</f>
        <v>357189222536.0</v>
      </c>
      <c r="H43" s="13">
        <f>'Decode_1M'!$AF$20</f>
        <v>6051832352.0</v>
      </c>
    </row>
    <row r="44" spans="1:8">
      <c r="A44" s="4" t="s">
        <v>570</v>
      </c>
      <c r="B44" s="12">
        <f>G44</f>
        <v>231.531806144</v>
      </c>
      <c r="C44" s="11" t="s">
        <v>159</v>
      </c>
      <c r="D44" s="12">
        <f>H44</f>
        <v>403.5232528</v>
      </c>
      <c r="E44" s="11" t="s">
        <v>159</v>
      </c>
      <c r="F44" s="4" t="s">
        <v>571</v>
      </c>
      <c r="G44" s="13">
        <f>'Prefill_8K'!$AF$17/(PrefillTargetMs/1000)/1E9</f>
        <v>231.531806144</v>
      </c>
      <c r="H44" s="13">
        <f>'Decode_1M'!$AF$17/(DecodeTargetMs/1000)/1E9</f>
        <v>403.5232528</v>
      </c>
    </row>
    <row r="45" spans="1:8">
      <c r="A45" s="4" t="s">
        <v>572</v>
      </c>
      <c r="B45" s="12">
        <f>G45</f>
        <v>32.915497472</v>
      </c>
      <c r="C45" s="11" t="s">
        <v>159</v>
      </c>
      <c r="D45" s="12">
        <f>H45</f>
        <v>160.5205576</v>
      </c>
      <c r="E45" s="11" t="s">
        <v>159</v>
      </c>
      <c r="F45" s="4" t="s">
        <v>571</v>
      </c>
      <c r="G45" s="13">
        <f>'Prefill_8K'!$AF$18/(PrefillTargetMs/1000)/1E9</f>
        <v>32.915497472</v>
      </c>
      <c r="H45" s="13">
        <f>'Decode_1M'!$AF$18/(DecodeTargetMs/1000)/1E9</f>
        <v>160.5205576</v>
      </c>
    </row>
    <row r="46" spans="1:8">
      <c r="A46" s="4" t="s">
        <v>573</v>
      </c>
      <c r="B46" s="12">
        <f>G46</f>
        <v>92.74191892</v>
      </c>
      <c r="C46" s="11" t="s">
        <v>159</v>
      </c>
      <c r="D46" s="12">
        <f>H46</f>
        <v>41.1394248</v>
      </c>
      <c r="E46" s="11" t="s">
        <v>159</v>
      </c>
      <c r="F46" s="4" t="s">
        <v>571</v>
      </c>
      <c r="G46" s="13">
        <f>'Prefill_8K'!$AF$19/(PrefillTargetMs/1000)/1E9</f>
        <v>92.74191892</v>
      </c>
      <c r="H46" s="13">
        <f>'Decode_1M'!$AF$19/(DecodeTargetMs/1000)/1E9</f>
        <v>41.1394248</v>
      </c>
    </row>
    <row r="47" spans="1:8">
      <c r="A47" s="4" t="s">
        <v>574</v>
      </c>
      <c r="B47" s="12">
        <f>G47</f>
        <v>55.63931418624</v>
      </c>
      <c r="C47" s="11" t="s">
        <v>155</v>
      </c>
      <c r="D47" s="12">
        <f>H47</f>
        <v>2.3548076118</v>
      </c>
      <c r="E47" s="11" t="s">
        <v>155</v>
      </c>
      <c r="F47" s="4" t="s">
        <v>575</v>
      </c>
      <c r="G47" s="13">
        <f>'Prefill_8K'!$AF$23</f>
        <v>55.63931418624</v>
      </c>
      <c r="H47" s="13">
        <f>'Decode_1M'!$AF$23</f>
        <v>2.3548076118</v>
      </c>
    </row>
    <row r="48" spans="1:8">
      <c r="A48" s="4" t="s">
        <v>576</v>
      </c>
      <c r="B48" s="12">
        <f>IF(ABS(G48)&gt;=1E12,G48/1E12,IF(ABS(G48)&gt;=1E9,G48/1E9,IF(ABS(G48)&gt;=1E6,G48/1E6,IF(ABS(G48)&gt;=1E3,G48/1E3,G48))))</f>
        <v>40.635322112</v>
      </c>
      <c r="C48" s="11" t="str">
        <f>IF(ABS(G48)&gt;=1E12,"TB",IF(ABS(G48)&gt;=1E9,"GB",IF(ABS(G48)&gt;=1E6,"MB",IF(ABS(G48)&gt;=1E3,"KB","bytes"))))</f>
        <v>GB</v>
      </c>
      <c r="D48" s="12">
        <f>IF(ABS(H48)&gt;=1E12,H48/1E12,IF(ABS(H48)&gt;=1E9,H48/1E9,IF(ABS(H48)&gt;=1E6,H48/1E6,IF(ABS(H48)&gt;=1E3,H48/1E3,H48))))</f>
        <v>5.865216</v>
      </c>
      <c r="E48" s="11" t="str">
        <f>IF(ABS(H48)&gt;=1E12,"TB",IF(ABS(H48)&gt;=1E9,"GB",IF(ABS(H48)&gt;=1E6,"MB",IF(ABS(H48)&gt;=1E3,"KB","bytes"))))</f>
        <v>MB</v>
      </c>
      <c r="F48" s="4" t="s">
        <v>577</v>
      </c>
      <c r="G48" s="13">
        <f>'Prefill_8K'!$AF$21</f>
        <v>40635322112.0</v>
      </c>
      <c r="H48" s="13">
        <f>'Decode_1M'!$AF$21</f>
        <v>5865216.0</v>
      </c>
    </row>
    <row r="49" spans="1:8">
      <c r="A49" s="4" t="s">
        <v>578</v>
      </c>
      <c r="B49" s="12">
        <f>G49</f>
        <v>40.635322112</v>
      </c>
      <c r="C49" s="11" t="s">
        <v>159</v>
      </c>
      <c r="D49" s="12">
        <f>H49</f>
        <v>0.5865216</v>
      </c>
      <c r="E49" s="11" t="s">
        <v>159</v>
      </c>
      <c r="F49" s="4" t="s">
        <v>579</v>
      </c>
      <c r="G49" s="13">
        <f>'Prefill_8K'!$AF$21/(PrefillTargetMs/1000)/1E9</f>
        <v>40.635322112</v>
      </c>
      <c r="H49" s="13">
        <f>'Decode_1M'!$AF$21/(DecodeTargetMs/1000)/1E9</f>
        <v>0.5865216</v>
      </c>
    </row>
    <row r="50" spans="1:8">
      <c r="A50" s="4" t="s">
        <v>580</v>
      </c>
      <c r="B50" s="12">
        <f>IF(ABS(G50)&gt;=1E12,G50/1E12,IF(ABS(G50)&gt;=1E9,G50/1E9,IF(ABS(G50)&gt;=1E6,G50/1E6,IF(ABS(G50)&gt;=1E3,G50/1E3,G50))))</f>
        <v>1.139835008</v>
      </c>
      <c r="C50" s="11" t="str">
        <f>IF(ABS(G50)&gt;=1E12,"T params",IF(ABS(G50)&gt;=1E9,"G params",IF(ABS(G50)&gt;=1E6,"M params",IF(ABS(G50)&gt;=1E3,"K params","params"))))</f>
        <v>G params</v>
      </c>
      <c r="D50" s="12">
        <f>IF(ABS(H50)&gt;=1E12,H50/1E12,IF(ABS(H50)&gt;=1E9,H50/1E9,IF(ABS(H50)&gt;=1E6,H50/1E6,IF(ABS(H50)&gt;=1E3,H50/1E3,H50))))</f>
        <v>1.139835008</v>
      </c>
      <c r="E50" s="11" t="str">
        <f>IF(ABS(H50)&gt;=1E12,"T params",IF(ABS(H50)&gt;=1E9,"G params",IF(ABS(H50)&gt;=1E6,"M params",IF(ABS(H50)&gt;=1E3,"K params","params"))))</f>
        <v>G params</v>
      </c>
      <c r="F50" s="4" t="s">
        <v>581</v>
      </c>
      <c r="G50" s="13">
        <f>'Memory'!$Q$18</f>
        <v>1139835008.0</v>
      </c>
      <c r="H50" s="13">
        <f>'Memory'!$Q$18</f>
        <v>1139835008.0</v>
      </c>
    </row>
    <row r="51" spans="1:8">
      <c r="A51" s="4" t="s">
        <v>582</v>
      </c>
      <c r="B51" s="12">
        <f>IF(ABS(G51)&gt;=1E12,G51/1E12,IF(ABS(G51)&gt;=1E9,G51/1E9,IF(ABS(G51)&gt;=1E6,G51/1E6,IF(ABS(G51)&gt;=1E3,G51/1E3,G51))))</f>
        <v>35.757730304</v>
      </c>
      <c r="C51" s="11" t="str">
        <f>IF(ABS(G51)&gt;=1E12,"T params",IF(ABS(G51)&gt;=1E9,"G params",IF(ABS(G51)&gt;=1E6,"M params",IF(ABS(G51)&gt;=1E3,"K params","params"))))</f>
        <v>G params</v>
      </c>
      <c r="D51" s="12">
        <f>IF(ABS(H51)&gt;=1E12,H51/1E12,IF(ABS(H51)&gt;=1E9,H51/1E9,IF(ABS(H51)&gt;=1E6,H51/1E6,IF(ABS(H51)&gt;=1E3,H51/1E3,H51))))</f>
        <v>35.757730304</v>
      </c>
      <c r="E51" s="11" t="str">
        <f>IF(ABS(H51)&gt;=1E12,"T params",IF(ABS(H51)&gt;=1E9,"G params",IF(ABS(H51)&gt;=1E6,"M params",IF(ABS(H51)&gt;=1E3,"K params","params"))))</f>
        <v>G params</v>
      </c>
      <c r="F51" s="4" t="s">
        <v>583</v>
      </c>
      <c r="G51" s="13">
        <f>'Memory'!$Q$19</f>
        <v>35757730304.0</v>
      </c>
      <c r="H51" s="13">
        <f>'Memory'!$Q$19</f>
        <v>35757730304.0</v>
      </c>
    </row>
    <row r="52" spans="1:8">
      <c r="A52" s="4" t="s">
        <v>584</v>
      </c>
      <c r="B52" s="12">
        <f>IF(ABS(G52)&gt;=1E12,G52/1E12,IF(ABS(G52)&gt;=1E9,G52/1E9,IF(ABS(G52)&gt;=1E6,G52/1E6,IF(ABS(G52)&gt;=1E3,G52/1E3,G52))))</f>
        <v>166.689903</v>
      </c>
      <c r="C52" s="11" t="str">
        <f>IF(ABS(G52)&gt;=1E12,"T params",IF(ABS(G52)&gt;=1E9,"G params",IF(ABS(G52)&gt;=1E6,"M params",IF(ABS(G52)&gt;=1E3,"K params","params"))))</f>
        <v>M params</v>
      </c>
      <c r="D52" s="12">
        <f>IF(ABS(H52)&gt;=1E12,H52/1E12,IF(ABS(H52)&gt;=1E9,H52/1E9,IF(ABS(H52)&gt;=1E6,H52/1E6,IF(ABS(H52)&gt;=1E3,H52/1E3,H52))))</f>
        <v>166.689903</v>
      </c>
      <c r="E52" s="11" t="str">
        <f>IF(ABS(H52)&gt;=1E12,"T params",IF(ABS(H52)&gt;=1E9,"G params",IF(ABS(H52)&gt;=1E6,"M params",IF(ABS(H52)&gt;=1E3,"K params","params"))))</f>
        <v>M params</v>
      </c>
      <c r="F52" s="4" t="s">
        <v>585</v>
      </c>
      <c r="G52" s="13">
        <f>'Memory'!$Q$20</f>
        <v>166689903.0</v>
      </c>
      <c r="H52" s="13">
        <f>'Memory'!$Q$20</f>
        <v>166689903.0</v>
      </c>
    </row>
    <row r="53" spans="1:8">
      <c r="A53" s="14" t="s">
        <v>586</v>
      </c>
      <c r="B53" s="14">
        <f>IF(ABS(G53)&gt;=1E12,G53/1E12,IF(ABS(G53)&gt;=1E9,G53/1E9,IF(ABS(G53)&gt;=1E6,G53/1E6,IF(ABS(G53)&gt;=1E3,G53/1E3,G53))))</f>
        <v>37.064255215</v>
      </c>
      <c r="C53" s="11" t="str">
        <f>IF(ABS(G53)&gt;=1E12,"T params",IF(ABS(G53)&gt;=1E9,"G params",IF(ABS(G53)&gt;=1E6,"M params",IF(ABS(G53)&gt;=1E3,"K params","params"))))</f>
        <v>G params</v>
      </c>
      <c r="D53" s="14">
        <f>IF(ABS(H53)&gt;=1E12,H53/1E12,IF(ABS(H53)&gt;=1E9,H53/1E9,IF(ABS(H53)&gt;=1E6,H53/1E6,IF(ABS(H53)&gt;=1E3,H53/1E3,H53))))</f>
        <v>37.064255215</v>
      </c>
      <c r="E53" s="11" t="str">
        <f>IF(ABS(H53)&gt;=1E12,"T params",IF(ABS(H53)&gt;=1E9,"G params",IF(ABS(H53)&gt;=1E6,"M params",IF(ABS(H53)&gt;=1E3,"K params","params"))))</f>
        <v>G params</v>
      </c>
      <c r="F53" s="4" t="s">
        <v>587</v>
      </c>
      <c r="G53" s="13">
        <f>'Memory'!$Q$21</f>
        <v>37064255215.0</v>
      </c>
      <c r="H53" s="13">
        <f>'Memory'!$Q$21</f>
        <v>37064255215.0</v>
      </c>
    </row>
    <row r="54" spans="1:8">
      <c r="A54" s="4" t="s">
        <v>588</v>
      </c>
      <c r="B54" s="12">
        <f>IF(ABS(G54)&gt;=1E12,G54/1E12,IF(ABS(G54)&gt;=1E9,G54/1E9,IF(ABS(G54)&gt;=1E6,G54/1E6,IF(ABS(G54)&gt;=1E3,G54/1E3,G54))))</f>
        <v>2.23750496</v>
      </c>
      <c r="C54" s="11" t="str">
        <f>IF(ABS(G54)&gt;=1E12,"TB",IF(ABS(G54)&gt;=1E9,"GB",IF(ABS(G54)&gt;=1E6,"MB",IF(ABS(G54)&gt;=1E3,"KB","bytes"))))</f>
        <v>GB</v>
      </c>
      <c r="D54" s="12">
        <f>IF(ABS(H54)&gt;=1E12,H54/1E12,IF(ABS(H54)&gt;=1E9,H54/1E9,IF(ABS(H54)&gt;=1E6,H54/1E6,IF(ABS(H54)&gt;=1E3,H54/1E3,H54))))</f>
        <v>2.23750496</v>
      </c>
      <c r="E54" s="11" t="str">
        <f>IF(ABS(H54)&gt;=1E12,"TB",IF(ABS(H54)&gt;=1E9,"GB",IF(ABS(H54)&gt;=1E6,"MB",IF(ABS(H54)&gt;=1E3,"KB","bytes"))))</f>
        <v>GB</v>
      </c>
      <c r="F54" s="4" t="s">
        <v>589</v>
      </c>
      <c r="G54" s="13">
        <f>'Memory'!$S$18</f>
        <v>2237504960</v>
      </c>
      <c r="H54" s="13">
        <f>'Memory'!$S$18</f>
        <v>2237504960</v>
      </c>
    </row>
    <row r="55" spans="1:8">
      <c r="A55" s="4" t="s">
        <v>590</v>
      </c>
      <c r="B55" s="12">
        <f>IF(ABS(G55)&gt;=1E12,G55/1E12,IF(ABS(G55)&gt;=1E9,G55/1E9,IF(ABS(G55)&gt;=1E6,G55/1E6,IF(ABS(G55)&gt;=1E3,G55/1E3,G55))))</f>
        <v>19.57794048</v>
      </c>
      <c r="C55" s="11" t="str">
        <f>IF(ABS(G55)&gt;=1E12,"TB",IF(ABS(G55)&gt;=1E9,"GB",IF(ABS(G55)&gt;=1E6,"MB",IF(ABS(G55)&gt;=1E3,"KB","bytes"))))</f>
        <v>GB</v>
      </c>
      <c r="D55" s="12">
        <f>IF(ABS(H55)&gt;=1E12,H55/1E12,IF(ABS(H55)&gt;=1E9,H55/1E9,IF(ABS(H55)&gt;=1E6,H55/1E6,IF(ABS(H55)&gt;=1E3,H55/1E3,H55))))</f>
        <v>19.57794048</v>
      </c>
      <c r="E55" s="11" t="str">
        <f>IF(ABS(H55)&gt;=1E12,"TB",IF(ABS(H55)&gt;=1E9,"GB",IF(ABS(H55)&gt;=1E6,"MB",IF(ABS(H55)&gt;=1E3,"KB","bytes"))))</f>
        <v>GB</v>
      </c>
      <c r="F55" s="4" t="s">
        <v>591</v>
      </c>
      <c r="G55" s="13">
        <f>'Memory'!$S$19</f>
        <v>19577940480.0</v>
      </c>
      <c r="H55" s="13">
        <f>'Memory'!$S$19</f>
        <v>19577940480.0</v>
      </c>
    </row>
    <row r="56" spans="1:8">
      <c r="A56" s="4" t="s">
        <v>592</v>
      </c>
      <c r="B56" s="12">
        <f>IF(ABS(G56)&gt;=1E12,G56/1E12,IF(ABS(G56)&gt;=1E9,G56/1E9,IF(ABS(G56)&gt;=1E6,G56/1E6,IF(ABS(G56)&gt;=1E3,G56/1E3,G56))))</f>
        <v>534.376892</v>
      </c>
      <c r="C56" s="11" t="str">
        <f>IF(ABS(G56)&gt;=1E12,"TB",IF(ABS(G56)&gt;=1E9,"GB",IF(ABS(G56)&gt;=1E6,"MB",IF(ABS(G56)&gt;=1E3,"KB","bytes"))))</f>
        <v>MB</v>
      </c>
      <c r="D56" s="12">
        <f>IF(ABS(H56)&gt;=1E12,H56/1E12,IF(ABS(H56)&gt;=1E9,H56/1E9,IF(ABS(H56)&gt;=1E6,H56/1E6,IF(ABS(H56)&gt;=1E3,H56/1E3,H56))))</f>
        <v>534.376892</v>
      </c>
      <c r="E56" s="11" t="str">
        <f>IF(ABS(H56)&gt;=1E12,"TB",IF(ABS(H56)&gt;=1E9,"GB",IF(ABS(H56)&gt;=1E6,"MB",IF(ABS(H56)&gt;=1E3,"KB","bytes"))))</f>
        <v>MB</v>
      </c>
      <c r="F56" s="4" t="s">
        <v>585</v>
      </c>
      <c r="G56" s="13">
        <f>'Memory'!$S$20</f>
        <v>534376892.0</v>
      </c>
      <c r="H56" s="13">
        <f>'Memory'!$S$20</f>
        <v>534376892.0</v>
      </c>
    </row>
    <row r="57" spans="1:8">
      <c r="A57" s="14" t="s">
        <v>593</v>
      </c>
      <c r="B57" s="14">
        <f>IF(ABS(G57)&gt;=1E12,G57/1E12,IF(ABS(G57)&gt;=1E9,G57/1E9,IF(ABS(G57)&gt;=1E6,G57/1E6,IF(ABS(G57)&gt;=1E3,G57/1E3,G57))))</f>
        <v>22.349822332</v>
      </c>
      <c r="C57" s="11" t="str">
        <f>IF(ABS(G57)&gt;=1E12,"TB",IF(ABS(G57)&gt;=1E9,"GB",IF(ABS(G57)&gt;=1E6,"MB",IF(ABS(G57)&gt;=1E3,"KB","bytes"))))</f>
        <v>GB</v>
      </c>
      <c r="D57" s="14">
        <f>IF(ABS(H57)&gt;=1E12,H57/1E12,IF(ABS(H57)&gt;=1E9,H57/1E9,IF(ABS(H57)&gt;=1E6,H57/1E6,IF(ABS(H57)&gt;=1E3,H57/1E3,H57))))</f>
        <v>22.349822332</v>
      </c>
      <c r="E57" s="11" t="str">
        <f>IF(ABS(H57)&gt;=1E12,"TB",IF(ABS(H57)&gt;=1E9,"GB",IF(ABS(H57)&gt;=1E6,"MB",IF(ABS(H57)&gt;=1E3,"KB","bytes"))))</f>
        <v>GB</v>
      </c>
      <c r="F57" s="4" t="s">
        <v>594</v>
      </c>
      <c r="G57" s="13">
        <f>'Memory'!$S$21</f>
        <v>22349822332.0</v>
      </c>
      <c r="H57" s="13">
        <f>'Memory'!$S$21</f>
        <v>22349822332.0</v>
      </c>
    </row>
    <row r="58" spans="1:8">
      <c r="A58" s="4" t="s">
        <v>595</v>
      </c>
      <c r="B58" s="12">
        <f>IF(ABS(G58)&gt;=1E12,G58/1E12,IF(ABS(G58)&gt;=1E9,G58/1E9,IF(ABS(G58)&gt;=1E6,G58/1E6,IF(ABS(G58)&gt;=1E3,G58/1E3,G58))))</f>
        <v>50.987008</v>
      </c>
      <c r="C58" s="11" t="str">
        <f>IF(ABS(G58)&gt;=1E12,"TB",IF(ABS(G58)&gt;=1E9,"GB",IF(ABS(G58)&gt;=1E6,"MB",IF(ABS(G58)&gt;=1E3,"KB","bytes"))))</f>
        <v>MB</v>
      </c>
      <c r="D58" s="12">
        <f>IF(ABS(H58)&gt;=1E12,H58/1E12,IF(ABS(H58)&gt;=1E9,H58/1E9,IF(ABS(H58)&gt;=1E6,H58/1E6,IF(ABS(H58)&gt;=1E3,H58/1E3,H58))))</f>
        <v>5.810552832</v>
      </c>
      <c r="E58" s="11" t="str">
        <f>IF(ABS(H58)&gt;=1E12,"TB",IF(ABS(H58)&gt;=1E9,"GB",IF(ABS(H58)&gt;=1E6,"MB",IF(ABS(H58)&gt;=1E3,"KB","bytes"))))</f>
        <v>GB</v>
      </c>
      <c r="F58" s="4" t="s">
        <v>596</v>
      </c>
      <c r="G58" s="13">
        <f>'Memory'!$Q$26</f>
        <v>50987008</v>
      </c>
      <c r="H58" s="13">
        <f>'Memory'!$Q$30</f>
        <v>5810552832</v>
      </c>
    </row>
    <row r="59" spans="1:8">
      <c r="A59" s="4" t="s">
        <v>597</v>
      </c>
      <c r="B59" s="12">
        <f>IF(ABS(G59)&gt;=1E12,G59/1E12,IF(ABS(G59)&gt;=1E9,G59/1E9,IF(ABS(G59)&gt;=1E6,G59/1E6,IF(ABS(G59)&gt;=1E3,G59/1E3,G59))))</f>
        <v>11.010048</v>
      </c>
      <c r="C59" s="11" t="str">
        <f>IF(ABS(G59)&gt;=1E12,"TB",IF(ABS(G59)&gt;=1E9,"GB",IF(ABS(G59)&gt;=1E6,"MB",IF(ABS(G59)&gt;=1E3,"KB","bytes"))))</f>
        <v>MB</v>
      </c>
      <c r="D59" s="12">
        <f>IF(ABS(H59)&gt;=1E12,H59/1E12,IF(ABS(H59)&gt;=1E9,H59/1E9,IF(ABS(H59)&gt;=1E6,H59/1E6,IF(ABS(H59)&gt;=1E3,H59/1E3,H59))))</f>
        <v>1.409286144</v>
      </c>
      <c r="E59" s="11" t="str">
        <f>IF(ABS(H59)&gt;=1E12,"TB",IF(ABS(H59)&gt;=1E9,"GB",IF(ABS(H59)&gt;=1E6,"MB",IF(ABS(H59)&gt;=1E3,"KB","bytes"))))</f>
        <v>GB</v>
      </c>
      <c r="F59" s="4" t="s">
        <v>596</v>
      </c>
      <c r="G59" s="13">
        <f>'Memory'!$Q$27</f>
        <v>11010048</v>
      </c>
      <c r="H59" s="13">
        <f>'Memory'!$Q$31</f>
        <v>1409286144</v>
      </c>
    </row>
    <row r="60" spans="1:8">
      <c r="A60" s="4" t="s">
        <v>598</v>
      </c>
      <c r="B60" s="12">
        <f>IF(ABS(G60)&gt;=1E12,G60/1E12,IF(ABS(G60)&gt;=1E9,G60/1E9,IF(ABS(G60)&gt;=1E6,G60/1E6,IF(ABS(G60)&gt;=1E3,G60/1E3,G60))))</f>
        <v>12.20608</v>
      </c>
      <c r="C60" s="11" t="str">
        <f>IF(ABS(G60)&gt;=1E12,"TB",IF(ABS(G60)&gt;=1E9,"GB",IF(ABS(G60)&gt;=1E6,"MB",IF(ABS(G60)&gt;=1E3,"KB","bytes"))))</f>
        <v>MB</v>
      </c>
      <c r="D60" s="12">
        <f>IF(ABS(H60)&gt;=1E12,H60/1E12,IF(ABS(H60)&gt;=1E9,H60/1E9,IF(ABS(H60)&gt;=1E6,H60/1E6,IF(ABS(H60)&gt;=1E3,H60/1E3,H60))))</f>
        <v>12.20608</v>
      </c>
      <c r="E60" s="11" t="str">
        <f>IF(ABS(H60)&gt;=1E12,"TB",IF(ABS(H60)&gt;=1E9,"GB",IF(ABS(H60)&gt;=1E6,"MB",IF(ABS(H60)&gt;=1E3,"KB","bytes"))))</f>
        <v>MB</v>
      </c>
      <c r="F60" s="4" t="s">
        <v>596</v>
      </c>
      <c r="G60" s="13">
        <f>'Memory'!$Q$28</f>
        <v>12206080</v>
      </c>
      <c r="H60" s="13">
        <f>'Memory'!$Q$32</f>
        <v>12206080</v>
      </c>
    </row>
    <row r="61" spans="1:8">
      <c r="A61" s="4" t="s">
        <v>599</v>
      </c>
      <c r="B61" s="12">
        <f>IF(ABS(G61)&gt;=1E12,G61/1E12,IF(ABS(G61)&gt;=1E9,G61/1E9,IF(ABS(G61)&gt;=1E6,G61/1E6,IF(ABS(G61)&gt;=1E3,G61/1E3,G61))))</f>
        <v>7.232045056</v>
      </c>
      <c r="C61" s="11" t="str">
        <f>IF(ABS(G61)&gt;=1E12,"TB",IF(ABS(G61)&gt;=1E9,"GB",IF(ABS(G61)&gt;=1E6,"MB",IF(ABS(G61)&gt;=1E3,"KB","bytes"))))</f>
        <v>GB</v>
      </c>
      <c r="D61" s="12">
        <f>IF(ABS(H61)&gt;=1E12,H61/1E12,IF(ABS(H61)&gt;=1E9,H61/1E9,IF(ABS(H61)&gt;=1E6,H61/1E6,IF(ABS(H61)&gt;=1E3,H61/1E3,H61))))</f>
        <v>7.232045056</v>
      </c>
      <c r="E61" s="11" t="str">
        <f>IF(ABS(H61)&gt;=1E12,"TB",IF(ABS(H61)&gt;=1E9,"GB",IF(ABS(H61)&gt;=1E6,"MB",IF(ABS(H61)&gt;=1E3,"KB","bytes"))))</f>
        <v>GB</v>
      </c>
      <c r="F61" s="4" t="s">
        <v>596</v>
      </c>
      <c r="G61" s="13">
        <f>'Memory'!$Q$29</f>
        <v>7232045056</v>
      </c>
      <c r="H61" s="13">
        <f>'Memory'!$Q$33</f>
        <v>7232045056</v>
      </c>
    </row>
    <row r="62" spans="1:8">
      <c r="A62" s="14" t="s">
        <v>600</v>
      </c>
      <c r="B62" s="14">
        <f>IF(ABS(G62)&gt;=1E12,G62/1E12,IF(ABS(G62)&gt;=1E9,G62/1E9,IF(ABS(G62)&gt;=1E6,G62/1E6,IF(ABS(G62)&gt;=1E3,G62/1E3,G62))))</f>
        <v>29.581867388</v>
      </c>
      <c r="C62" s="11" t="str">
        <f>IF(ABS(G62)&gt;=1E12,"TB",IF(ABS(G62)&gt;=1E9,"GB",IF(ABS(G62)&gt;=1E6,"MB",IF(ABS(G62)&gt;=1E3,"KB","bytes"))))</f>
        <v>GB</v>
      </c>
      <c r="D62" s="14">
        <f>IF(ABS(H62)&gt;=1E12,H62/1E12,IF(ABS(H62)&gt;=1E9,H62/1E9,IF(ABS(H62)&gt;=1E6,H62/1E6,IF(ABS(H62)&gt;=1E3,H62/1E3,H62))))</f>
        <v>29.581867388</v>
      </c>
      <c r="E62" s="11" t="str">
        <f>IF(ABS(H62)&gt;=1E12,"TB",IF(ABS(H62)&gt;=1E9,"GB",IF(ABS(H62)&gt;=1E6,"MB",IF(ABS(H62)&gt;=1E3,"KB","bytes"))))</f>
        <v>GB</v>
      </c>
      <c r="F62" s="4" t="s">
        <v>601</v>
      </c>
      <c r="G62" s="13">
        <f>'Memory'!$S$21+'Memory'!$Q$29</f>
        <v>29581867388.0</v>
      </c>
      <c r="H62" s="13">
        <f>'Memory'!$S$21+'Memory'!$Q$33</f>
        <v>29581867388.0</v>
      </c>
    </row>
  </sheetData>
  <mergeCells count="2">
    <mergeCell ref="A4:F4"/>
    <mergeCell ref="A34:F3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73</vt:i4>
      </vt:variant>
    </vt:vector>
  </HeadingPairs>
  <TitlesOfParts>
    <vt:vector size="81" baseType="lpstr">
      <vt:lpstr>Parameters</vt:lpstr>
      <vt:lpstr>Layer_Config</vt:lpstr>
      <vt:lpstr>Prefill_8K</vt:lpstr>
      <vt:lpstr>Decode_1M</vt:lpstr>
      <vt:lpstr>Memory</vt:lpstr>
      <vt:lpstr>Comparison</vt:lpstr>
      <vt:lpstr>Methodology</vt:lpstr>
      <vt:lpstr>Summary</vt:lpstr>
      <vt:lpstr>ActivatedExperts</vt:lpstr>
      <vt:lpstr>ActiveHashLayers</vt:lpstr>
      <vt:lpstr>BF16Bytes</vt:lpstr>
      <vt:lpstr>DC_ExpertActiveProbability</vt:lpstr>
      <vt:lpstr>DC_IndexPairs</vt:lpstr>
      <vt:lpstr>DC_LongPairs</vt:lpstr>
      <vt:lpstr>DC_RawPairs</vt:lpstr>
      <vt:lpstr>DC_Rows</vt:lpstr>
      <vt:lpstr>DC_ShortPairs</vt:lpstr>
      <vt:lpstr>DecodeBatch</vt:lpstr>
      <vt:lpstr>DecodeContext</vt:lpstr>
      <vt:lpstr>DecodeTargetMs</vt:lpstr>
      <vt:lpstr>DecodeTokens</vt:lpstr>
      <vt:lpstr>ExpertInter</vt:lpstr>
      <vt:lpstr>FP32Bytes</vt:lpstr>
      <vt:lpstr>FP4Block</vt:lpstr>
      <vt:lpstr>FP4Bytes</vt:lpstr>
      <vt:lpstr>FP8Block</vt:lpstr>
      <vt:lpstr>FP8Bytes</vt:lpstr>
      <vt:lpstr>HashLayers</vt:lpstr>
      <vt:lpstr>HBMBandwidthGBps</vt:lpstr>
      <vt:lpstr>HCIters</vt:lpstr>
      <vt:lpstr>HCSlots</vt:lpstr>
      <vt:lpstr>HeadDim</vt:lpstr>
      <vt:lpstr>HiddenSize</vt:lpstr>
      <vt:lpstr>IndexHeadDim</vt:lpstr>
      <vt:lpstr>IndexHeads</vt:lpstr>
      <vt:lpstr>IndexTopK</vt:lpstr>
      <vt:lpstr>INT32Bytes</vt:lpstr>
      <vt:lpstr>INT64Bytes</vt:lpstr>
      <vt:lpstr>InterconnectGBps</vt:lpstr>
      <vt:lpstr>KernelMinHeads</vt:lpstr>
      <vt:lpstr>LongLayers</vt:lpstr>
      <vt:lpstr>LongRatio</vt:lpstr>
      <vt:lpstr>MaxContext</vt:lpstr>
      <vt:lpstr>NumHeads</vt:lpstr>
      <vt:lpstr>OGroups</vt:lpstr>
      <vt:lpstr>OLoraRank</vt:lpstr>
      <vt:lpstr>PeakTFLOPs</vt:lpstr>
      <vt:lpstr>PF_ExpertActiveProbability</vt:lpstr>
      <vt:lpstr>PF_IndexPairs</vt:lpstr>
      <vt:lpstr>PF_LongPairs</vt:lpstr>
      <vt:lpstr>PF_RawPairs</vt:lpstr>
      <vt:lpstr>PF_Rows</vt:lpstr>
      <vt:lpstr>PF_ShortPairs</vt:lpstr>
      <vt:lpstr>PrefillBatch</vt:lpstr>
      <vt:lpstr>PrefillSequence</vt:lpstr>
      <vt:lpstr>PrefillTargetMs</vt:lpstr>
      <vt:lpstr>QLoraRank</vt:lpstr>
      <vt:lpstr>RopeDim</vt:lpstr>
      <vt:lpstr>RoutedExperts</vt:lpstr>
      <vt:lpstr>ScaleBytes</vt:lpstr>
      <vt:lpstr>SharedExperts</vt:lpstr>
      <vt:lpstr>ShortLayers</vt:lpstr>
      <vt:lpstr>ShortRatio</vt:lpstr>
      <vt:lpstr>TotalLayers</vt:lpstr>
      <vt:lpstr>TP1KernelLocalHeads</vt:lpstr>
      <vt:lpstr>TP1LocalExperts</vt:lpstr>
      <vt:lpstr>TP1LocalHeads</vt:lpstr>
      <vt:lpstr>TP1LocalIndexHeads</vt:lpstr>
      <vt:lpstr>TP1LocalOGroups</vt:lpstr>
      <vt:lpstr>TP1LocalVocab</vt:lpstr>
      <vt:lpstr>TP1Size</vt:lpstr>
      <vt:lpstr>TP8KernelLocalHeads</vt:lpstr>
      <vt:lpstr>TP8LocalExperts</vt:lpstr>
      <vt:lpstr>TP8LocalHeads</vt:lpstr>
      <vt:lpstr>TP8LocalIndexHeads</vt:lpstr>
      <vt:lpstr>TP8LocalOGroups</vt:lpstr>
      <vt:lpstr>TP8LocalVocab</vt:lpstr>
      <vt:lpstr>TP8Size</vt:lpstr>
      <vt:lpstr>VocabSize</vt:lpstr>
      <vt:lpstr>WindowLayers</vt:lpstr>
      <vt:lpstr>WindowSize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DeepSeek V4 Flash Architecture Calculator</dc:title>
  <dc:subject>Formula-driven TP, FLOPs, HBM, and memory analysis</dc:subject>
  <dc:creator>DeepSeek V4 Flash repository calculator</dc:creator>
  <cp:lastModifiedBy>DeepSeek V4 Flash repository calculator</cp:lastModifiedBy>
  <dcterms:created xsi:type="dcterms:W3CDTF">2026-08-18T05:23:54Z</dcterms:created>
  <dcterms:modified xsi:type="dcterms:W3CDTF">2026-08-18T05:23:54Z</dcterms:modified>
</cp:coreProperties>
</file>