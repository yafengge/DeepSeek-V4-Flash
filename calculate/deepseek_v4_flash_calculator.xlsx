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activeTab="5"/>
  </bookViews>
  <sheets>
    <sheet name="Parameters" sheetId="1" r:id="rId1"/>
    <sheet name="Prefill_8K" sheetId="2" r:id="rId2"/>
    <sheet name="Decode_1M" sheetId="3" r:id="rId3"/>
    <sheet name="dtype" sheetId="4" r:id="rId4"/>
    <sheet name="Comparison" sheetId="5" r:id="rId5"/>
    <sheet name="Summary" sheetId="6" r:id="rId6"/>
    <sheet name="Layer_Config" sheetId="7" r:id="rId7"/>
    <sheet name="Methodology" sheetId="8" r:id="rId8"/>
  </sheets>
  <definedNames>
    <definedName name="_xlnm._FilterDatabase" localSheetId="6" hidden="1">Layer_Config!$A$3:$F$67</definedName>
    <definedName name="_xlnm._FilterDatabase" localSheetId="0" hidden="1">Parameters!$A$3:$E$64</definedName>
    <definedName name="ActivatedExperts">'Parameters'!$D$21</definedName>
    <definedName name="ActiveHashLayers">'Parameters'!$D$52</definedName>
    <definedName name="BF16Bytes">'Parameters'!$D$33</definedName>
    <definedName name="DC_ExpertActiveProbability">'Decode_1M'!$B$9</definedName>
    <definedName name="DC_IndexPairs">'Decode_1M'!$B$8</definedName>
    <definedName name="DC_LongPairs">'Decode_1M'!$B$7</definedName>
    <definedName name="DC_RawPairs">'Decode_1M'!$B$5</definedName>
    <definedName name="DC_Rows">'Decode_1M'!$B$4</definedName>
    <definedName name="DC_ShortPairs">'Decode_1M'!$B$6</definedName>
    <definedName name="DecodeBatch">'Parameters'!$D$8</definedName>
    <definedName name="DecodeContext">'Parameters'!$D$10</definedName>
    <definedName name="DecodeTargetMs">'Parameters'!$D$47</definedName>
    <definedName name="DecodeTokens">'Parameters'!$D$9</definedName>
    <definedName name="ExpertInter">'Parameters'!$D$23</definedName>
    <definedName name="FP32Bytes">'Parameters'!$D$34</definedName>
    <definedName name="FP4Block">'Parameters'!$D$41</definedName>
    <definedName name="FP4Bytes">'Parameters'!$D$36</definedName>
    <definedName name="FP8Block">'Parameters'!$D$40</definedName>
    <definedName name="FP8Bytes">'Parameters'!$D$35</definedName>
    <definedName name="HashLayers">'Parameters'!$D$32</definedName>
    <definedName name="HBMBandwidthGBps">'Parameters'!$D$44</definedName>
    <definedName name="HCIters">'Parameters'!$D$31</definedName>
    <definedName name="HCSlots">'Parameters'!$D$30</definedName>
    <definedName name="HeadDim">'Parameters'!$D$15</definedName>
    <definedName name="HiddenSize">'Parameters'!$D$12</definedName>
    <definedName name="IndexHeadDim">'Parameters'!$D$28</definedName>
    <definedName name="IndexHeads">'Parameters'!$D$27</definedName>
    <definedName name="IndexTopK">'Parameters'!$D$29</definedName>
    <definedName name="INT32Bytes">'Parameters'!$D$38</definedName>
    <definedName name="INT64Bytes">'Parameters'!$D$39</definedName>
    <definedName name="InterconnectGBps">'Parameters'!$D$45</definedName>
    <definedName name="KernelMinHeads">'Parameters'!$D$42</definedName>
    <definedName name="LongLayers">'Parameters'!$D$51</definedName>
    <definedName name="LongRatio">'Parameters'!$D$26</definedName>
    <definedName name="MaxContext">'Parameters'!$D$11</definedName>
    <definedName name="NumHeads">'Parameters'!$D$14</definedName>
    <definedName name="OGroups">'Parameters'!$D$18</definedName>
    <definedName name="OLoraRank">'Parameters'!$D$19</definedName>
    <definedName name="PeakTFLOPs">'Parameters'!$D$43</definedName>
    <definedName name="PF_ExpertActiveProbability">'Prefill_8K'!$B$9</definedName>
    <definedName name="PF_IndexPairs">'Prefill_8K'!$B$8</definedName>
    <definedName name="PF_LongPairs">'Prefill_8K'!$B$7</definedName>
    <definedName name="PF_RawPairs">'Prefill_8K'!$B$5</definedName>
    <definedName name="PF_Rows">'Prefill_8K'!$B$4</definedName>
    <definedName name="PF_ShortPairs">'Prefill_8K'!$B$6</definedName>
    <definedName name="PrefillBatch">'Parameters'!$D$6</definedName>
    <definedName name="PrefillSequence">'Parameters'!$D$7</definedName>
    <definedName name="PrefillTargetMs">'Parameters'!$D$46</definedName>
    <definedName name="QLoraRank">'Parameters'!$D$17</definedName>
    <definedName name="RopeDim">'Parameters'!$D$16</definedName>
    <definedName name="RoutedExperts">'Parameters'!$D$20</definedName>
    <definedName name="ScaleBytes">'Parameters'!$D$37</definedName>
    <definedName name="SharedExperts">'Parameters'!$D$22</definedName>
    <definedName name="ShortLayers">'Parameters'!$D$50</definedName>
    <definedName name="ShortRatio">'Parameters'!$D$25</definedName>
    <definedName name="TotalLayers">'Parameters'!$D$48</definedName>
    <definedName name="TP1KernelLocalHeads">'Parameters'!$D$54</definedName>
    <definedName name="TP1LocalExperts">'Parameters'!$D$56</definedName>
    <definedName name="TP1LocalHeads">'Parameters'!$D$53</definedName>
    <definedName name="TP1LocalIndexHeads">'Parameters'!$D$55</definedName>
    <definedName name="TP1LocalOGroups">'Parameters'!$D$57</definedName>
    <definedName name="TP1LocalVocab">'Parameters'!$D$58</definedName>
    <definedName name="TP1Size">'Parameters'!$D$4</definedName>
    <definedName name="TP8KernelLocalHeads">'Parameters'!$D$60</definedName>
    <definedName name="TP8LocalExperts">'Parameters'!$D$62</definedName>
    <definedName name="TP8LocalHeads">'Parameters'!$D$59</definedName>
    <definedName name="TP8LocalIndexHeads">'Parameters'!$D$61</definedName>
    <definedName name="TP8LocalOGroups">'Parameters'!$D$63</definedName>
    <definedName name="TP8LocalVocab">'Parameters'!$D$64</definedName>
    <definedName name="TP8Size">'Parameters'!$D$5</definedName>
    <definedName name="VocabSize">'Parameters'!$D$13</definedName>
    <definedName name="WindowLayers">'Parameters'!$D$49</definedName>
    <definedName name="WindowSize">'Parameters'!$D$24</definedName>
  </definedNames>
  <calcPr calcId="124519" fullCalcOnLoad="1"/>
</workbook>
</file>

<file path=xl/sharedStrings.xml><?xml version="1.0" encoding="utf-8"?>
<sst xmlns="http://schemas.openxmlformats.org/spreadsheetml/2006/main" count="1475" uniqueCount="557">
  <si>
    <t>DeepSeek V4 Flash - Editable Architecture Parameters</t>
  </si>
  <si>
    <t>蓝色单元格为可编辑输入，绿色单元格为 Excel 派生公式。</t>
  </si>
  <si>
    <t>Category</t>
  </si>
  <si>
    <t>Parameter</t>
  </si>
  <si>
    <t>Excel name</t>
  </si>
  <si>
    <t>Value</t>
  </si>
  <si>
    <t>Description</t>
  </si>
  <si>
    <t>Parallel</t>
  </si>
  <si>
    <t>TP1 comparison size</t>
  </si>
  <si>
    <t>TP1Size</t>
  </si>
  <si>
    <t>第一组张量并行配置。</t>
  </si>
  <si>
    <t>TP8 comparison size</t>
  </si>
  <si>
    <t>TP8Size</t>
  </si>
  <si>
    <t>第二组张量并行配置，可编辑。</t>
  </si>
  <si>
    <t>Scenario</t>
  </si>
  <si>
    <t>Prefill batch size</t>
  </si>
  <si>
    <t>PrefillBatch</t>
  </si>
  <si>
    <t>可编辑的预填充批大小。</t>
  </si>
  <si>
    <t>Prefill sequence length</t>
  </si>
  <si>
    <t>PrefillSequence</t>
  </si>
  <si>
    <t>一次预填充处理的提示词令牌数。</t>
  </si>
  <si>
    <t>Decode batch size</t>
  </si>
  <si>
    <t>DecodeBatch</t>
  </si>
  <si>
    <t>可编辑的解码批大小。</t>
  </si>
  <si>
    <t>Decode tokens per step</t>
  </si>
  <si>
    <t>DecodeTokens</t>
  </si>
  <si>
    <t>通常为 1；公式按解码上下文长度建模每个令牌。</t>
  </si>
  <si>
    <t>Decode context</t>
  </si>
  <si>
    <t>DecodeContext</t>
  </si>
  <si>
    <t>解码阶段可见的有效上下文长度。</t>
  </si>
  <si>
    <t>Maximum allocated context</t>
  </si>
  <si>
    <t>MaxContext</t>
  </si>
  <si>
    <t>KV 缓存的预分配容量。</t>
  </si>
  <si>
    <t>Model</t>
  </si>
  <si>
    <t>Hidden size</t>
  </si>
  <si>
    <t>HiddenSize</t>
  </si>
  <si>
    <t>Transformer 残差宽度。</t>
  </si>
  <si>
    <t>Vocabulary size</t>
  </si>
  <si>
    <t>VocabSize</t>
  </si>
  <si>
    <t>Embedding 与 LM Head 使用的词表大小。</t>
  </si>
  <si>
    <t>Attention</t>
  </si>
  <si>
    <t>Query heads</t>
  </si>
  <si>
    <t>NumHeads</t>
  </si>
  <si>
    <t>全局 Query 头数量。</t>
  </si>
  <si>
    <t>Head dimension</t>
  </si>
  <si>
    <t>HeadDim</t>
  </si>
  <si>
    <t>共享潜在 KV 宽度及每个 Query 头的宽度。</t>
  </si>
  <si>
    <t>RoPE dimension</t>
  </si>
  <si>
    <t>RopeDim</t>
  </si>
  <si>
    <t>HeadDim 中用于旋转位置编码的维度。</t>
  </si>
  <si>
    <t>Q LoRA rank</t>
  </si>
  <si>
    <t>QLoraRank</t>
  </si>
  <si>
    <t>Q 投影的低秩中间宽度。</t>
  </si>
  <si>
    <t>Output groups</t>
  </si>
  <si>
    <t>OGroups</t>
  </si>
  <si>
    <t>分组低秩输出投影的分组数量。</t>
  </si>
  <si>
    <t>Output LoRA rank</t>
  </si>
  <si>
    <t>OLoraRank</t>
  </si>
  <si>
    <t>每个输出分组的低秩宽度。</t>
  </si>
  <si>
    <t>MoE</t>
  </si>
  <si>
    <t>Routed experts</t>
  </si>
  <si>
    <t>RoutedExperts</t>
  </si>
  <si>
    <t>每个专家块的全局路由专家数量。</t>
  </si>
  <si>
    <t>Activated experts</t>
  </si>
  <si>
    <t>ActivatedExperts</t>
  </si>
  <si>
    <t>每个令牌选取的 Top-K 路由专家数量。</t>
  </si>
  <si>
    <t>Shared experts</t>
  </si>
  <si>
    <t>SharedExperts</t>
  </si>
  <si>
    <t>每个专家块复制的共享专家数量。</t>
  </si>
  <si>
    <t>Expert intermediate size</t>
  </si>
  <si>
    <t>ExpertInter</t>
  </si>
  <si>
    <t>SwiGLU 专家的中间维度。</t>
  </si>
  <si>
    <t>Cache</t>
  </si>
  <si>
    <t>Raw sliding window</t>
  </si>
  <si>
    <t>WindowSize</t>
  </si>
  <si>
    <t>每层保留的原始 KV 位置数量。</t>
  </si>
  <si>
    <t>Short compression ratio</t>
  </si>
  <si>
    <t>ShortRatio</t>
  </si>
  <si>
    <t>默认的 ratio-4 模式。</t>
  </si>
  <si>
    <t>Long compression ratio</t>
  </si>
  <si>
    <t>LongRatio</t>
  </si>
  <si>
    <t>默认的 ratio-128 模式。</t>
  </si>
  <si>
    <t>Indexer</t>
  </si>
  <si>
    <t>Indexer heads</t>
  </si>
  <si>
    <t>IndexHeads</t>
  </si>
  <si>
    <t>全局 ratio-4 Indexer 头数量。</t>
  </si>
  <si>
    <t>Indexer head dimension</t>
  </si>
  <si>
    <t>IndexHeadDim</t>
  </si>
  <si>
    <t>Indexer Q/K 的维度。</t>
  </si>
  <si>
    <t>Indexer Top-K</t>
  </si>
  <si>
    <t>IndexTopK</t>
  </si>
  <si>
    <t>ratio-4 注意力保留的压缩条目数量。</t>
  </si>
  <si>
    <t>HC</t>
  </si>
  <si>
    <t>HC slots</t>
  </si>
  <si>
    <t>HCSlots</t>
  </si>
  <si>
    <t>Hyper-Connection 残差流数量。</t>
  </si>
  <si>
    <t>Sinkhorn iterations</t>
  </si>
  <si>
    <t>HCIters</t>
  </si>
  <si>
    <t>HC 组合归一化的迭代次数。</t>
  </si>
  <si>
    <t>Routing</t>
  </si>
  <si>
    <t>Hash-routed layers</t>
  </si>
  <si>
    <t>HashLayers</t>
  </si>
  <si>
    <t>使用令牌编号到专家编号的路由起始层数量。</t>
  </si>
  <si>
    <t>DType</t>
  </si>
  <si>
    <t>BF16 bytes</t>
  </si>
  <si>
    <t>BF16Bytes</t>
  </si>
  <si>
    <t>每个 BF16 元素占用的存储字节数。</t>
  </si>
  <si>
    <t>FP32 bytes</t>
  </si>
  <si>
    <t>FP32Bytes</t>
  </si>
  <si>
    <t>每个 FP32 元素占用的存储字节数。</t>
  </si>
  <si>
    <t>FP8 bytes</t>
  </si>
  <si>
    <t>FP8Bytes</t>
  </si>
  <si>
    <t>每个 FP8 元素占用的存储字节数。</t>
  </si>
  <si>
    <t>FP4 bytes</t>
  </si>
  <si>
    <t>FP4Bytes</t>
  </si>
  <si>
    <t>每个 FP4 元素的逻辑打包字节数。</t>
  </si>
  <si>
    <t>Scale bytes</t>
  </si>
  <si>
    <t>ScaleBytes</t>
  </si>
  <si>
    <t>E8M0 Scale 的存储字节数。</t>
  </si>
  <si>
    <t>INT32 bytes</t>
  </si>
  <si>
    <t>INT32Bytes</t>
  </si>
  <si>
    <t>每个 INT32 元素占用的存储字节数。</t>
  </si>
  <si>
    <t>INT64 bytes</t>
  </si>
  <si>
    <t>INT64Bytes</t>
  </si>
  <si>
    <t>每个 INT64 元素占用的存储字节数。</t>
  </si>
  <si>
    <t>Quantization</t>
  </si>
  <si>
    <t>FP8 scale block</t>
  </si>
  <si>
    <t>FP8Block</t>
  </si>
  <si>
    <t>二维 FP8 权重 Scale 的分块大小。</t>
  </si>
  <si>
    <t>FP4 scale block</t>
  </si>
  <si>
    <t>FP4Block</t>
  </si>
  <si>
    <t>沿 K 维度的 FP4 专家 Scale 分块大小。</t>
  </si>
  <si>
    <t>Kernel</t>
  </si>
  <si>
    <t>Minimum sparse-attention heads</t>
  </si>
  <si>
    <t>KernelMinHeads</t>
  </si>
  <si>
    <t>当本地头数不足时，内核补齐到该头数。</t>
  </si>
  <si>
    <t>Hardware</t>
  </si>
  <si>
    <t>Peak compute</t>
  </si>
  <si>
    <t>PeakTFLOPs</t>
  </si>
  <si>
    <t>可编辑的示例硬件峰值算力。</t>
  </si>
  <si>
    <t>HBM bandwidth</t>
  </si>
  <si>
    <t>HBMBandwidthGBps</t>
  </si>
  <si>
    <t>可编辑的持续/目标 HBM 带宽。</t>
  </si>
  <si>
    <t>Interconnect bandwidth</t>
  </si>
  <si>
    <t>InterconnectGBps</t>
  </si>
  <si>
    <t>可编辑的有效双向互连带宽。</t>
  </si>
  <si>
    <t>Prefill target latency</t>
  </si>
  <si>
    <t>PrefillTargetMs</t>
  </si>
  <si>
    <t>仅用于推导所需 HBM 带宽和卡间互连带宽。</t>
  </si>
  <si>
    <t>Decode target latency</t>
  </si>
  <si>
    <t>DecodeTargetMs</t>
  </si>
  <si>
    <t>Derived</t>
  </si>
  <si>
    <t>Active layers</t>
  </si>
  <si>
    <t>TotalLayers</t>
  </si>
  <si>
    <t>Layer_Config 中启用的层数。</t>
  </si>
  <si>
    <t>Window-only layers</t>
  </si>
  <si>
    <t>WindowLayers</t>
  </si>
  <si>
    <t>启用的窗口模式层数。</t>
  </si>
  <si>
    <t>Short-compression layers</t>
  </si>
  <si>
    <t>ShortLayers</t>
  </si>
  <si>
    <t>启用的 ratio-4/短压缩层数。</t>
  </si>
  <si>
    <t>Long-compression layers</t>
  </si>
  <si>
    <t>LongLayers</t>
  </si>
  <si>
    <t>启用的 ratio-128/长压缩层数。</t>
  </si>
  <si>
    <t>Active hash layers</t>
  </si>
  <si>
    <t>ActiveHashLayers</t>
  </si>
  <si>
    <t>层 ID 小于 HashLayers 且已启用的层数。</t>
  </si>
  <si>
    <t>TP1 local Q heads</t>
  </si>
  <si>
    <t>TP1LocalHeads</t>
  </si>
  <si>
    <t>单个 TP1 Rank 上的 Q 头数。</t>
  </si>
  <si>
    <t>TP1 kernel local heads</t>
  </si>
  <si>
    <t>TP1KernelLocalHeads</t>
  </si>
  <si>
    <t>补齐后的稀疏内核本地头数。</t>
  </si>
  <si>
    <t>TP1 local index heads</t>
  </si>
  <si>
    <t>TP1LocalIndexHeads</t>
  </si>
  <si>
    <t>单个 TP1 Rank 上的 Indexer 头数。</t>
  </si>
  <si>
    <t>TP1 local experts</t>
  </si>
  <si>
    <t>TP1LocalExperts</t>
  </si>
  <si>
    <t>单个 TP1 Rank 上的路由专家数。</t>
  </si>
  <si>
    <t>TP1 local output groups</t>
  </si>
  <si>
    <t>TP1LocalOGroups</t>
  </si>
  <si>
    <t>单个 TP1 Rank 上的输出分组数。</t>
  </si>
  <si>
    <t>TP1 local vocabulary</t>
  </si>
  <si>
    <t>TP1LocalVocab</t>
  </si>
  <si>
    <t>单个 TP1 Rank 上的词表行数。</t>
  </si>
  <si>
    <t>TP8 local Q heads</t>
  </si>
  <si>
    <t>TP8LocalHeads</t>
  </si>
  <si>
    <t>单个 TP8 Rank 上的 Q 头数。</t>
  </si>
  <si>
    <t>TP8 kernel local heads</t>
  </si>
  <si>
    <t>TP8KernelLocalHeads</t>
  </si>
  <si>
    <t>TP8 local index heads</t>
  </si>
  <si>
    <t>TP8LocalIndexHeads</t>
  </si>
  <si>
    <t>单个 TP8 Rank 上的 Indexer 头数。</t>
  </si>
  <si>
    <t>TP8 local experts</t>
  </si>
  <si>
    <t>TP8LocalExperts</t>
  </si>
  <si>
    <t>单个 TP8 Rank 上的路由专家数。</t>
  </si>
  <si>
    <t>TP8 local output groups</t>
  </si>
  <si>
    <t>TP8LocalOGroups</t>
  </si>
  <si>
    <t>单个 TP8 Rank 上的输出分组数。</t>
  </si>
  <si>
    <t>TP8 local vocabulary</t>
  </si>
  <si>
    <t>TP8LocalVocab</t>
  </si>
  <si>
    <t>单个 TP8 Rank 上的词表行数。</t>
  </si>
  <si>
    <t>8K Prefill - TP1 vs TP8 inference resources</t>
  </si>
  <si>
    <t>容量为单 Rank 资源；分类容量是静态参数，整网容量另含 MaxContext 预分配 KV/State。可见通信列为原始集合通信数据量，HBM 读写量保留在隐藏审计列。</t>
  </si>
  <si>
    <t>Helper metric</t>
  </si>
  <si>
    <t>Unit</t>
  </si>
  <si>
    <t>令牌行数</t>
  </si>
  <si>
    <t>令牌行</t>
  </si>
  <si>
    <t>当前场景需要处理的令牌总数；预填充为批大小乘序列长度，解码为批大小乘每步令牌数。</t>
  </si>
  <si>
    <t>因果原始窗口对数</t>
  </si>
  <si>
    <t>对数/序列</t>
  </si>
  <si>
    <t>因果原始窗口路径中可参与注意力计算的令牌对数量，按每个序列统计。</t>
  </si>
  <si>
    <t>封顶短压缩对数</t>
  </si>
  <si>
    <t>短压缩路径的候选令牌对数量；按短压缩比例折叠，并受 Top-K 候选上限约束。</t>
  </si>
  <si>
    <t>长压缩对数</t>
  </si>
  <si>
    <t>长压缩路径按长压缩比例折叠后的候选令牌对数量。</t>
  </si>
  <si>
    <t>Indexer 扫描对数</t>
  </si>
  <si>
    <t>ratio-4 Indexer 评分时需要扫描的压缩条目数量，作为索引器计算量输入。</t>
  </si>
  <si>
    <t>专家激活概率</t>
  </si>
  <si>
    <t>概率</t>
  </si>
  <si>
    <t>在当前场景令牌数下，单个路由专家至少被激活一次的概率，用于估算路由专家参数读取量。</t>
  </si>
  <si>
    <t>整网与主要模块汇总</t>
  </si>
  <si>
    <t>类别</t>
  </si>
  <si>
    <t>TP1 容量</t>
  </si>
  <si>
    <t>TP1 算力</t>
  </si>
  <si>
    <t>TP1 集合通信数据量</t>
  </si>
  <si>
    <t>TP8 容量/rank</t>
  </si>
  <si>
    <t>TP8 算力/rank</t>
  </si>
  <si>
    <t>TP8 集合通信数据量/rank</t>
  </si>
  <si>
    <t>参数类型</t>
  </si>
  <si>
    <t>激活类型</t>
  </si>
  <si>
    <t>说明</t>
  </si>
  <si>
    <t>整网</t>
  </si>
  <si>
    <t>全推理路径；容量含 MaxContext KV/State；整网容量 = 静态参数 + 预分配 KV/State。</t>
  </si>
  <si>
    <t>FP8 / FP4 / BF16 / FP32</t>
  </si>
  <si>
    <t>BF16 / FP32 / INT32</t>
  </si>
  <si>
    <t>Window + short/long + Indexer；分类容量为 Attention 静态参数；缓存明细在下表。</t>
  </si>
  <si>
    <t>FP8 / BF16 / FP32</t>
  </si>
  <si>
    <t>BF16 / FP32</t>
  </si>
  <si>
    <t>All active layers；路由专家、共享专家和 Router。</t>
  </si>
  <si>
    <t>FP4 / FP8 / BF16 / FP32 / INT32</t>
  </si>
  <si>
    <t>Embedding</t>
  </si>
  <si>
    <t>Input embedding；词表维度按 TP 分片。</t>
  </si>
  <si>
    <t>BF16</t>
  </si>
  <si>
    <t>BF16 hidden / residual</t>
  </si>
  <si>
    <t>LM Head</t>
  </si>
  <si>
    <t>Model tail；词表维度按 TP 分片；Prefill 只计算最后一个 token 的 logits。</t>
  </si>
  <si>
    <t>FP32</t>
  </si>
  <si>
    <t>FP32 logits</t>
  </si>
  <si>
    <t>Norm</t>
  </si>
  <si>
    <t>Block norms + final norm；含注意力 Sink 向量的参数容量。</t>
  </si>
  <si>
    <t>BF16 -&gt; FP32 -&gt; BF16</t>
  </si>
  <si>
    <t>Block HC + tail HC head；含 block HC 和模型尾部 HC head。</t>
  </si>
  <si>
    <t>FP32 mixing + BF16 hidden/residual</t>
  </si>
  <si>
    <t>residual</t>
  </si>
  <si>
    <t>HC state workspace；临时 workspace 不重复计入 HBM 和驻留容量。</t>
  </si>
  <si>
    <t>N/A</t>
  </si>
  <si>
    <t>BF16 residual / HC state</t>
  </si>
  <si>
    <t>典型层与模块明细</t>
  </si>
  <si>
    <t>典型层/模块</t>
  </si>
  <si>
    <t>层范围</t>
  </si>
  <si>
    <t>Input embedding</t>
  </si>
  <si>
    <t>BF16 embedding weights</t>
  </si>
  <si>
    <t>按令牌读取本地词表分片并生成 BF16 hidden；Embedding 后的集合通信已计入本行。</t>
  </si>
  <si>
    <t>Q/K/O projections</t>
  </si>
  <si>
    <t>All active layers</t>
  </si>
  <si>
    <t>FP8 E4M3 + E8M0 scales; wo_a BF16</t>
  </si>
  <si>
    <t>BF16 input/output; FP8 GEMM activations</t>
  </si>
  <si>
    <t>Wq_a 和 Wkv 在每个 TP Rank 上复制；Wq_b/Wo_a/Wo_b 按 TP 分片。</t>
  </si>
  <si>
    <t>Window sparse attention</t>
  </si>
  <si>
    <t>Window layers</t>
  </si>
  <si>
    <t>BF16 Q/K/V; BF16 window KV</t>
  </si>
  <si>
    <t>KV 在各头之间共享；每个 Rank 的内核头数包含最小头数补齐。</t>
  </si>
  <si>
    <t>Short-compression sparse attention</t>
  </si>
  <si>
    <t>Ratio-4 short-compression layers</t>
  </si>
  <si>
    <t>BF16 Q/K; BF16 compressed KV</t>
  </si>
  <si>
    <t>Long-compression sparse attention</t>
  </si>
  <si>
    <t>Ratio-128 long-compression layers</t>
  </si>
  <si>
    <t>Ratio-4 Indexer projections</t>
  </si>
  <si>
    <t>FP8/BF16 Indexer projection weights</t>
  </si>
  <si>
    <t>BF16 projected features; FP32 scoring</t>
  </si>
  <si>
    <t>Indexer Q 和令牌权重投影；仅 ratio-4 层使用。</t>
  </si>
  <si>
    <t>Ratio-4 Indexer score scan</t>
  </si>
  <si>
    <t>BF16 compressed entries; FP32 scores</t>
  </si>
  <si>
    <t>在选取 Top-K 前扫描所有已完成的 ratio-4 索引条目。</t>
  </si>
  <si>
    <t>Short-compression KV compressor</t>
  </si>
  <si>
    <t>FP32 Compressor parameters</t>
  </si>
  <si>
    <t>FP32 compression; BF16 KV output</t>
  </si>
  <si>
    <t>每个 TP Rank 都复制；ratio-4 使用重叠的 2 倍投影。</t>
  </si>
  <si>
    <t>Long-compression KV compressor</t>
  </si>
  <si>
    <t>每个 TP Rank 都复制；ratio-128 使用非重叠压缩。</t>
  </si>
  <si>
    <t>Indexer compressor projections</t>
  </si>
  <si>
    <t>FP32 Indexer Compressor parameters</t>
  </si>
  <si>
    <t>FP32 compression; BF16 Indexer KV</t>
  </si>
  <si>
    <t>复制的辅助 Compressor，用于构建 Indexer 缓存。</t>
  </si>
  <si>
    <t>Attention collectives</t>
  </si>
  <si>
    <t>Each Transformer block</t>
  </si>
  <si>
    <t>BF16/FP32 collective payload</t>
  </si>
  <si>
    <t>每个 Transformer block 的 Attention 隐藏状态集合通信；TP=1 时为零。</t>
  </si>
  <si>
    <t>Prefill effective main KV</t>
  </si>
  <si>
    <t>Scenario cache/state</t>
  </si>
  <si>
    <t>BF16 main KV cache</t>
  </si>
  <si>
    <t>预填充阶段已生成的主注意力 KV。</t>
  </si>
  <si>
    <t>Prefill effective Indexer KV</t>
  </si>
  <si>
    <t>BF16 Indexer KV cache</t>
  </si>
  <si>
    <t>预填充阶段已生成的 ratio-4 Indexer KV。</t>
  </si>
  <si>
    <t>Prefill compressor states</t>
  </si>
  <si>
    <t>FP32 compressor state</t>
  </si>
  <si>
    <t>预填充阶段的 Compressor 与 Indexer 状态。</t>
  </si>
  <si>
    <t>Prefill preallocated KV + states</t>
  </si>
  <si>
    <t>BF16 KV + FP32 state</t>
  </si>
  <si>
    <t>按 MaxContext 为预填充阶段预分配；不与有效容量相加。</t>
  </si>
  <si>
    <t>Router score projection</t>
  </si>
  <si>
    <t>BF16 gate + FP32 bias + INT32 hash table</t>
  </si>
  <si>
    <t>BF16 hidden; FP32 scores; INT32 indices</t>
  </si>
  <si>
    <t>即使是哈希路由层，源码仍会计算 Gate 分数。</t>
  </si>
  <si>
    <t>Top-K routed experts</t>
  </si>
  <si>
    <t>FP4 E2M1 + E8M0 scales</t>
  </si>
  <si>
    <t>BF16 input/output; FP32 SwiGLU</t>
  </si>
  <si>
    <t>每个 Rank 的均衡期望分配；参数读取使用专家至少被触发一次的概率。</t>
  </si>
  <si>
    <t>Shared expert</t>
  </si>
  <si>
    <t>FP8 E4M3 + E8M0 scales</t>
  </si>
  <si>
    <t>共享专家在每个 TP Rank 上复制，并独立计算。</t>
  </si>
  <si>
    <t>MoE collectives</t>
  </si>
  <si>
    <t>每个 Transformer block 的 MoE 隐藏状态集合通信；TP=1 时为零。</t>
  </si>
  <si>
    <t>Hyper-Connections</t>
  </si>
  <si>
    <t>All active layers + model tail HC head</t>
  </si>
  <si>
    <t>FP32 HC parameters</t>
  </si>
  <si>
    <t>FP32 mixing; BF16 hidden and residual state</t>
  </si>
  <si>
    <t>HC 计算为近似值；尾部 HC head 与 block HC 都在此计入，sigmoid/exp/Sinkhorn 仅做定性跟踪。</t>
  </si>
  <si>
    <t>All active layers + final norm</t>
  </si>
  <si>
    <t>FP32 normalization parameters</t>
  </si>
  <si>
    <t>BF16 input/output; FP32 normalization</t>
  </si>
  <si>
    <t>RMSNorm 在 FP32 中计算，输出回到 BF16；注意力 Sink 向量的参数容量随 Norm 组件计入。</t>
  </si>
  <si>
    <t>HC state workspace</t>
  </si>
  <si>
    <t>临时 BF16 residual/HC state 不重复计入 HBM 流量；驻留容量口径在场景汇总中单独说明。</t>
  </si>
  <si>
    <t>Tail</t>
  </si>
  <si>
    <t>FP32 LM Head parameters</t>
  </si>
  <si>
    <t>推理路径仅根据最后一个隐藏令牌计算 logits；词表 AllGather 集合通信已计入本行。</t>
  </si>
  <si>
    <t>1M-context Decode - TP1 vs TP8 inference resources</t>
  </si>
  <si>
    <t>原始窗口候选数</t>
  </si>
  <si>
    <t>解码时原始滑动窗口可见的候选条目数量，受窗口大小和当前上下文长度限制。</t>
  </si>
  <si>
    <t>短压缩 Top-K 候选数</t>
  </si>
  <si>
    <t>解码时短压缩路径最终保留的 Top-K 候选数量，取 Top-K 与已生成压缩条目数的较小值。</t>
  </si>
  <si>
    <t>长压缩候选数</t>
  </si>
  <si>
    <t>解码时长压缩路径按长压缩比例生成的候选条目数量。</t>
  </si>
  <si>
    <t>Indexer 扫描候选数</t>
  </si>
  <si>
    <t>解码时 ratio-4 Indexer 需要扫描的压缩条目数量，用于估算索引器评分计算量。</t>
  </si>
  <si>
    <t>Decode effective main KV</t>
  </si>
  <si>
    <t>解码阶段的主注意力 KV。</t>
  </si>
  <si>
    <t>Decode effective Indexer KV</t>
  </si>
  <si>
    <t>解码阶段已生成的 ratio-4 Indexer KV。</t>
  </si>
  <si>
    <t>Decode compressor states</t>
  </si>
  <si>
    <t>解码阶段的 Compressor 与 Indexer 状态。</t>
  </si>
  <si>
    <t>Decode preallocated KV + states</t>
  </si>
  <si>
    <t>按 MaxContext 为解码阶段预分配；不与有效容量相加。</t>
  </si>
  <si>
    <t>Inference-Path Data Types (dtype) Overview</t>
  </si>
  <si>
    <t>集中记录各算子模块的参数存储、激活类型和逐层注意力/路由模式。</t>
  </si>
  <si>
    <t>Data types (dtype): module-level storage and compute types</t>
  </si>
  <si>
    <t>Scope</t>
  </si>
  <si>
    <t>Module/tensor</t>
  </si>
  <si>
    <t>Checkpoint/parameter storage</t>
  </si>
  <si>
    <t>Activation/intermediate computation</t>
  </si>
  <si>
    <t>Notes</t>
  </si>
  <si>
    <t>Global config</t>
  </si>
  <si>
    <t>torch_dtype / main activations</t>
  </si>
  <si>
    <t>config.json 的 torch_dtype=bfloat16；隐藏状态与残差主路径使用 BF16。</t>
  </si>
  <si>
    <t>Standard quantized linear layers</t>
  </si>
  <si>
    <t>FP8 E4M3 + FP8 E8M0 scale factors</t>
  </si>
  <si>
    <t>Dynamic FP8 activation quantization</t>
  </si>
  <si>
    <t>quantization_config：quant_method=fp8，fmt=e4m3，scale_fmt=ue8m0。</t>
  </si>
  <si>
    <t>All layers 0-42</t>
  </si>
  <si>
    <t>Main attention projections wq_a/wq_b/wkv/wo_b</t>
  </si>
  <si>
    <t>FP8 GEMM; BF16 input dynamically quantized</t>
  </si>
  <si>
    <t>大多数注意力线性权重。</t>
  </si>
  <si>
    <t>Attention output projection wo_a</t>
  </si>
  <si>
    <t>BF16 tensor product (einsum)</t>
  </si>
  <si>
    <t>检查点中为 FP8，转换后在推理实现中按 BF16 使用。</t>
  </si>
  <si>
    <t>RMSNorm weights and normalization</t>
  </si>
  <si>
    <t>BF16 weights; FP32 implementation parameters</t>
  </si>
  <si>
    <t>FP32 compute, output cast to BF16</t>
  </si>
  <si>
    <t>Norm 计算先转 FP32 以提高稳定性。</t>
  </si>
  <si>
    <t>Ratio-4 / ratio-128 layers</t>
  </si>
  <si>
    <t>Main Compressor wkv/wgate/ape</t>
  </si>
  <si>
    <t>Checkpoint mainly BF16; FP32 implementation parameters</t>
  </si>
  <si>
    <t>FP32 compression/softmax</t>
  </si>
  <si>
    <t>Compressor 参数在推理实现中提升到 FP32。</t>
  </si>
  <si>
    <t>Ratio-4 layers</t>
  </si>
  <si>
    <t>Indexer projections and scoring</t>
  </si>
  <si>
    <t>wq_b FP8; weights_proj BF16</t>
  </si>
  <si>
    <t>QAT/FP4 simulated QKV; FP32 scoring</t>
  </si>
  <si>
    <t>仅 ratio-4 层启用 Indexer。</t>
  </si>
  <si>
    <t>Routed experts w1/w2/w3</t>
  </si>
  <si>
    <t>FP4 E2M1 packed + FP8 E8M0 scale factors</t>
  </si>
  <si>
    <t>FP4 GEMM; SwiGLU FP32; output cast to BF16</t>
  </si>
  <si>
    <t>专家数据类型为 fp4；每个令牌激活 6 个路由专家。</t>
  </si>
  <si>
    <t>Shared experts w1/w2/w3</t>
  </si>
  <si>
    <t>FP8 GEMM; SwiGLU FP32</t>
  </si>
  <si>
    <t>每层 1 个共享专家，跨 TP Rank 复制。</t>
  </si>
  <si>
    <t>Router scores/routing weights</t>
  </si>
  <si>
    <t>FP32 bias; INT32 hash table</t>
  </si>
  <si>
    <t>sqrt(softplus) 评分、Top-K 和归一化在 FP32 中完成。</t>
  </si>
  <si>
    <t>Layers 0-2</t>
  </si>
  <si>
    <t>Hash routing table</t>
  </si>
  <si>
    <t>INT32</t>
  </si>
  <si>
    <t>INT32 indexing</t>
  </si>
  <si>
    <t>前 3 层使用令牌编号到专家编号的预计算路由。</t>
  </si>
  <si>
    <t>mHC parameters / attention sinks</t>
  </si>
  <si>
    <t>HC 混合、Sinkhorn 与 Sink 参数使用 FP32。</t>
  </si>
  <si>
    <t>KV cache</t>
  </si>
  <si>
    <t>BF16; partial non-RoPE dimensions simulated with FP8</t>
  </si>
  <si>
    <t>当前推理实现中的 KV 缓存为 BF16。</t>
  </si>
  <si>
    <t>Model tail</t>
  </si>
  <si>
    <t>Final normalization / HC head</t>
  </si>
  <si>
    <t>FP32 inference parameters</t>
  </si>
  <si>
    <t>最终 HC 归约与 RMSNorm。</t>
  </si>
  <si>
    <t>LM head / Logits</t>
  </si>
  <si>
    <t>Checkpoint BF16; FP32 implementation parameters</t>
  </si>
  <si>
    <t>FP32 linear layer and Logits</t>
  </si>
  <si>
    <t>词表并行；Logits 以 FP32 计算。</t>
  </si>
  <si>
    <t>43-layer dtype, attention, and routing modes</t>
  </si>
  <si>
    <t>Layer ID</t>
  </si>
  <si>
    <t>Attention mode</t>
  </si>
  <si>
    <t>Compression ratio</t>
  </si>
  <si>
    <t>Routing mode</t>
  </si>
  <si>
    <t>Hidden state / residual</t>
  </si>
  <si>
    <t>Main attention projections</t>
  </si>
  <si>
    <t>Normalization / HC / Router computation</t>
  </si>
  <si>
    <t>Window</t>
  </si>
  <si>
    <t>Hash routing (INT32)</t>
  </si>
  <si>
    <t>FP8 E4M3; wo_a BF16</t>
  </si>
  <si>
    <t>FP4 E2M1</t>
  </si>
  <si>
    <t>FP8 E4M3</t>
  </si>
  <si>
    <t>Short-compression sparse</t>
  </si>
  <si>
    <t>Long-compression</t>
  </si>
  <si>
    <t>Score routing (FP32)</t>
  </si>
  <si>
    <t>TP1 / TP8 Inference Resource Comparison Charts</t>
  </si>
  <si>
    <t>计算量、HBM、参数、缓存与驻留容量集中在一张资源表；隐藏列保留公式原值和图表缩放源。</t>
  </si>
  <si>
    <t>Resource</t>
  </si>
  <si>
    <t>Prefill TP1</t>
  </si>
  <si>
    <t>Prefill TP8/rank</t>
  </si>
  <si>
    <t>Decode TP1</t>
  </si>
  <si>
    <t>Decode TP8/rank</t>
  </si>
  <si>
    <t>Attention FLOPs</t>
  </si>
  <si>
    <t>单次预填充或解码步骤的每 Rank 逻辑 FLOPs。</t>
  </si>
  <si>
    <t>MoE FLOPs</t>
  </si>
  <si>
    <t>其他推理 FLOPs</t>
  </si>
  <si>
    <t>总推理 FLOPs</t>
  </si>
  <si>
    <t>注意力 HBM 流量</t>
  </si>
  <si>
    <t>本地逻辑 HBM 读写量，不含缓存复用和算子融合。</t>
  </si>
  <si>
    <t>混合专家 HBM 流量</t>
  </si>
  <si>
    <t>其他 HBM 流量</t>
  </si>
  <si>
    <t>总 HBM 流量</t>
  </si>
  <si>
    <t>Attention required HBM bandwidth</t>
  </si>
  <si>
    <t>按参数页中的目标时延换算；不是实测带宽。</t>
  </si>
  <si>
    <t>MoE required HBM bandwidth</t>
  </si>
  <si>
    <t>Other required HBM bandwidth</t>
  </si>
  <si>
    <t>Compute required at target latency</t>
  </si>
  <si>
    <t>按目标时延折算的每 Rank 最低计算吞吐需求。</t>
  </si>
  <si>
    <t>卡间互连传输量</t>
  </si>
  <si>
    <t>Ring 集合通信每 Rank 发送加接收；TP1 为 0。</t>
  </si>
  <si>
    <t>Required interconnect bandwidth</t>
  </si>
  <si>
    <t>未考虑通信与计算重叠、拓扑和协议效率。</t>
  </si>
  <si>
    <t>Attention logical parameter count</t>
  </si>
  <si>
    <t>注意力投影、Compressor、Indexer。</t>
  </si>
  <si>
    <t>MoE logical parameter count</t>
  </si>
  <si>
    <t>路由/共享专家与 Router。</t>
  </si>
  <si>
    <t>Other logical parameter count</t>
  </si>
  <si>
    <t>Embedding、LM Head、HC 与 Norm。</t>
  </si>
  <si>
    <t>Total logical parameter count</t>
  </si>
  <si>
    <t>不包含 MTP。</t>
  </si>
  <si>
    <t>Attention parameter capacity</t>
  </si>
  <si>
    <t>按推理 dtype 与量化 Scale 计算。</t>
  </si>
  <si>
    <t>MoE parameter capacity</t>
  </si>
  <si>
    <t>路由专家 FP4、共享专家 FP8、Router 复制。</t>
  </si>
  <si>
    <t>Other parameter capacity</t>
  </si>
  <si>
    <t>Total parameter capacity</t>
  </si>
  <si>
    <t>每 Rank 静态参数驻留。</t>
  </si>
  <si>
    <t>Effective main KV cache</t>
  </si>
  <si>
    <t>KV 与 Compressor 状态在当前实现中每个 TP Rank 复制。</t>
  </si>
  <si>
    <t>Effective Indexer KV cache</t>
  </si>
  <si>
    <t>Compressor 状态</t>
  </si>
  <si>
    <t>Preallocated KV + state</t>
  </si>
  <si>
    <t>Total resident capacity</t>
  </si>
  <si>
    <t>参数 + 按 MaxContext 预分配的 KV/状态；不含临时工作区。</t>
  </si>
  <si>
    <t>一次推理所需计算量</t>
  </si>
  <si>
    <t>单次推理调用的单 Rank 总 FLOPs；不除以目标时延。</t>
  </si>
  <si>
    <t>One-inference TFLOPs</t>
  </si>
  <si>
    <t>Prefill TP8</t>
  </si>
  <si>
    <t>Decode TP8</t>
  </si>
  <si>
    <t>TP1 TFLOPs</t>
  </si>
  <si>
    <t>TP8 TFLOPs</t>
  </si>
  <si>
    <t>Other</t>
  </si>
  <si>
    <t>TP1 GFLOPs</t>
  </si>
  <si>
    <t>TP8 GFLOPs</t>
  </si>
  <si>
    <t>TP1 GB</t>
  </si>
  <si>
    <t>TP8 GB</t>
  </si>
  <si>
    <t>Prefill</t>
  </si>
  <si>
    <t>Decode</t>
  </si>
  <si>
    <t>Per-Rank Inference Hardware Resource Summary</t>
  </si>
  <si>
    <t>TP1 与 TP8 分区独立展示；所有值均为单个 Rank，不进行跨 Rank 或跨 TP 求和。</t>
  </si>
  <si>
    <t>TP1 (configured size=1) per-rank resources</t>
  </si>
  <si>
    <t>Prefill/rank</t>
  </si>
  <si>
    <t>Decode/rank</t>
  </si>
  <si>
    <t>单次推理调用的单 Rank 计算量。</t>
  </si>
  <si>
    <t>本地逻辑 HBM 读写量，不含缓存复用。</t>
  </si>
  <si>
    <t>按参数页中的目标时延换算。</t>
  </si>
  <si>
    <t>单次推理调用的单 Rank 总 FLOPs；不除以目标时延，延迟由芯片峰值算力另行估算。</t>
  </si>
  <si>
    <t>Ring 集合通信单 Rank 发送加接收；TP1 为 0。</t>
  </si>
  <si>
    <t>投影、Compressor、Indexer。</t>
  </si>
  <si>
    <t>Embedding、LM Head、HC、Norm。</t>
  </si>
  <si>
    <t>不含 MTP。</t>
  </si>
  <si>
    <t>按推理 dtype 与 Scale 计算。</t>
  </si>
  <si>
    <t>路由专家 FP4，共享专家 FP8。</t>
  </si>
  <si>
    <t>单 Rank 静态参数驻留。</t>
  </si>
  <si>
    <t>KV/状态在当前实现中每个 TP Rank 复制。</t>
  </si>
  <si>
    <t>参数 + 预分配 KV/状态；不含临时工作区。</t>
  </si>
  <si>
    <t>TP8 (configured size=8) per-rank resources</t>
  </si>
  <si>
    <t>Per-Layer Attention and Routing Configuration</t>
  </si>
  <si>
    <t>可编辑启用状态和模式；压缩比例与路由行为会自动更新。</t>
  </si>
  <si>
    <t>Active</t>
  </si>
  <si>
    <t>Mode</t>
  </si>
  <si>
    <t>Attention behavior</t>
  </si>
  <si>
    <t>Routing behavior</t>
  </si>
  <si>
    <t>window</t>
  </si>
  <si>
    <t>short</t>
  </si>
  <si>
    <t>long</t>
  </si>
  <si>
    <t>Methodology and Limits</t>
  </si>
  <si>
    <t>Topic</t>
  </si>
  <si>
    <t>Definition</t>
  </si>
  <si>
    <t>仅统计 43 层主推理路径；不含 MTP、反向传播、梯度、优化器状态和训练激活。Layer_Config 最多可维护 64 层。</t>
  </si>
  <si>
    <t>FLOPs</t>
  </si>
  <si>
    <t>矩阵乘加按 2 FLOPs 计。注意力与 MoE 主要 GEMM 使用显式公式；HC 与逐元素运算为近似估计。</t>
  </si>
  <si>
    <t>Prefill attention</t>
  </si>
  <si>
    <t>使用因果候选对数量，不直接使用 S×S；原始窗口、压缩 KV 和 Indexer 扫描分别统计。</t>
  </si>
  <si>
    <t>Decode attention</t>
  </si>
  <si>
    <t>每个解码令牌在解码上下文长度下建模；ratio-4 主注意力取 Top-K，但 Indexer 需要扫描全部已完成压缩项。</t>
  </si>
  <si>
    <t>每个令牌执行 Top-K 路由专家和共享专家。HBM 参数读取按专家至少被命中一次的概率估计。</t>
  </si>
  <si>
    <t>HBM traffic</t>
  </si>
  <si>
    <t>统计本地逻辑参数、激活和 KV 的读取与写入；不模拟 L2 命中、算子融合、分块、Allocator 或厂商 Kernel 内部复用。</t>
  </si>
  <si>
    <t>Memory</t>
  </si>
  <si>
    <t>按推理运行 dtype 估算：路由专家 FP4、多数投影 FP8、Wo_a BF16、Compressor FP32、LM Head FP32，并计入量化 Scale。</t>
  </si>
  <si>
    <t>Scenario tables</t>
  </si>
  <si>
    <t>Prefill_8K 和 Decode_1M 各含两张表：整网资源汇总与典型层/模块明细；两张表共享 TP1/TP8 的容量、算力、集合通信数据量、参数类型和激活类型列；HBM 读写量保留在隐藏审计列。</t>
  </si>
  <si>
    <t>Resource categories</t>
  </si>
  <si>
    <t>汇总分类为 Attention、MoE、Embedding、LM Head、Norm、HC、residual；residual 是 BF16/HC state 工作区，不重复计入驻留容量或 HBM 流量。</t>
  </si>
  <si>
    <t>有效容量表示已填充项；预分配容量使用 MaxContext。当前实现的 KV 和 Compressor 状态在每个 TP Rank 上完整复制。</t>
  </si>
  <si>
    <t>TP</t>
  </si>
  <si>
    <t>Wq_a、Wkv、Compressor、Router、HC、共享专家复制；Q/O 部分投影、路由专家、Embedding 和 LM Head 按 TP 分片。</t>
  </si>
  <si>
    <t>Communication</t>
  </si>
  <si>
    <t>Ring 公式给出每 Rank 发送加接收的数据量。TP1 为 0；该数值是传输量，不是实测 GB/s 或时延。</t>
  </si>
  <si>
    <t>Roofline</t>
  </si>
  <si>
    <t>计算/HBM/互连下界使用参数页中的可编辑硬件峰值并假设互不重叠；真实运行时间必须通过性能分析验证。</t>
  </si>
  <si>
    <t>Units</t>
  </si>
  <si>
    <t>FLOPs 使用 M/G/T/P 十进制单位；容量与流量使用 KB/MB/GB/TB，1 GB=10^9 字节；场景页容量明细保留原始公式。</t>
  </si>
  <si>
    <t>Formula maintenance</t>
  </si>
  <si>
    <t>蓝色单元格为输入；结果由 Excel 公式计算并在打开时完整重算。隐藏列保留原始未缩放值，便于审计。</t>
  </si>
</sst>
</file>

<file path=xl/styles.xml><?xml version="1.0" encoding="utf-8"?>
<styleSheet xmlns="http://schemas.openxmlformats.org/spreadsheetml/2006/main">
  <numFmts count="27">
    <numFmt numFmtId="164" formatCode="0.######## &quot;Rank&quot;"/>
    <numFmt numFmtId="165" formatCode="0.######## &quot;序列&quot;"/>
    <numFmt numFmtId="166" formatCode="0.######## &quot;令牌&quot;"/>
    <numFmt numFmtId="167" formatCode="0.######## &quot;元素&quot;"/>
    <numFmt numFmtId="168" formatCode="0.######## &quot;头&quot;"/>
    <numFmt numFmtId="169" formatCode="0.######## &quot;组&quot;"/>
    <numFmt numFmtId="170" formatCode="0.######## &quot;专家&quot;"/>
    <numFmt numFmtId="171" formatCode="0.######## &quot;专家/令牌&quot;"/>
    <numFmt numFmtId="172" formatCode="0.######## &quot;令牌/条目&quot;"/>
    <numFmt numFmtId="173" formatCode="0.######## &quot;条目&quot;"/>
    <numFmt numFmtId="174" formatCode="0.######## &quot;流&quot;"/>
    <numFmt numFmtId="175" formatCode="0.######## &quot;迭代&quot;"/>
    <numFmt numFmtId="176" formatCode="0.######## &quot;层&quot;"/>
    <numFmt numFmtId="177" formatCode="0.######## &quot;字节&quot;"/>
    <numFmt numFmtId="178" formatCode="0.######## &quot;TFLOP/s&quot;"/>
    <numFmt numFmtId="179" formatCode="0.######## &quot;GB/s&quot;"/>
    <numFmt numFmtId="180" formatCode="0.######## &quot;ms&quot;"/>
    <numFmt numFmtId="181" formatCode="0.######## &quot;头/Rank&quot;"/>
    <numFmt numFmtId="182" formatCode="0.######## &quot;专家/Rank&quot;"/>
    <numFmt numFmtId="183" formatCode="0.######## &quot;组/Rank&quot;"/>
    <numFmt numFmtId="184" formatCode="0.######## &quot;令牌/Rank&quot;"/>
    <numFmt numFmtId="185" formatCode="0.######## &quot;令牌行&quot;"/>
    <numFmt numFmtId="186" formatCode="0.######## &quot;对数/序列&quot;"/>
    <numFmt numFmtId="187" formatCode="0.######## &quot;概率&quot;"/>
    <numFmt numFmtId="188" formatCode="#,##0.000"/>
    <numFmt numFmtId="189" formatCode="#,##0"/>
    <numFmt numFmtId="190" formatCode="0.########"/>
  </numFmts>
  <fonts count="5">
    <font>
      <sz val="11"/>
      <color theme="1"/>
      <name val="Calibri"/>
      <family val="2"/>
      <scheme val="minor"/>
    </font>
    <font>
      <b/>
      <sz val="18"/>
      <color rgb="FF17324D"/>
      <name val="Calibri"/>
      <family val="2"/>
      <scheme val="minor"/>
    </font>
    <font>
      <i/>
      <sz val="11"/>
      <color rgb="FF5555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34495E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21618C"/>
        <bgColor indexed="64"/>
      </patternFill>
    </fill>
    <fill>
      <patternFill patternType="solid">
        <fgColor rgb="FFD6EAF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164" fontId="0" fillId="3" borderId="1" xfId="0" applyNumberFormat="1" applyFill="1" applyBorder="1"/>
    <xf numFmtId="165" fontId="0" fillId="3" borderId="1" xfId="0" applyNumberFormat="1" applyFill="1" applyBorder="1"/>
    <xf numFmtId="166" fontId="0" fillId="3" borderId="1" xfId="0" applyNumberFormat="1" applyFill="1" applyBorder="1"/>
    <xf numFmtId="167" fontId="0" fillId="3" borderId="1" xfId="0" applyNumberFormat="1" applyFill="1" applyBorder="1"/>
    <xf numFmtId="168" fontId="0" fillId="3" borderId="1" xfId="0" applyNumberFormat="1" applyFill="1" applyBorder="1"/>
    <xf numFmtId="169" fontId="0" fillId="3" borderId="1" xfId="0" applyNumberFormat="1" applyFill="1" applyBorder="1"/>
    <xf numFmtId="170" fontId="0" fillId="3" borderId="1" xfId="0" applyNumberFormat="1" applyFill="1" applyBorder="1"/>
    <xf numFmtId="171" fontId="0" fillId="3" borderId="1" xfId="0" applyNumberFormat="1" applyFill="1" applyBorder="1"/>
    <xf numFmtId="172" fontId="0" fillId="3" borderId="1" xfId="0" applyNumberFormat="1" applyFill="1" applyBorder="1"/>
    <xf numFmtId="173" fontId="0" fillId="3" borderId="1" xfId="0" applyNumberFormat="1" applyFill="1" applyBorder="1"/>
    <xf numFmtId="174" fontId="0" fillId="3" borderId="1" xfId="0" applyNumberFormat="1" applyFill="1" applyBorder="1"/>
    <xf numFmtId="175" fontId="0" fillId="3" borderId="1" xfId="0" applyNumberFormat="1" applyFill="1" applyBorder="1"/>
    <xf numFmtId="176" fontId="0" fillId="3" borderId="1" xfId="0" applyNumberFormat="1" applyFill="1" applyBorder="1"/>
    <xf numFmtId="177" fontId="0" fillId="3" borderId="1" xfId="0" applyNumberFormat="1" applyFill="1" applyBorder="1"/>
    <xf numFmtId="178" fontId="0" fillId="3" borderId="1" xfId="0" applyNumberFormat="1" applyFill="1" applyBorder="1"/>
    <xf numFmtId="179" fontId="0" fillId="3" borderId="1" xfId="0" applyNumberFormat="1" applyFill="1" applyBorder="1"/>
    <xf numFmtId="180" fontId="0" fillId="3" borderId="1" xfId="0" applyNumberFormat="1" applyFill="1" applyBorder="1"/>
    <xf numFmtId="176" fontId="0" fillId="4" borderId="1" xfId="0" applyNumberFormat="1" applyFill="1" applyBorder="1"/>
    <xf numFmtId="181" fontId="0" fillId="4" borderId="1" xfId="0" applyNumberFormat="1" applyFill="1" applyBorder="1"/>
    <xf numFmtId="182" fontId="0" fillId="4" borderId="1" xfId="0" applyNumberFormat="1" applyFill="1" applyBorder="1"/>
    <xf numFmtId="183" fontId="0" fillId="4" borderId="1" xfId="0" applyNumberFormat="1" applyFill="1" applyBorder="1"/>
    <xf numFmtId="184" fontId="0" fillId="4" borderId="1" xfId="0" applyNumberFormat="1" applyFill="1" applyBorder="1"/>
    <xf numFmtId="185" fontId="0" fillId="4" borderId="1" xfId="0" applyNumberFormat="1" applyFill="1" applyBorder="1"/>
    <xf numFmtId="186" fontId="0" fillId="4" borderId="1" xfId="0" applyNumberFormat="1" applyFill="1" applyBorder="1"/>
    <xf numFmtId="187" fontId="0" fillId="4" borderId="1" xfId="0" applyNumberFormat="1" applyFill="1" applyBorder="1"/>
    <xf numFmtId="0" fontId="3" fillId="5" borderId="1" xfId="0" applyFont="1" applyFill="1" applyBorder="1"/>
    <xf numFmtId="188" fontId="4" fillId="6" borderId="1" xfId="0" applyNumberFormat="1" applyFont="1" applyFill="1" applyBorder="1"/>
    <xf numFmtId="188" fontId="0" fillId="0" borderId="1" xfId="0" applyNumberFormat="1" applyBorder="1"/>
    <xf numFmtId="188" fontId="0" fillId="0" borderId="1" xfId="0" applyNumberFormat="1" applyBorder="1" applyAlignment="1">
      <alignment horizontal="right"/>
    </xf>
    <xf numFmtId="189" fontId="0" fillId="0" borderId="1" xfId="0" applyNumberFormat="1" applyBorder="1"/>
    <xf numFmtId="190" fontId="0" fillId="3" borderId="1" xfId="0" applyNumberFormat="1" applyFill="1" applyBorder="1"/>
    <xf numFmtId="190" fontId="0" fillId="4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Total compute per inference / rank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One-inference TFLOPs</c:v>
          </c:tx>
          <c:dLbls>
            <c:numFmt formatCode="0.0&quot; TFLOPs&quot;" sourceLinked="0"/>
            <c:showVal val="1"/>
          </c:dLbls>
          <c:cat>
            <c:strRef>
              <c:f>Comparison!$S$36:$S$39</c:f>
              <c:strCache>
                <c:ptCount val="4"/>
                <c:pt idx="0">
                  <c:v>Prefill TP1</c:v>
                </c:pt>
                <c:pt idx="1">
                  <c:v>Prefill TP8</c:v>
                </c:pt>
                <c:pt idx="2">
                  <c:v>Decode TP1</c:v>
                </c:pt>
                <c:pt idx="3">
                  <c:v>Decode TP8</c:v>
                </c:pt>
              </c:strCache>
            </c:strRef>
          </c:cat>
          <c:val>
            <c:numRef>
              <c:f>Comparison!$T$36:$T$39</c:f>
              <c:numCache>
                <c:formatCode>General</c:formatCode>
                <c:ptCount val="4"/>
                <c:pt idx="0">
                  <c:v>228.39768211456</c:v>
                </c:pt>
                <c:pt idx="1">
                  <c:v>55.652568907776</c:v>
                </c:pt>
                <c:pt idx="2">
                  <c:v>0.14035575211</c:v>
                </c:pt>
                <c:pt idx="3">
                  <c:v>0.023549694126</c:v>
                </c:pt>
              </c:numCache>
            </c:numRef>
          </c:val>
        </c:ser>
        <c:gapWidth val="30"/>
        <c:axId val="50010001"/>
        <c:axId val="50010002"/>
      </c:barChart>
      <c:catAx>
        <c:axId val="50010001"/>
        <c:scaling>
          <c:orientation val="minMax"/>
        </c:scaling>
        <c:axPos val="b"/>
        <c:tickLblPos val="low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TFLOPs</a:t>
                </a:r>
              </a:p>
            </c:rich>
          </c:tx>
          <c:layout/>
        </c:title>
        <c:numFmt formatCode="0.0&quot; TFLOPs&quot;" sourceLinked="0"/>
        <c:tickLblPos val="nextTo"/>
        <c:crossAx val="50010001"/>
        <c:crosses val="autoZero"/>
        <c:crossBetween val="between"/>
      </c:valAx>
    </c:plotArea>
    <c:legend>
      <c:legendPos val="b"/>
      <c:layout/>
    </c:legend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Prefill compute per rank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TP1 TFLOPs</c:v>
          </c:tx>
          <c:dLbls>
            <c:numFmt formatCode="0.0&quot; TFLOPs&quot;" sourceLinked="0"/>
            <c:showVal val="1"/>
          </c:dLbls>
          <c:cat>
            <c:strRef>
              <c:f>Comparison!$S$43:$S$45</c:f>
              <c:strCache>
                <c:ptCount val="3"/>
                <c:pt idx="0">
                  <c:v>Attention</c:v>
                </c:pt>
                <c:pt idx="1">
                  <c:v>MoE</c:v>
                </c:pt>
                <c:pt idx="2">
                  <c:v>Other</c:v>
                </c:pt>
              </c:strCache>
            </c:strRef>
          </c:cat>
          <c:val>
            <c:numRef>
              <c:f>Comparison!$T$43:$T$45</c:f>
              <c:numCache>
                <c:formatCode>General</c:formatCode>
                <c:ptCount val="3"/>
                <c:pt idx="0">
                  <c:v>102.836037746688</c:v>
                </c:pt>
                <c:pt idx="1">
                  <c:v>124.846109360128</c:v>
                </c:pt>
                <c:pt idx="2">
                  <c:v>0.715535007744</c:v>
                </c:pt>
              </c:numCache>
            </c:numRef>
          </c:val>
        </c:ser>
        <c:ser>
          <c:idx val="1"/>
          <c:order val="1"/>
          <c:tx>
            <c:v>TP8 TFLOPs</c:v>
          </c:tx>
          <c:dLbls>
            <c:numFmt formatCode="0.0&quot; TFLOPs&quot;" sourceLinked="0"/>
            <c:showVal val="1"/>
          </c:dLbls>
          <c:cat>
            <c:strRef>
              <c:f>Comparison!$S$43:$S$45</c:f>
              <c:strCache>
                <c:ptCount val="3"/>
                <c:pt idx="0">
                  <c:v>Attention</c:v>
                </c:pt>
                <c:pt idx="1">
                  <c:v>MoE</c:v>
                </c:pt>
                <c:pt idx="2">
                  <c:v>Other</c:v>
                </c:pt>
              </c:strCache>
            </c:strRef>
          </c:cat>
          <c:val>
            <c:numRef>
              <c:f>Comparison!$U$43:$U$45</c:f>
              <c:numCache>
                <c:formatCode>General</c:formatCode>
                <c:ptCount val="3"/>
                <c:pt idx="0">
                  <c:v>23.172382457856</c:v>
                </c:pt>
                <c:pt idx="1">
                  <c:v>31.765578121216</c:v>
                </c:pt>
                <c:pt idx="2">
                  <c:v>0.714608328704</c:v>
                </c:pt>
              </c:numCache>
            </c:numRef>
          </c:val>
        </c:ser>
        <c:gapWidth val="30"/>
        <c:axId val="50020001"/>
        <c:axId val="50020002"/>
      </c:barChart>
      <c:catAx>
        <c:axId val="50020001"/>
        <c:scaling>
          <c:orientation val="minMax"/>
        </c:scaling>
        <c:axPos val="b"/>
        <c:tickLblPos val="low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TFLOPs</a:t>
                </a:r>
              </a:p>
            </c:rich>
          </c:tx>
          <c:layout/>
        </c:title>
        <c:numFmt formatCode="0.0&quot; TFLOPs&quot;" sourceLinked="0"/>
        <c:tickLblPos val="nextTo"/>
        <c:crossAx val="50020001"/>
        <c:crosses val="autoZero"/>
        <c:crossBetween val="between"/>
      </c:valAx>
    </c:plotArea>
    <c:legend>
      <c:legendPos val="b"/>
      <c:layout/>
    </c:legend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Decode compute per rank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TP1 GFLOPs</c:v>
          </c:tx>
          <c:dLbls>
            <c:numFmt formatCode="0.0&quot; GFLOPs&quot;" sourceLinked="0"/>
            <c:showVal val="1"/>
          </c:dLbls>
          <c:cat>
            <c:strRef>
              <c:f>Comparison!$S$50:$S$52</c:f>
              <c:strCache>
                <c:ptCount val="3"/>
                <c:pt idx="0">
                  <c:v>Attention</c:v>
                </c:pt>
                <c:pt idx="1">
                  <c:v>MoE</c:v>
                </c:pt>
                <c:pt idx="2">
                  <c:v>Other</c:v>
                </c:pt>
              </c:strCache>
            </c:strRef>
          </c:cat>
          <c:val>
            <c:numRef>
              <c:f>Comparison!$T$50:$T$52</c:f>
              <c:numCache>
                <c:formatCode>General</c:formatCode>
                <c:ptCount val="3"/>
                <c:pt idx="0">
                  <c:v>123.969470464</c:v>
                </c:pt>
                <c:pt idx="1">
                  <c:v>15.240003584</c:v>
                </c:pt>
                <c:pt idx="2">
                  <c:v>1.146278062</c:v>
                </c:pt>
              </c:numCache>
            </c:numRef>
          </c:val>
        </c:ser>
        <c:ser>
          <c:idx val="1"/>
          <c:order val="1"/>
          <c:tx>
            <c:v>TP8 GFLOPs</c:v>
          </c:tx>
          <c:dLbls>
            <c:numFmt formatCode="0.0&quot; GFLOPs&quot;" sourceLinked="0"/>
            <c:showVal val="1"/>
          </c:dLbls>
          <c:cat>
            <c:strRef>
              <c:f>Comparison!$S$50:$S$52</c:f>
              <c:strCache>
                <c:ptCount val="3"/>
                <c:pt idx="0">
                  <c:v>Attention</c:v>
                </c:pt>
                <c:pt idx="1">
                  <c:v>MoE</c:v>
                </c:pt>
                <c:pt idx="2">
                  <c:v>Other</c:v>
                </c:pt>
              </c:strCache>
            </c:strRef>
          </c:cat>
          <c:val>
            <c:numRef>
              <c:f>Comparison!$U$50:$U$52</c:f>
              <c:numCache>
                <c:formatCode>General</c:formatCode>
                <c:ptCount val="3"/>
                <c:pt idx="0">
                  <c:v>19.452461056</c:v>
                </c:pt>
                <c:pt idx="1">
                  <c:v>3.877634048</c:v>
                </c:pt>
                <c:pt idx="2">
                  <c:v>0.219599022</c:v>
                </c:pt>
              </c:numCache>
            </c:numRef>
          </c:val>
        </c:ser>
        <c:gapWidth val="30"/>
        <c:axId val="50030001"/>
        <c:axId val="50030002"/>
      </c:barChart>
      <c:catAx>
        <c:axId val="50030001"/>
        <c:scaling>
          <c:orientation val="minMax"/>
        </c:scaling>
        <c:axPos val="b"/>
        <c:tickLblPos val="low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GFLOPs</a:t>
                </a:r>
              </a:p>
            </c:rich>
          </c:tx>
          <c:layout/>
        </c:title>
        <c:numFmt formatCode="0.0&quot; GFLOPs&quot;" sourceLinked="0"/>
        <c:tickLblPos val="nextTo"/>
        <c:crossAx val="50030001"/>
        <c:crosses val="autoZero"/>
        <c:crossBetween val="between"/>
      </c:valAx>
    </c:plotArea>
    <c:legend>
      <c:legendPos val="b"/>
      <c:layout/>
    </c:legend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Prefill HBM traffic per rank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TP1 GB</c:v>
          </c:tx>
          <c:dLbls>
            <c:numFmt formatCode="0.0&quot; GB&quot;" sourceLinked="0"/>
            <c:showVal val="1"/>
          </c:dLbls>
          <c:cat>
            <c:strRef>
              <c:f>Comparison!$S$57:$S$59</c:f>
              <c:strCache>
                <c:ptCount val="3"/>
                <c:pt idx="0">
                  <c:v>Attention</c:v>
                </c:pt>
                <c:pt idx="1">
                  <c:v>MoE</c:v>
                </c:pt>
                <c:pt idx="2">
                  <c:v>Other</c:v>
                </c:pt>
              </c:strCache>
            </c:strRef>
          </c:cat>
          <c:val>
            <c:numRef>
              <c:f>Comparison!$T$57:$T$59</c:f>
              <c:numCache>
                <c:formatCode>General</c:formatCode>
                <c:ptCount val="3"/>
                <c:pt idx="0">
                  <c:v>358.0378144</c:v>
                </c:pt>
                <c:pt idx="1">
                  <c:v>191.988670976</c:v>
                </c:pt>
                <c:pt idx="2">
                  <c:v>106.744396636</c:v>
                </c:pt>
              </c:numCache>
            </c:numRef>
          </c:val>
        </c:ser>
        <c:ser>
          <c:idx val="1"/>
          <c:order val="1"/>
          <c:tx>
            <c:v>TP8 GB</c:v>
          </c:tx>
          <c:dLbls>
            <c:numFmt formatCode="0.0&quot; GB&quot;" sourceLinked="0"/>
            <c:showVal val="1"/>
          </c:dLbls>
          <c:cat>
            <c:strRef>
              <c:f>Comparison!$S$57:$S$59</c:f>
              <c:strCache>
                <c:ptCount val="3"/>
                <c:pt idx="0">
                  <c:v>Attention</c:v>
                </c:pt>
                <c:pt idx="1">
                  <c:v>MoE</c:v>
                </c:pt>
                <c:pt idx="2">
                  <c:v>Other</c:v>
                </c:pt>
              </c:strCache>
            </c:strRef>
          </c:cat>
          <c:val>
            <c:numRef>
              <c:f>Comparison!$U$57:$U$59</c:f>
              <c:numCache>
                <c:formatCode>General</c:formatCode>
                <c:ptCount val="3"/>
                <c:pt idx="0">
                  <c:v>231.531806144</c:v>
                </c:pt>
                <c:pt idx="1">
                  <c:v>32.915497472</c:v>
                </c:pt>
                <c:pt idx="2">
                  <c:v>104.890576444</c:v>
                </c:pt>
              </c:numCache>
            </c:numRef>
          </c:val>
        </c:ser>
        <c:gapWidth val="30"/>
        <c:axId val="50040001"/>
        <c:axId val="50040002"/>
      </c:barChart>
      <c:catAx>
        <c:axId val="50040001"/>
        <c:scaling>
          <c:orientation val="minMax"/>
        </c:scaling>
        <c:axPos val="b"/>
        <c:tickLblPos val="low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GB</a:t>
                </a:r>
              </a:p>
            </c:rich>
          </c:tx>
          <c:layout/>
        </c:title>
        <c:numFmt formatCode="0.0&quot; GB&quot;" sourceLinked="0"/>
        <c:tickLblPos val="nextTo"/>
        <c:crossAx val="50040001"/>
        <c:crosses val="autoZero"/>
        <c:crossBetween val="between"/>
      </c:valAx>
    </c:plotArea>
    <c:legend>
      <c:legendPos val="b"/>
      <c:layout/>
    </c:legend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Decode HBM traffic per rank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TP1 GB</c:v>
          </c:tx>
          <c:dLbls>
            <c:numFmt formatCode="0.0&quot; GB&quot;" sourceLinked="0"/>
            <c:showVal val="1"/>
          </c:dLbls>
          <c:cat>
            <c:strRef>
              <c:f>Comparison!$S$64:$S$66</c:f>
              <c:strCache>
                <c:ptCount val="3"/>
                <c:pt idx="0">
                  <c:v>Attention</c:v>
                </c:pt>
                <c:pt idx="1">
                  <c:v>MoE</c:v>
                </c:pt>
                <c:pt idx="2">
                  <c:v>Other</c:v>
                </c:pt>
              </c:strCache>
            </c:strRef>
          </c:cat>
          <c:val>
            <c:numRef>
              <c:f>Comparison!$T$64:$T$66</c:f>
              <c:numCache>
                <c:formatCode>General</c:formatCode>
                <c:ptCount val="3"/>
                <c:pt idx="0">
                  <c:v>10.492228352</c:v>
                </c:pt>
                <c:pt idx="1">
                  <c:v>4.627033672</c:v>
                </c:pt>
                <c:pt idx="2">
                  <c:v>2.268650332</c:v>
                </c:pt>
              </c:numCache>
            </c:numRef>
          </c:val>
        </c:ser>
        <c:ser>
          <c:idx val="1"/>
          <c:order val="1"/>
          <c:tx>
            <c:v>TP8 GB</c:v>
          </c:tx>
          <c:dLbls>
            <c:numFmt formatCode="0.0&quot; GB&quot;" sourceLinked="0"/>
            <c:showVal val="1"/>
          </c:dLbls>
          <c:cat>
            <c:strRef>
              <c:f>Comparison!$S$64:$S$66</c:f>
              <c:strCache>
                <c:ptCount val="3"/>
                <c:pt idx="0">
                  <c:v>Attention</c:v>
                </c:pt>
                <c:pt idx="1">
                  <c:v>MoE</c:v>
                </c:pt>
                <c:pt idx="2">
                  <c:v>Other</c:v>
                </c:pt>
              </c:strCache>
            </c:strRef>
          </c:cat>
          <c:val>
            <c:numRef>
              <c:f>Comparison!$U$64:$U$66</c:f>
              <c:numCache>
                <c:formatCode>General</c:formatCode>
                <c:ptCount val="3"/>
                <c:pt idx="0">
                  <c:v>4.035232528</c:v>
                </c:pt>
                <c:pt idx="1">
                  <c:v>1.605205576</c:v>
                </c:pt>
                <c:pt idx="2">
                  <c:v>0.41483014</c:v>
                </c:pt>
              </c:numCache>
            </c:numRef>
          </c:val>
        </c:ser>
        <c:gapWidth val="30"/>
        <c:axId val="50050001"/>
        <c:axId val="50050002"/>
      </c:barChart>
      <c:catAx>
        <c:axId val="50050001"/>
        <c:scaling>
          <c:orientation val="minMax"/>
        </c:scaling>
        <c:axPos val="b"/>
        <c:tickLblPos val="low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GB</a:t>
                </a:r>
              </a:p>
            </c:rich>
          </c:tx>
          <c:layout/>
        </c:title>
        <c:numFmt formatCode="0.0&quot; GB&quot;" sourceLinked="0"/>
        <c:tickLblPos val="nextTo"/>
        <c:crossAx val="50050001"/>
        <c:crosses val="autoZero"/>
        <c:crossBetween val="between"/>
      </c:valAx>
    </c:plotArea>
    <c:legend>
      <c:legendPos val="b"/>
      <c:layout/>
    </c:legend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Static parameter capacity per rank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TP1 GB</c:v>
          </c:tx>
          <c:dLbls>
            <c:numFmt formatCode="0.0&quot; GB&quot;" sourceLinked="0"/>
            <c:showVal val="1"/>
          </c:dLbls>
          <c:cat>
            <c:strRef>
              <c:f>Comparison!$S$71:$S$73</c:f>
              <c:strCache>
                <c:ptCount val="3"/>
                <c:pt idx="0">
                  <c:v>Attention</c:v>
                </c:pt>
                <c:pt idx="1">
                  <c:v>MoE</c:v>
                </c:pt>
                <c:pt idx="2">
                  <c:v>Other</c:v>
                </c:pt>
              </c:strCache>
            </c:strRef>
          </c:cat>
          <c:val>
            <c:numRef>
              <c:f>Comparison!$T$71:$T$73</c:f>
              <c:numCache>
                <c:formatCode>General</c:formatCode>
                <c:ptCount val="3"/>
                <c:pt idx="0">
                  <c:v>7.45138496</c:v>
                </c:pt>
                <c:pt idx="1">
                  <c:v>148.351461888</c:v>
                </c:pt>
                <c:pt idx="2">
                  <c:v>3.314423644</c:v>
                </c:pt>
              </c:numCache>
            </c:numRef>
          </c:val>
        </c:ser>
        <c:ser>
          <c:idx val="1"/>
          <c:order val="1"/>
          <c:tx>
            <c:v>TP8 GB</c:v>
          </c:tx>
          <c:dLbls>
            <c:numFmt formatCode="0.0&quot; GB&quot;" sourceLinked="0"/>
            <c:showVal val="1"/>
          </c:dLbls>
          <c:cat>
            <c:strRef>
              <c:f>Comparison!$S$71:$S$73</c:f>
              <c:strCache>
                <c:ptCount val="3"/>
                <c:pt idx="0">
                  <c:v>Attention</c:v>
                </c:pt>
                <c:pt idx="1">
                  <c:v>MoE</c:v>
                </c:pt>
                <c:pt idx="2">
                  <c:v>Other</c:v>
                </c:pt>
              </c:strCache>
            </c:strRef>
          </c:cat>
          <c:val>
            <c:numRef>
              <c:f>Comparison!$U$71:$U$73</c:f>
              <c:numCache>
                <c:formatCode>General</c:formatCode>
                <c:ptCount val="3"/>
                <c:pt idx="0">
                  <c:v>2.23750496</c:v>
                </c:pt>
                <c:pt idx="1">
                  <c:v>19.57794048</c:v>
                </c:pt>
                <c:pt idx="2">
                  <c:v>0.534376892</c:v>
                </c:pt>
              </c:numCache>
            </c:numRef>
          </c:val>
        </c:ser>
        <c:gapWidth val="30"/>
        <c:axId val="50060001"/>
        <c:axId val="50060002"/>
      </c:barChart>
      <c:catAx>
        <c:axId val="50060001"/>
        <c:scaling>
          <c:orientation val="minMax"/>
        </c:scaling>
        <c:axPos val="b"/>
        <c:tickLblPos val="low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GB</a:t>
                </a:r>
              </a:p>
            </c:rich>
          </c:tx>
          <c:layout/>
        </c:title>
        <c:numFmt formatCode="0.0&quot; GB&quot;" sourceLinked="0"/>
        <c:tickLblPos val="nextTo"/>
        <c:crossAx val="50060001"/>
        <c:crosses val="autoZero"/>
        <c:crossBetween val="between"/>
      </c:valAx>
    </c:plotArea>
    <c:legend>
      <c:legendPos val="b"/>
      <c:layout/>
    </c:legend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TP1 vs TP8: inference resident capacity per rank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TP1 GB</c:v>
          </c:tx>
          <c:dLbls>
            <c:numFmt formatCode="0.0&quot; GB&quot;" sourceLinked="0"/>
            <c:showVal val="1"/>
          </c:dLbls>
          <c:cat>
            <c:strRef>
              <c:f>Comparison!$S$78:$S$79</c:f>
              <c:strCache>
                <c:ptCount val="2"/>
                <c:pt idx="0">
                  <c:v>Prefill</c:v>
                </c:pt>
                <c:pt idx="1">
                  <c:v>Decode</c:v>
                </c:pt>
              </c:strCache>
            </c:strRef>
          </c:cat>
          <c:val>
            <c:numRef>
              <c:f>Comparison!$T$78:$T$79</c:f>
              <c:numCache>
                <c:formatCode>General</c:formatCode>
                <c:ptCount val="2"/>
                <c:pt idx="0">
                  <c:v>166.349315548</c:v>
                </c:pt>
                <c:pt idx="1">
                  <c:v>166.349315548</c:v>
                </c:pt>
              </c:numCache>
            </c:numRef>
          </c:val>
        </c:ser>
        <c:ser>
          <c:idx val="1"/>
          <c:order val="1"/>
          <c:tx>
            <c:v>TP8 GB</c:v>
          </c:tx>
          <c:dLbls>
            <c:numFmt formatCode="0.0&quot; GB&quot;" sourceLinked="0"/>
            <c:showVal val="1"/>
          </c:dLbls>
          <c:cat>
            <c:strRef>
              <c:f>Comparison!$S$78:$S$79</c:f>
              <c:strCache>
                <c:ptCount val="2"/>
                <c:pt idx="0">
                  <c:v>Prefill</c:v>
                </c:pt>
                <c:pt idx="1">
                  <c:v>Decode</c:v>
                </c:pt>
              </c:strCache>
            </c:strRef>
          </c:cat>
          <c:val>
            <c:numRef>
              <c:f>Comparison!$U$78:$U$79</c:f>
              <c:numCache>
                <c:formatCode>General</c:formatCode>
                <c:ptCount val="2"/>
                <c:pt idx="0">
                  <c:v>29.581867388</c:v>
                </c:pt>
                <c:pt idx="1">
                  <c:v>29.581867388</c:v>
                </c:pt>
              </c:numCache>
            </c:numRef>
          </c:val>
        </c:ser>
        <c:gapWidth val="30"/>
        <c:axId val="50070001"/>
        <c:axId val="50070002"/>
      </c:barChart>
      <c:catAx>
        <c:axId val="50070001"/>
        <c:scaling>
          <c:orientation val="minMax"/>
        </c:scaling>
        <c:axPos val="b"/>
        <c:tickLblPos val="low"/>
        <c:crossAx val="50070002"/>
        <c:crosses val="autoZero"/>
        <c:auto val="1"/>
        <c:lblAlgn val="ctr"/>
        <c:lblOffset val="100"/>
      </c:catAx>
      <c:valAx>
        <c:axId val="5007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GB</a:t>
                </a:r>
              </a:p>
            </c:rich>
          </c:tx>
          <c:layout/>
        </c:title>
        <c:numFmt formatCode="0.0&quot; GB&quot;" sourceLinked="0"/>
        <c:tickLblPos val="nextTo"/>
        <c:crossAx val="50070001"/>
        <c:crosses val="autoZero"/>
        <c:crossBetween val="between"/>
      </c:valAx>
    </c:plotArea>
    <c:legend>
      <c:legendPos val="b"/>
      <c:layout/>
    </c:legend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34</xdr:row>
      <xdr:rowOff>0</xdr:rowOff>
    </xdr:from>
    <xdr:to>
      <xdr:col>3</xdr:col>
      <xdr:colOff>1038225</xdr:colOff>
      <xdr:row>50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51</xdr:row>
      <xdr:rowOff>0</xdr:rowOff>
    </xdr:from>
    <xdr:to>
      <xdr:col>3</xdr:col>
      <xdr:colOff>1038225</xdr:colOff>
      <xdr:row>67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238125</xdr:colOff>
      <xdr:row>51</xdr:row>
      <xdr:rowOff>0</xdr:rowOff>
    </xdr:from>
    <xdr:to>
      <xdr:col>5</xdr:col>
      <xdr:colOff>4705350</xdr:colOff>
      <xdr:row>67</xdr:row>
      <xdr:rowOff>104775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68</xdr:row>
      <xdr:rowOff>0</xdr:rowOff>
    </xdr:from>
    <xdr:to>
      <xdr:col>3</xdr:col>
      <xdr:colOff>1038225</xdr:colOff>
      <xdr:row>84</xdr:row>
      <xdr:rowOff>104775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238125</xdr:colOff>
      <xdr:row>68</xdr:row>
      <xdr:rowOff>0</xdr:rowOff>
    </xdr:from>
    <xdr:to>
      <xdr:col>5</xdr:col>
      <xdr:colOff>4705350</xdr:colOff>
      <xdr:row>84</xdr:row>
      <xdr:rowOff>104775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85</xdr:row>
      <xdr:rowOff>0</xdr:rowOff>
    </xdr:from>
    <xdr:to>
      <xdr:col>3</xdr:col>
      <xdr:colOff>1038225</xdr:colOff>
      <xdr:row>101</xdr:row>
      <xdr:rowOff>104775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238125</xdr:colOff>
      <xdr:row>85</xdr:row>
      <xdr:rowOff>0</xdr:rowOff>
    </xdr:from>
    <xdr:to>
      <xdr:col>5</xdr:col>
      <xdr:colOff>4705350</xdr:colOff>
      <xdr:row>101</xdr:row>
      <xdr:rowOff>104775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PF_Resource_Summary" displayName="PF_Resource_Summary" ref="A12:J20" totalsRowShown="0">
  <autoFilter ref="A12:J20"/>
  <tableColumns count="10">
    <tableColumn id="1" name="类别"/>
    <tableColumn id="2" name="TP1 容量"/>
    <tableColumn id="3" name="TP1 算力"/>
    <tableColumn id="4" name="TP1 集合通信数据量"/>
    <tableColumn id="5" name="TP8 容量/rank"/>
    <tableColumn id="6" name="TP8 算力/rank"/>
    <tableColumn id="7" name="TP8 集合通信数据量/rank"/>
    <tableColumn id="8" name="参数类型"/>
    <tableColumn id="9" name="激活类型"/>
    <tableColumn id="10" name="说明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F_Typical_Layer_Detail" displayName="PF_Typical_Layer_Detail" ref="A23:L46" totalsRowShown="0">
  <autoFilter ref="A23:L46"/>
  <tableColumns count="12">
    <tableColumn id="1" name="类别"/>
    <tableColumn id="2" name="典型层/模块"/>
    <tableColumn id="3" name="层范围"/>
    <tableColumn id="4" name="TP1 容量"/>
    <tableColumn id="5" name="TP1 算力"/>
    <tableColumn id="6" name="TP1 集合通信数据量"/>
    <tableColumn id="7" name="TP8 容量/rank"/>
    <tableColumn id="8" name="TP8 算力/rank"/>
    <tableColumn id="9" name="TP8 集合通信数据量/rank"/>
    <tableColumn id="10" name="参数类型"/>
    <tableColumn id="11" name="激活类型"/>
    <tableColumn id="12" name="说明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DC_Resource_Summary" displayName="DC_Resource_Summary" ref="A12:J20" totalsRowShown="0">
  <autoFilter ref="A12:J20"/>
  <tableColumns count="10">
    <tableColumn id="1" name="类别"/>
    <tableColumn id="2" name="TP1 容量"/>
    <tableColumn id="3" name="TP1 算力"/>
    <tableColumn id="4" name="TP1 集合通信数据量"/>
    <tableColumn id="5" name="TP8 容量/rank"/>
    <tableColumn id="6" name="TP8 算力/rank"/>
    <tableColumn id="7" name="TP8 集合通信数据量/rank"/>
    <tableColumn id="8" name="参数类型"/>
    <tableColumn id="9" name="激活类型"/>
    <tableColumn id="10" name="说明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DC_Typical_Layer_Detail" displayName="DC_Typical_Layer_Detail" ref="A23:L46" totalsRowShown="0">
  <autoFilter ref="A23:L46"/>
  <tableColumns count="12">
    <tableColumn id="1" name="类别"/>
    <tableColumn id="2" name="典型层/模块"/>
    <tableColumn id="3" name="层范围"/>
    <tableColumn id="4" name="TP1 容量"/>
    <tableColumn id="5" name="TP1 算力"/>
    <tableColumn id="6" name="TP1 集合通信数据量"/>
    <tableColumn id="7" name="TP8 容量/rank"/>
    <tableColumn id="8" name="TP8 算力/rank"/>
    <tableColumn id="9" name="TP8 集合通信数据量/rank"/>
    <tableColumn id="10" name="参数类型"/>
    <tableColumn id="11" name="激活类型"/>
    <tableColumn id="12" name="说明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DType_Module" displayName="DType_Module" ref="A5:E20" totalsRowShown="0">
  <autoFilter ref="A5:E20"/>
  <tableColumns count="5">
    <tableColumn id="1" name="Scope"/>
    <tableColumn id="2" name="Module/tensor"/>
    <tableColumn id="3" name="Checkpoint/parameter storage"/>
    <tableColumn id="4" name="Activation/intermediate computation"/>
    <tableColumn id="5" name="No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DType_Layer" displayName="DType_Layer" ref="A23:I66" totalsRowShown="0">
  <autoFilter ref="A23:I66"/>
  <tableColumns count="9">
    <tableColumn id="1" name="Layer ID"/>
    <tableColumn id="2" name="Attention mode"/>
    <tableColumn id="3" name="Compression ratio"/>
    <tableColumn id="4" name="Routing mode"/>
    <tableColumn id="5" name="Hidden state / residual"/>
    <tableColumn id="6" name="Main attention projections"/>
    <tableColumn id="7" name="Routed experts"/>
    <tableColumn id="8" name="Shared experts"/>
    <tableColumn id="9" name="Normalization / HC / Router computation"/>
  </tableColumns>
  <tableStyleInfo name="TableStyleMedium4" showFirstColumn="0" showLastColumn="0" showRowStripes="1" showColumnStripes="0"/>
</table>
</file>

<file path=xl/tables/table7.xml><?xml version="1.0" encoding="utf-8"?>
<table xmlns="http://schemas.openxmlformats.org/spreadsheetml/2006/main" id="7" name="Comparison_Resource_Overview" displayName="Comparison_Resource_Overview" ref="A4:F32" totalsRowShown="0">
  <autoFilter ref="A4:F32"/>
  <tableColumns count="6">
    <tableColumn id="1" name="Resource"/>
    <tableColumn id="2" name="Prefill TP1"/>
    <tableColumn id="3" name="Prefill TP8/rank"/>
    <tableColumn id="4" name="Decode TP1"/>
    <tableColumn id="5" name="Decode TP8/rank"/>
    <tableColumn id="6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Relationship Id="rId2" Type="http://schemas.openxmlformats.org/officeDocument/2006/relationships/table" Target="../tables/table4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Relationship Id="rId2" Type="http://schemas.openxmlformats.org/officeDocument/2006/relationships/table" Target="../tables/table6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64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16.7109375" customWidth="1"/>
    <col min="2" max="2" width="29.7109375" customWidth="1"/>
    <col min="3" max="3" width="25.7109375" customWidth="1"/>
    <col min="4" max="4" width="18.7109375" customWidth="1"/>
    <col min="5" max="5" width="58.7109375" customWidth="1"/>
  </cols>
  <sheetData>
    <row r="1" spans="1:5">
      <c r="A1" s="1" t="s">
        <v>0</v>
      </c>
    </row>
    <row r="2" spans="1:5">
      <c r="A2" s="2" t="s">
        <v>1</v>
      </c>
    </row>
    <row r="3" spans="1: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</row>
    <row r="4" spans="1:5">
      <c r="A4" s="4" t="s">
        <v>7</v>
      </c>
      <c r="B4" s="4" t="s">
        <v>8</v>
      </c>
      <c r="C4" s="4" t="s">
        <v>9</v>
      </c>
      <c r="D4" s="5">
        <v>1</v>
      </c>
      <c r="E4" s="4" t="s">
        <v>10</v>
      </c>
    </row>
    <row r="5" spans="1:5">
      <c r="A5" s="4" t="s">
        <v>7</v>
      </c>
      <c r="B5" s="4" t="s">
        <v>11</v>
      </c>
      <c r="C5" s="4" t="s">
        <v>12</v>
      </c>
      <c r="D5" s="5">
        <v>8</v>
      </c>
      <c r="E5" s="4" t="s">
        <v>13</v>
      </c>
    </row>
    <row r="6" spans="1:5">
      <c r="A6" s="4" t="s">
        <v>14</v>
      </c>
      <c r="B6" s="4" t="s">
        <v>15</v>
      </c>
      <c r="C6" s="4" t="s">
        <v>16</v>
      </c>
      <c r="D6" s="6">
        <v>1</v>
      </c>
      <c r="E6" s="4" t="s">
        <v>17</v>
      </c>
    </row>
    <row r="7" spans="1:5">
      <c r="A7" s="4" t="s">
        <v>14</v>
      </c>
      <c r="B7" s="4" t="s">
        <v>18</v>
      </c>
      <c r="C7" s="4" t="s">
        <v>19</v>
      </c>
      <c r="D7" s="7">
        <v>8192</v>
      </c>
      <c r="E7" s="4" t="s">
        <v>20</v>
      </c>
    </row>
    <row r="8" spans="1:5">
      <c r="A8" s="4" t="s">
        <v>14</v>
      </c>
      <c r="B8" s="4" t="s">
        <v>21</v>
      </c>
      <c r="C8" s="4" t="s">
        <v>22</v>
      </c>
      <c r="D8" s="6">
        <v>1</v>
      </c>
      <c r="E8" s="4" t="s">
        <v>23</v>
      </c>
    </row>
    <row r="9" spans="1:5">
      <c r="A9" s="4" t="s">
        <v>14</v>
      </c>
      <c r="B9" s="4" t="s">
        <v>24</v>
      </c>
      <c r="C9" s="4" t="s">
        <v>25</v>
      </c>
      <c r="D9" s="7">
        <v>1</v>
      </c>
      <c r="E9" s="4" t="s">
        <v>26</v>
      </c>
    </row>
    <row r="10" spans="1:5">
      <c r="A10" s="4" t="s">
        <v>14</v>
      </c>
      <c r="B10" s="4" t="s">
        <v>27</v>
      </c>
      <c r="C10" s="4" t="s">
        <v>28</v>
      </c>
      <c r="D10" s="7">
        <v>1048576</v>
      </c>
      <c r="E10" s="4" t="s">
        <v>29</v>
      </c>
    </row>
    <row r="11" spans="1:5">
      <c r="A11" s="4" t="s">
        <v>14</v>
      </c>
      <c r="B11" s="4" t="s">
        <v>30</v>
      </c>
      <c r="C11" s="4" t="s">
        <v>31</v>
      </c>
      <c r="D11" s="7">
        <v>1048576</v>
      </c>
      <c r="E11" s="4" t="s">
        <v>32</v>
      </c>
    </row>
    <row r="12" spans="1:5">
      <c r="A12" s="4" t="s">
        <v>33</v>
      </c>
      <c r="B12" s="4" t="s">
        <v>34</v>
      </c>
      <c r="C12" s="4" t="s">
        <v>35</v>
      </c>
      <c r="D12" s="8">
        <v>4096</v>
      </c>
      <c r="E12" s="4" t="s">
        <v>36</v>
      </c>
    </row>
    <row r="13" spans="1:5">
      <c r="A13" s="4" t="s">
        <v>33</v>
      </c>
      <c r="B13" s="4" t="s">
        <v>37</v>
      </c>
      <c r="C13" s="4" t="s">
        <v>38</v>
      </c>
      <c r="D13" s="7">
        <v>129280</v>
      </c>
      <c r="E13" s="4" t="s">
        <v>39</v>
      </c>
    </row>
    <row r="14" spans="1:5">
      <c r="A14" s="4" t="s">
        <v>40</v>
      </c>
      <c r="B14" s="4" t="s">
        <v>41</v>
      </c>
      <c r="C14" s="4" t="s">
        <v>42</v>
      </c>
      <c r="D14" s="9">
        <v>64</v>
      </c>
      <c r="E14" s="4" t="s">
        <v>43</v>
      </c>
    </row>
    <row r="15" spans="1:5">
      <c r="A15" s="4" t="s">
        <v>40</v>
      </c>
      <c r="B15" s="4" t="s">
        <v>44</v>
      </c>
      <c r="C15" s="4" t="s">
        <v>45</v>
      </c>
      <c r="D15" s="8">
        <v>512</v>
      </c>
      <c r="E15" s="4" t="s">
        <v>46</v>
      </c>
    </row>
    <row r="16" spans="1:5">
      <c r="A16" s="4" t="s">
        <v>40</v>
      </c>
      <c r="B16" s="4" t="s">
        <v>47</v>
      </c>
      <c r="C16" s="4" t="s">
        <v>48</v>
      </c>
      <c r="D16" s="8">
        <v>64</v>
      </c>
      <c r="E16" s="4" t="s">
        <v>49</v>
      </c>
    </row>
    <row r="17" spans="1:5">
      <c r="A17" s="4" t="s">
        <v>40</v>
      </c>
      <c r="B17" s="4" t="s">
        <v>50</v>
      </c>
      <c r="C17" s="4" t="s">
        <v>51</v>
      </c>
      <c r="D17" s="8">
        <v>1024</v>
      </c>
      <c r="E17" s="4" t="s">
        <v>52</v>
      </c>
    </row>
    <row r="18" spans="1:5">
      <c r="A18" s="4" t="s">
        <v>40</v>
      </c>
      <c r="B18" s="4" t="s">
        <v>53</v>
      </c>
      <c r="C18" s="4" t="s">
        <v>54</v>
      </c>
      <c r="D18" s="10">
        <v>8</v>
      </c>
      <c r="E18" s="4" t="s">
        <v>55</v>
      </c>
    </row>
    <row r="19" spans="1:5">
      <c r="A19" s="4" t="s">
        <v>40</v>
      </c>
      <c r="B19" s="4" t="s">
        <v>56</v>
      </c>
      <c r="C19" s="4" t="s">
        <v>57</v>
      </c>
      <c r="D19" s="8">
        <v>1024</v>
      </c>
      <c r="E19" s="4" t="s">
        <v>58</v>
      </c>
    </row>
    <row r="20" spans="1:5">
      <c r="A20" s="4" t="s">
        <v>59</v>
      </c>
      <c r="B20" s="4" t="s">
        <v>60</v>
      </c>
      <c r="C20" s="4" t="s">
        <v>61</v>
      </c>
      <c r="D20" s="11">
        <v>256</v>
      </c>
      <c r="E20" s="4" t="s">
        <v>62</v>
      </c>
    </row>
    <row r="21" spans="1:5">
      <c r="A21" s="4" t="s">
        <v>59</v>
      </c>
      <c r="B21" s="4" t="s">
        <v>63</v>
      </c>
      <c r="C21" s="4" t="s">
        <v>64</v>
      </c>
      <c r="D21" s="12">
        <v>6</v>
      </c>
      <c r="E21" s="4" t="s">
        <v>65</v>
      </c>
    </row>
    <row r="22" spans="1:5">
      <c r="A22" s="4" t="s">
        <v>59</v>
      </c>
      <c r="B22" s="4" t="s">
        <v>66</v>
      </c>
      <c r="C22" s="4" t="s">
        <v>67</v>
      </c>
      <c r="D22" s="11">
        <v>1</v>
      </c>
      <c r="E22" s="4" t="s">
        <v>68</v>
      </c>
    </row>
    <row r="23" spans="1:5">
      <c r="A23" s="4" t="s">
        <v>59</v>
      </c>
      <c r="B23" s="4" t="s">
        <v>69</v>
      </c>
      <c r="C23" s="4" t="s">
        <v>70</v>
      </c>
      <c r="D23" s="8">
        <v>2048</v>
      </c>
      <c r="E23" s="4" t="s">
        <v>71</v>
      </c>
    </row>
    <row r="24" spans="1:5">
      <c r="A24" s="4" t="s">
        <v>72</v>
      </c>
      <c r="B24" s="4" t="s">
        <v>73</v>
      </c>
      <c r="C24" s="4" t="s">
        <v>74</v>
      </c>
      <c r="D24" s="7">
        <v>128</v>
      </c>
      <c r="E24" s="4" t="s">
        <v>75</v>
      </c>
    </row>
    <row r="25" spans="1:5">
      <c r="A25" s="4" t="s">
        <v>72</v>
      </c>
      <c r="B25" s="4" t="s">
        <v>76</v>
      </c>
      <c r="C25" s="4" t="s">
        <v>77</v>
      </c>
      <c r="D25" s="13">
        <v>4</v>
      </c>
      <c r="E25" s="4" t="s">
        <v>78</v>
      </c>
    </row>
    <row r="26" spans="1:5">
      <c r="A26" s="4" t="s">
        <v>72</v>
      </c>
      <c r="B26" s="4" t="s">
        <v>79</v>
      </c>
      <c r="C26" s="4" t="s">
        <v>80</v>
      </c>
      <c r="D26" s="13">
        <v>128</v>
      </c>
      <c r="E26" s="4" t="s">
        <v>81</v>
      </c>
    </row>
    <row r="27" spans="1:5">
      <c r="A27" s="4" t="s">
        <v>82</v>
      </c>
      <c r="B27" s="4" t="s">
        <v>83</v>
      </c>
      <c r="C27" s="4" t="s">
        <v>84</v>
      </c>
      <c r="D27" s="9">
        <v>64</v>
      </c>
      <c r="E27" s="4" t="s">
        <v>85</v>
      </c>
    </row>
    <row r="28" spans="1:5">
      <c r="A28" s="4" t="s">
        <v>82</v>
      </c>
      <c r="B28" s="4" t="s">
        <v>86</v>
      </c>
      <c r="C28" s="4" t="s">
        <v>87</v>
      </c>
      <c r="D28" s="8">
        <v>128</v>
      </c>
      <c r="E28" s="4" t="s">
        <v>88</v>
      </c>
    </row>
    <row r="29" spans="1:5">
      <c r="A29" s="4" t="s">
        <v>82</v>
      </c>
      <c r="B29" s="4" t="s">
        <v>89</v>
      </c>
      <c r="C29" s="4" t="s">
        <v>90</v>
      </c>
      <c r="D29" s="14">
        <v>512</v>
      </c>
      <c r="E29" s="4" t="s">
        <v>91</v>
      </c>
    </row>
    <row r="30" spans="1:5">
      <c r="A30" s="4" t="s">
        <v>92</v>
      </c>
      <c r="B30" s="4" t="s">
        <v>93</v>
      </c>
      <c r="C30" s="4" t="s">
        <v>94</v>
      </c>
      <c r="D30" s="15">
        <v>4</v>
      </c>
      <c r="E30" s="4" t="s">
        <v>95</v>
      </c>
    </row>
    <row r="31" spans="1:5">
      <c r="A31" s="4" t="s">
        <v>92</v>
      </c>
      <c r="B31" s="4" t="s">
        <v>96</v>
      </c>
      <c r="C31" s="4" t="s">
        <v>97</v>
      </c>
      <c r="D31" s="16">
        <v>20</v>
      </c>
      <c r="E31" s="4" t="s">
        <v>98</v>
      </c>
    </row>
    <row r="32" spans="1:5">
      <c r="A32" s="4" t="s">
        <v>99</v>
      </c>
      <c r="B32" s="4" t="s">
        <v>100</v>
      </c>
      <c r="C32" s="4" t="s">
        <v>101</v>
      </c>
      <c r="D32" s="17">
        <v>3</v>
      </c>
      <c r="E32" s="4" t="s">
        <v>102</v>
      </c>
    </row>
    <row r="33" spans="1:5">
      <c r="A33" s="4" t="s">
        <v>103</v>
      </c>
      <c r="B33" s="4" t="s">
        <v>104</v>
      </c>
      <c r="C33" s="4" t="s">
        <v>105</v>
      </c>
      <c r="D33" s="18">
        <v>2</v>
      </c>
      <c r="E33" s="4" t="s">
        <v>106</v>
      </c>
    </row>
    <row r="34" spans="1:5">
      <c r="A34" s="4" t="s">
        <v>103</v>
      </c>
      <c r="B34" s="4" t="s">
        <v>107</v>
      </c>
      <c r="C34" s="4" t="s">
        <v>108</v>
      </c>
      <c r="D34" s="18">
        <v>4</v>
      </c>
      <c r="E34" s="4" t="s">
        <v>109</v>
      </c>
    </row>
    <row r="35" spans="1:5">
      <c r="A35" s="4" t="s">
        <v>103</v>
      </c>
      <c r="B35" s="4" t="s">
        <v>110</v>
      </c>
      <c r="C35" s="4" t="s">
        <v>111</v>
      </c>
      <c r="D35" s="18">
        <v>1</v>
      </c>
      <c r="E35" s="4" t="s">
        <v>112</v>
      </c>
    </row>
    <row r="36" spans="1:5">
      <c r="A36" s="4" t="s">
        <v>103</v>
      </c>
      <c r="B36" s="4" t="s">
        <v>113</v>
      </c>
      <c r="C36" s="4" t="s">
        <v>114</v>
      </c>
      <c r="D36" s="18">
        <v>0.5</v>
      </c>
      <c r="E36" s="4" t="s">
        <v>115</v>
      </c>
    </row>
    <row r="37" spans="1:5">
      <c r="A37" s="4" t="s">
        <v>103</v>
      </c>
      <c r="B37" s="4" t="s">
        <v>116</v>
      </c>
      <c r="C37" s="4" t="s">
        <v>117</v>
      </c>
      <c r="D37" s="18">
        <v>1</v>
      </c>
      <c r="E37" s="4" t="s">
        <v>118</v>
      </c>
    </row>
    <row r="38" spans="1:5">
      <c r="A38" s="4" t="s">
        <v>103</v>
      </c>
      <c r="B38" s="4" t="s">
        <v>119</v>
      </c>
      <c r="C38" s="4" t="s">
        <v>120</v>
      </c>
      <c r="D38" s="18">
        <v>4</v>
      </c>
      <c r="E38" s="4" t="s">
        <v>121</v>
      </c>
    </row>
    <row r="39" spans="1:5">
      <c r="A39" s="4" t="s">
        <v>103</v>
      </c>
      <c r="B39" s="4" t="s">
        <v>122</v>
      </c>
      <c r="C39" s="4" t="s">
        <v>123</v>
      </c>
      <c r="D39" s="18">
        <v>8</v>
      </c>
      <c r="E39" s="4" t="s">
        <v>124</v>
      </c>
    </row>
    <row r="40" spans="1:5">
      <c r="A40" s="4" t="s">
        <v>125</v>
      </c>
      <c r="B40" s="4" t="s">
        <v>126</v>
      </c>
      <c r="C40" s="4" t="s">
        <v>127</v>
      </c>
      <c r="D40" s="8">
        <v>128</v>
      </c>
      <c r="E40" s="4" t="s">
        <v>128</v>
      </c>
    </row>
    <row r="41" spans="1:5">
      <c r="A41" s="4" t="s">
        <v>125</v>
      </c>
      <c r="B41" s="4" t="s">
        <v>129</v>
      </c>
      <c r="C41" s="4" t="s">
        <v>130</v>
      </c>
      <c r="D41" s="8">
        <v>32</v>
      </c>
      <c r="E41" s="4" t="s">
        <v>131</v>
      </c>
    </row>
    <row r="42" spans="1:5">
      <c r="A42" s="4" t="s">
        <v>132</v>
      </c>
      <c r="B42" s="4" t="s">
        <v>133</v>
      </c>
      <c r="C42" s="4" t="s">
        <v>134</v>
      </c>
      <c r="D42" s="9">
        <v>16</v>
      </c>
      <c r="E42" s="4" t="s">
        <v>135</v>
      </c>
    </row>
    <row r="43" spans="1:5">
      <c r="A43" s="4" t="s">
        <v>136</v>
      </c>
      <c r="B43" s="4" t="s">
        <v>137</v>
      </c>
      <c r="C43" s="4" t="s">
        <v>138</v>
      </c>
      <c r="D43" s="19">
        <v>1000</v>
      </c>
      <c r="E43" s="4" t="s">
        <v>139</v>
      </c>
    </row>
    <row r="44" spans="1:5">
      <c r="A44" s="4" t="s">
        <v>136</v>
      </c>
      <c r="B44" s="4" t="s">
        <v>140</v>
      </c>
      <c r="C44" s="4" t="s">
        <v>141</v>
      </c>
      <c r="D44" s="20">
        <v>3000</v>
      </c>
      <c r="E44" s="4" t="s">
        <v>142</v>
      </c>
    </row>
    <row r="45" spans="1:5">
      <c r="A45" s="4" t="s">
        <v>136</v>
      </c>
      <c r="B45" s="4" t="s">
        <v>143</v>
      </c>
      <c r="C45" s="4" t="s">
        <v>144</v>
      </c>
      <c r="D45" s="20">
        <v>900</v>
      </c>
      <c r="E45" s="4" t="s">
        <v>145</v>
      </c>
    </row>
    <row r="46" spans="1:5">
      <c r="A46" s="4" t="s">
        <v>136</v>
      </c>
      <c r="B46" s="4" t="s">
        <v>146</v>
      </c>
      <c r="C46" s="4" t="s">
        <v>147</v>
      </c>
      <c r="D46" s="21">
        <v>1000</v>
      </c>
      <c r="E46" s="4" t="s">
        <v>148</v>
      </c>
    </row>
    <row r="47" spans="1:5">
      <c r="A47" s="4" t="s">
        <v>136</v>
      </c>
      <c r="B47" s="4" t="s">
        <v>149</v>
      </c>
      <c r="C47" s="4" t="s">
        <v>150</v>
      </c>
      <c r="D47" s="21">
        <v>10</v>
      </c>
      <c r="E47" s="4" t="s">
        <v>148</v>
      </c>
    </row>
    <row r="48" spans="1:5">
      <c r="A48" s="4" t="s">
        <v>151</v>
      </c>
      <c r="B48" s="4" t="s">
        <v>152</v>
      </c>
      <c r="C48" s="4" t="s">
        <v>153</v>
      </c>
      <c r="D48" s="22">
        <f>SUM(Layer_Config!$B$4:$B$67)</f>
        <v>43</v>
      </c>
      <c r="E48" s="4" t="s">
        <v>154</v>
      </c>
    </row>
    <row r="49" spans="1:5">
      <c r="A49" s="4" t="s">
        <v>151</v>
      </c>
      <c r="B49" s="4" t="s">
        <v>155</v>
      </c>
      <c r="C49" s="4" t="s">
        <v>156</v>
      </c>
      <c r="D49" s="22">
        <f>COUNTIFS(Layer_Config!$B$4:$B$67,1,Layer_Config!$C$4:$C$67,"window")</f>
        <v>2</v>
      </c>
      <c r="E49" s="4" t="s">
        <v>157</v>
      </c>
    </row>
    <row r="50" spans="1:5">
      <c r="A50" s="4" t="s">
        <v>151</v>
      </c>
      <c r="B50" s="4" t="s">
        <v>158</v>
      </c>
      <c r="C50" s="4" t="s">
        <v>159</v>
      </c>
      <c r="D50" s="22">
        <f>COUNTIFS(Layer_Config!$B$4:$B$67,1,Layer_Config!$C$4:$C$67,"short")</f>
        <v>21</v>
      </c>
      <c r="E50" s="4" t="s">
        <v>160</v>
      </c>
    </row>
    <row r="51" spans="1:5">
      <c r="A51" s="4" t="s">
        <v>151</v>
      </c>
      <c r="B51" s="4" t="s">
        <v>161</v>
      </c>
      <c r="C51" s="4" t="s">
        <v>162</v>
      </c>
      <c r="D51" s="22">
        <f>COUNTIFS(Layer_Config!$B$4:$B$67,1,Layer_Config!$C$4:$C$67,"long")</f>
        <v>20</v>
      </c>
      <c r="E51" s="4" t="s">
        <v>163</v>
      </c>
    </row>
    <row r="52" spans="1:5">
      <c r="A52" s="4" t="s">
        <v>151</v>
      </c>
      <c r="B52" s="4" t="s">
        <v>164</v>
      </c>
      <c r="C52" s="4" t="s">
        <v>165</v>
      </c>
      <c r="D52" s="22">
        <f>COUNTIFS(Layer_Config!$B$4:$B$67,1,Layer_Config!$A$4:$A$67,"&lt;"&amp;HashLayers)</f>
        <v>3</v>
      </c>
      <c r="E52" s="4" t="s">
        <v>166</v>
      </c>
    </row>
    <row r="53" spans="1:5">
      <c r="A53" s="4" t="s">
        <v>151</v>
      </c>
      <c r="B53" s="4" t="s">
        <v>167</v>
      </c>
      <c r="C53" s="4" t="s">
        <v>168</v>
      </c>
      <c r="D53" s="23">
        <f>NumHeads/TP1Size</f>
        <v>64.0</v>
      </c>
      <c r="E53" s="4" t="s">
        <v>169</v>
      </c>
    </row>
    <row r="54" spans="1:5">
      <c r="A54" s="4" t="s">
        <v>151</v>
      </c>
      <c r="B54" s="4" t="s">
        <v>170</v>
      </c>
      <c r="C54" s="4" t="s">
        <v>171</v>
      </c>
      <c r="D54" s="23">
        <f>MAX(TP1LocalHeads,KernelMinHeads)</f>
        <v>64.0</v>
      </c>
      <c r="E54" s="4" t="s">
        <v>172</v>
      </c>
    </row>
    <row r="55" spans="1:5">
      <c r="A55" s="4" t="s">
        <v>151</v>
      </c>
      <c r="B55" s="4" t="s">
        <v>173</v>
      </c>
      <c r="C55" s="4" t="s">
        <v>174</v>
      </c>
      <c r="D55" s="23">
        <f>IndexHeads/TP1Size</f>
        <v>64.0</v>
      </c>
      <c r="E55" s="4" t="s">
        <v>175</v>
      </c>
    </row>
    <row r="56" spans="1:5">
      <c r="A56" s="4" t="s">
        <v>151</v>
      </c>
      <c r="B56" s="4" t="s">
        <v>176</v>
      </c>
      <c r="C56" s="4" t="s">
        <v>177</v>
      </c>
      <c r="D56" s="24">
        <f>RoutedExperts/TP1Size</f>
        <v>256.0</v>
      </c>
      <c r="E56" s="4" t="s">
        <v>178</v>
      </c>
    </row>
    <row r="57" spans="1:5">
      <c r="A57" s="4" t="s">
        <v>151</v>
      </c>
      <c r="B57" s="4" t="s">
        <v>179</v>
      </c>
      <c r="C57" s="4" t="s">
        <v>180</v>
      </c>
      <c r="D57" s="25">
        <f>OGroups/TP1Size</f>
        <v>8.0</v>
      </c>
      <c r="E57" s="4" t="s">
        <v>181</v>
      </c>
    </row>
    <row r="58" spans="1:5">
      <c r="A58" s="4" t="s">
        <v>151</v>
      </c>
      <c r="B58" s="4" t="s">
        <v>182</v>
      </c>
      <c r="C58" s="4" t="s">
        <v>183</v>
      </c>
      <c r="D58" s="26">
        <f>VocabSize/TP1Size</f>
        <v>129280.0</v>
      </c>
      <c r="E58" s="4" t="s">
        <v>184</v>
      </c>
    </row>
    <row r="59" spans="1:5">
      <c r="A59" s="4" t="s">
        <v>151</v>
      </c>
      <c r="B59" s="4" t="s">
        <v>185</v>
      </c>
      <c r="C59" s="4" t="s">
        <v>186</v>
      </c>
      <c r="D59" s="23">
        <f>NumHeads/TP8Size</f>
        <v>8.0</v>
      </c>
      <c r="E59" s="4" t="s">
        <v>187</v>
      </c>
    </row>
    <row r="60" spans="1:5">
      <c r="A60" s="4" t="s">
        <v>151</v>
      </c>
      <c r="B60" s="4" t="s">
        <v>188</v>
      </c>
      <c r="C60" s="4" t="s">
        <v>189</v>
      </c>
      <c r="D60" s="23">
        <f>MAX(TP8LocalHeads,KernelMinHeads)</f>
        <v>16</v>
      </c>
      <c r="E60" s="4" t="s">
        <v>172</v>
      </c>
    </row>
    <row r="61" spans="1:5">
      <c r="A61" s="4" t="s">
        <v>151</v>
      </c>
      <c r="B61" s="4" t="s">
        <v>190</v>
      </c>
      <c r="C61" s="4" t="s">
        <v>191</v>
      </c>
      <c r="D61" s="23">
        <f>IndexHeads/TP8Size</f>
        <v>8.0</v>
      </c>
      <c r="E61" s="4" t="s">
        <v>192</v>
      </c>
    </row>
    <row r="62" spans="1:5">
      <c r="A62" s="4" t="s">
        <v>151</v>
      </c>
      <c r="B62" s="4" t="s">
        <v>193</v>
      </c>
      <c r="C62" s="4" t="s">
        <v>194</v>
      </c>
      <c r="D62" s="24">
        <f>RoutedExperts/TP8Size</f>
        <v>32.0</v>
      </c>
      <c r="E62" s="4" t="s">
        <v>195</v>
      </c>
    </row>
    <row r="63" spans="1:5">
      <c r="A63" s="4" t="s">
        <v>151</v>
      </c>
      <c r="B63" s="4" t="s">
        <v>196</v>
      </c>
      <c r="C63" s="4" t="s">
        <v>197</v>
      </c>
      <c r="D63" s="25">
        <f>OGroups/TP8Size</f>
        <v>1.0</v>
      </c>
      <c r="E63" s="4" t="s">
        <v>198</v>
      </c>
    </row>
    <row r="64" spans="1:5">
      <c r="A64" s="4" t="s">
        <v>151</v>
      </c>
      <c r="B64" s="4" t="s">
        <v>199</v>
      </c>
      <c r="C64" s="4" t="s">
        <v>200</v>
      </c>
      <c r="D64" s="26">
        <f>VocabSize/TP8Size</f>
        <v>16160.0</v>
      </c>
      <c r="E64" s="4" t="s">
        <v>201</v>
      </c>
    </row>
  </sheetData>
  <autoFilter ref="A3:E6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B52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15.7109375" customWidth="1"/>
    <col min="2" max="2" width="34.7109375" customWidth="1"/>
    <col min="3" max="3" width="27.7109375" customWidth="1"/>
    <col min="4" max="9" width="16.7109375" customWidth="1"/>
    <col min="10" max="11" width="34.7109375" customWidth="1"/>
    <col min="12" max="12" width="66.7109375" customWidth="1"/>
    <col min="21" max="28" width="0" hidden="1" customWidth="1"/>
    <col min="31" max="38" width="0" hidden="1" customWidth="1"/>
    <col min="41" max="54" width="0" hidden="1" customWidth="1"/>
  </cols>
  <sheetData>
    <row r="1" spans="1:38">
      <c r="A1" s="1" t="s">
        <v>202</v>
      </c>
    </row>
    <row r="2" spans="1:38">
      <c r="A2" s="2" t="s">
        <v>203</v>
      </c>
    </row>
    <row r="3" spans="1:38" hidden="1">
      <c r="A3" s="3" t="s">
        <v>204</v>
      </c>
      <c r="B3" s="3" t="s">
        <v>5</v>
      </c>
      <c r="C3" s="3" t="s">
        <v>205</v>
      </c>
      <c r="D3" s="3" t="s">
        <v>6</v>
      </c>
    </row>
    <row r="4" spans="1:38" ht="54" hidden="1" customHeight="1">
      <c r="A4" s="4" t="s">
        <v>206</v>
      </c>
      <c r="B4" s="27">
        <f>PrefillBatch*PrefillSequence</f>
        <v>8192</v>
      </c>
      <c r="C4" s="4" t="s">
        <v>207</v>
      </c>
      <c r="D4" s="4" t="s">
        <v>208</v>
      </c>
    </row>
    <row r="5" spans="1:38" ht="54" hidden="1" customHeight="1">
      <c r="A5" s="4" t="s">
        <v>209</v>
      </c>
      <c r="B5" s="28">
        <f>IF(PrefillSequence&lt;=WindowSize,PrefillSequence*(PrefillSequence+1)/2,WindowSize*(WindowSize+1)/2+(PrefillSequence-WindowSize)*WindowSize)</f>
        <v>1040448</v>
      </c>
      <c r="C5" s="4" t="s">
        <v>210</v>
      </c>
      <c r="D5" s="4" t="s">
        <v>211</v>
      </c>
    </row>
    <row r="6" spans="1:38" ht="54" hidden="1" customHeight="1">
      <c r="A6" s="4" t="s">
        <v>212</v>
      </c>
      <c r="B6" s="28">
        <f>IF(PrefillSequence&lt;IndexTopK*ShortRatio,ShortRatio*INT(PrefillSequence/ShortRatio)*(INT(PrefillSequence/ShortRatio)-1)/2+INT(PrefillSequence/ShortRatio)*(MOD(PrefillSequence,ShortRatio)+1),ShortRatio*IndexTopK*(IndexTopK-1)/2+(PrefillSequence-IndexTopK*ShortRatio+1)*IndexTopK)</f>
        <v>3669504</v>
      </c>
      <c r="C6" s="4" t="s">
        <v>210</v>
      </c>
      <c r="D6" s="4" t="s">
        <v>213</v>
      </c>
    </row>
    <row r="7" spans="1:38" ht="54" hidden="1" customHeight="1">
      <c r="A7" s="4" t="s">
        <v>214</v>
      </c>
      <c r="B7" s="28">
        <f>LongRatio*INT(PrefillSequence/LongRatio)*(INT(PrefillSequence/LongRatio)-1)/2+INT(PrefillSequence/LongRatio)*(MOD(PrefillSequence,LongRatio)+1)</f>
        <v>258112</v>
      </c>
      <c r="C7" s="4" t="s">
        <v>210</v>
      </c>
      <c r="D7" s="4" t="s">
        <v>215</v>
      </c>
    </row>
    <row r="8" spans="1:38" ht="54" hidden="1" customHeight="1">
      <c r="A8" s="4" t="s">
        <v>216</v>
      </c>
      <c r="B8" s="28">
        <f>ShortRatio*INT(PrefillSequence/ShortRatio)*(INT(PrefillSequence/ShortRatio)-1)/2+INT(PrefillSequence/ShortRatio)*(MOD(PrefillSequence,ShortRatio)+1)</f>
        <v>8386560</v>
      </c>
      <c r="C8" s="4" t="s">
        <v>210</v>
      </c>
      <c r="D8" s="4" t="s">
        <v>217</v>
      </c>
    </row>
    <row r="9" spans="1:38" ht="54" hidden="1" customHeight="1">
      <c r="A9" s="4" t="s">
        <v>218</v>
      </c>
      <c r="B9" s="29">
        <f>1-(1-ActivatedExperts/RoutedExperts)^PF_Rows</f>
        <v>1.0</v>
      </c>
      <c r="C9" s="4" t="s">
        <v>219</v>
      </c>
      <c r="D9" s="4" t="s">
        <v>220</v>
      </c>
    </row>
    <row r="11" spans="1:38">
      <c r="A11" s="30" t="s">
        <v>221</v>
      </c>
      <c r="B11" s="30"/>
      <c r="C11" s="30"/>
      <c r="D11" s="30"/>
      <c r="E11" s="30"/>
      <c r="F11" s="30"/>
      <c r="G11" s="30"/>
      <c r="H11" s="30"/>
      <c r="I11" s="30"/>
      <c r="J11" s="30"/>
    </row>
    <row r="12" spans="1:38">
      <c r="A12" t="s">
        <v>222</v>
      </c>
      <c r="B12" t="s">
        <v>223</v>
      </c>
      <c r="C12" t="s">
        <v>224</v>
      </c>
      <c r="D12" t="s">
        <v>225</v>
      </c>
      <c r="E12" t="s">
        <v>226</v>
      </c>
      <c r="F12" t="s">
        <v>227</v>
      </c>
      <c r="G12" t="s">
        <v>228</v>
      </c>
      <c r="H12" t="s">
        <v>229</v>
      </c>
      <c r="I12" t="s">
        <v>230</v>
      </c>
      <c r="J12" t="s">
        <v>231</v>
      </c>
    </row>
    <row r="13" spans="1:38">
      <c r="A13" s="31" t="s">
        <v>232</v>
      </c>
      <c r="B13" s="31" t="str">
        <f>TEXT(IF(ABS(AE13)&gt;=1E12,AE13/1E12,IF(ABS(AE13)&gt;=1E9,AE13/1E9,IF(ABS(AE13)&gt;=1E6,AE13/1E6,IF(ABS(AE13)&gt;=1E3,AE13/1E3,AE13)))),"#,##0.000")&amp;IF((IF(ABS(AE13)&gt;=1E12,"TB",IF(ABS(AE13)&gt;=1E9,"GB",IF(ABS(AE13)&gt;=1E6,"MB",IF(ABS(AE13)&gt;=1E3,"KB","bytes")))))="",""," "&amp;(IF(ABS(AE13)&gt;=1E12,"TB",IF(ABS(AE13)&gt;=1E9,"GB",IF(ABS(AE13)&gt;=1E6,"MB",IF(ABS(AE13)&gt;=1E3,"KB","bytes"))))))</f>
        <v>166.349 GB</v>
      </c>
      <c r="C13" s="31" t="str">
        <f>TEXT(IF(ABS(AF13)&gt;=1E15,AF13/1E15,IF(ABS(AF13)&gt;=1E12,AF13/1E12,IF(ABS(AF13)&gt;=1E9,AF13/1E9,IF(ABS(AF13)&gt;=1E6,AF13/1E6,AF13)))),"#,##0.000")&amp;IF((IF(ABS(AF13)&gt;=1E15,"PFLOPs",IF(ABS(AF13)&gt;=1E12,"TFLOPs",IF(ABS(AF13)&gt;=1E9,"GFLOPs",IF(ABS(AF13)&gt;=1E6,"MFLOPs","flops")))))="",""," "&amp;(IF(ABS(AF13)&gt;=1E15,"PFLOPs",IF(ABS(AF13)&gt;=1E12,"TFLOPs",IF(ABS(AF13)&gt;=1E9,"GFLOPs",IF(ABS(AF13)&gt;=1E6,"MFLOPs","flops"))))))</f>
        <v>228.398 TFLOPs</v>
      </c>
      <c r="D13" s="31" t="str">
        <f>TEXT(IF(ABS(AK13)&gt;=1E12,AK13/1E12,IF(ABS(AK13)&gt;=1E9,AK13/1E9,IF(ABS(AK13)&gt;=1E6,AK13/1E6,IF(ABS(AK13)&gt;=1E3,AK13/1E3,AK13)))),"#,##0.000")&amp;IF((IF(ABS(AK13)&gt;=1E12,"TB",IF(ABS(AK13)&gt;=1E9,"GB",IF(ABS(AK13)&gt;=1E6,"MB",IF(ABS(AK13)&gt;=1E3,"KB","bytes")))))="",""," "&amp;(IF(ABS(AK13)&gt;=1E12,"TB",IF(ABS(AK13)&gt;=1E9,"GB",IF(ABS(AK13)&gt;=1E6,"MB",IF(ABS(AK13)&gt;=1E3,"KB","bytes"))))))</f>
        <v>0.000 B</v>
      </c>
      <c r="E13" s="31" t="str">
        <f>TEXT(IF(ABS(AH13)&gt;=1E12,AH13/1E12,IF(ABS(AH13)&gt;=1E9,AH13/1E9,IF(ABS(AH13)&gt;=1E6,AH13/1E6,IF(ABS(AH13)&gt;=1E3,AH13/1E3,AH13)))),"#,##0.000")&amp;IF((IF(ABS(AH13)&gt;=1E12,"TB",IF(ABS(AH13)&gt;=1E9,"GB",IF(ABS(AH13)&gt;=1E6,"MB",IF(ABS(AH13)&gt;=1E3,"KB","bytes")))))="",""," "&amp;(IF(ABS(AH13)&gt;=1E12,"TB",IF(ABS(AH13)&gt;=1E9,"GB",IF(ABS(AH13)&gt;=1E6,"MB",IF(ABS(AH13)&gt;=1E3,"KB","bytes"))))))</f>
        <v>29.582 GB</v>
      </c>
      <c r="F13" s="31" t="str">
        <f>TEXT(IF(ABS(AI13)&gt;=1E15,AI13/1E15,IF(ABS(AI13)&gt;=1E12,AI13/1E12,IF(ABS(AI13)&gt;=1E9,AI13/1E9,IF(ABS(AI13)&gt;=1E6,AI13/1E6,AI13)))),"#,##0.000")&amp;IF((IF(ABS(AI13)&gt;=1E15,"PFLOPs",IF(ABS(AI13)&gt;=1E12,"TFLOPs",IF(ABS(AI13)&gt;=1E9,"GFLOPs",IF(ABS(AI13)&gt;=1E6,"MFLOPs","flops")))))="",""," "&amp;(IF(ABS(AI13)&gt;=1E15,"PFLOPs",IF(ABS(AI13)&gt;=1E12,"TFLOPs",IF(ABS(AI13)&gt;=1E9,"GFLOPs",IF(ABS(AI13)&gt;=1E6,"MFLOPs","flops"))))))</f>
        <v>55.653 TFLOPs</v>
      </c>
      <c r="G13" s="31" t="str">
        <f>TEXT(IF(ABS(AL13)&gt;=1E12,AL13/1E12,IF(ABS(AL13)&gt;=1E9,AL13/1E9,IF(ABS(AL13)&gt;=1E6,AL13/1E6,IF(ABS(AL13)&gt;=1E3,AL13/1E3,AL13)))),"#,##0.000")&amp;IF((IF(ABS(AL13)&gt;=1E12,"TB",IF(ABS(AL13)&gt;=1E9,"GB",IF(ABS(AL13)&gt;=1E6,"MB",IF(ABS(AL13)&gt;=1E3,"KB","bytes")))))="",""," "&amp;(IF(ABS(AL13)&gt;=1E12,"TB",IF(ABS(AL13)&gt;=1E9,"GB",IF(ABS(AL13)&gt;=1E6,"MB",IF(ABS(AL13)&gt;=1E3,"KB","bytes"))))))</f>
        <v>40.635 GB</v>
      </c>
      <c r="H13" s="4" t="s">
        <v>234</v>
      </c>
      <c r="I13" s="4" t="s">
        <v>235</v>
      </c>
      <c r="J13" s="4" t="s">
        <v>233</v>
      </c>
      <c r="AE13" s="32">
        <f>((TP1LocalVocab*HiddenSize*BF16Bytes)+(TotalLayers*(((HiddenSize)*(QLoraRank)*FP8Bytes+ROUNDUP((HiddenSize)/FP8Block,0)*ROUNDUP((QLoraRank)/FP8Block,0)*ScaleBytes)+((QLoraRank)*(TP1LocalHeads*HeadDim)*FP8Bytes+ROUNDUP((QLoraRank)/FP8Block,0)*ROUNDUP((TP1LocalHeads*HeadDim)/FP8Block,0)*ScaleBytes)+((HiddenSize)*(HeadDim)*FP8Bytes+ROUNDUP((HiddenSize)/FP8Block,0)*ROUNDUP((HeadDim)/FP8Block,0)*ScaleBytes)+TP1LocalHeads*HeadDim*OLoraRank*BF16Bytes+((TP1LocalOGroups*OLoraRank)*(HiddenSize)*FP8Bytes+ROUNDUP((TP1LocalOGroups*OLoraRank)/FP8Block,0)*ROUNDUP((HiddenSize)/FP8Block,0)*ScaleBytes)))+(0)+(0)+(0)+(ShortLayers*(((QLoraRank)*(TP1LocalIndexHeads*IndexHeadDim)*FP8Bytes+ROUNDUP((QLoraRank)/FP8Block,0)*ROUNDUP((TP1LocalIndexHeads*IndexHeadDim)/FP8Block,0)*ScaleBytes)+HiddenSize*TP1LocalIndexHeads*BF16Bytes))+(0)+(ShortLayers*(2*HiddenSize*(2*HeadDim)*FP32Bytes+ShortRatio*2*HeadDim*FP32Bytes+HeadDim*FP32Bytes))+(LongLayers*(2*HiddenSize*HeadDim*FP32Bytes+LongRatio*HeadDim*FP32Bytes+HeadDim*FP32Bytes))+(ShortLayers*(2*HiddenSize*(2*IndexHeadDim)*FP32Bytes+ShortRatio*2*IndexHeadDim*FP32Bytes+IndexHeadDim*FP32Bytes))+(TotalLayers*RoutedExperts*HiddenSize*BF16Bytes+(TotalLayers-ActiveHashLayers)*RoutedExperts*FP32Bytes+ActiveHashLayers*VocabSize*ActivatedExperts*INT32Bytes)+(TotalLayers*TP1LocalExperts*(3*HiddenSize*ExpertInter*FP4Bytes+3*HiddenSize*ExpertInter/FP4Block*ScaleBytes))+(TotalLayers*SharedExperts*(2*((HiddenSize)*(ExpertInter)*FP8Bytes+ROUNDUP((HiddenSize)/FP8Block,0)*ROUNDUP((ExpertInter)/FP8Block,0)*ScaleBytes)+((ExpertInter)*(HiddenSize)*FP8Bytes+ROUNDUP((ExpertInter)/FP8Block,0)*ROUNDUP((HiddenSize)/FP8Block,0)*ScaleBytes)))+((TotalLayers*2*(((2+HCSlots)*HCSlots)*HCSlots*HiddenSize+((2+HCSlots)*HCSlots)+3))*FP32Bytes+(HCSlots*HCSlots*HiddenSize+HCSlots+1)*FP32Bytes)+((TotalLayers*(2*HiddenSize+QLoraRank+HeadDim+TP1LocalHeads))*FP32Bytes+(HiddenSize)*FP32Bytes)+(0)+(TP1LocalVocab*HiddenSize*FP32Bytes)+(0)+(0))+(PrefillBatch*(HeadDim*BF16Bytes*(WindowLayers*WindowSize+ShortLayers*(WindowSize+INT(MaxContext/ShortRatio))+LongLayers*(WindowSize+INT(MaxContext/LongRatio)))+ShortLayers*INT(MaxContext/ShortRatio)*IndexHeadDim*BF16Bytes)+PrefillBatch*FP32Bytes*(ShortLayers*2*(2*ShortRatio)*(2*HeadDim)+LongLayers*2*LongRatio*HeadDim+ShortLayers*2*(2*ShortRatio)*(2*IndexHeadDim)))</f>
        <v>166349315548.0</v>
      </c>
      <c r="AF13" s="32">
        <f>(0)+(PF_Rows*TotalLayers*2*(HiddenSize*QLoraRank+QLoraRank*TP1LocalHeads*HeadDim+HiddenSize*HeadDim+TP1LocalHeads*HeadDim*OLoraRank+TP1LocalOGroups*OLoraRank*HiddenSize))+(4*PrefillBatch*TP1KernelLocalHeads*HeadDim*(WindowLayers*PF_RawPairs))+(4*PrefillBatch*TP1KernelLocalHeads*HeadDim*(ShortLayers*(PF_RawPairs+PF_ShortPairs)))+(4*PrefillBatch*TP1KernelLocalHeads*HeadDim*(LongLayers*(PF_RawPairs+PF_LongPairs)))+(2*PF_Rows*ShortLayers*(QLoraRank*TP1LocalIndexHeads*IndexHeadDim+HiddenSize*TP1LocalIndexHeads))+(2*PrefillBatch*ShortLayers*TP1LocalIndexHeads*IndexHeadDim*PF_IndexPairs)+(PF_Rows*ShortLayers*8*HiddenSize*HeadDim)+(PF_Rows*LongLayers*4*HiddenSize*HeadDim)+(PF_Rows*ShortLayers*8*HiddenSize*IndexHeadDim)+(2*PF_Rows*TotalLayers*HiddenSize*RoutedExperts)+(PF_Rows*TotalLayers*(ActivatedExperts/TP1Size)*6*HiddenSize*ExpertInter)+(PF_Rows*TotalLayers*SharedExperts*6*HiddenSize*ExpertInter)+(TotalLayers*2*(2*PF_Rows*HCSlots*HiddenSize*((2+HCSlots)*HCSlots)+PF_Rows*(2*HCSlots*HiddenSize+1)+PF_Rows*HiddenSize*(2*HCSlots-1)+PF_Rows*HCSlots*HiddenSize*(2*HCSlots+1))+2*PF_Rows*HCSlots*HiddenSize*HCSlots+PF_Rows*(2*HCSlots*HiddenSize+1)+PF_Rows*HiddenSize*(2*HCSlots-1))+(PF_Rows*TotalLayers*2*(4*HiddenSize+1)+PF_Rows*(4*HiddenSize+1))+(0)+(2*PrefillBatch*HiddenSize*TP1LocalVocab)+(0)+(0)</f>
        <v>228397682114560.0</v>
      </c>
      <c r="AG13" s="32">
        <f>((PF_Rows*HiddenSize*BF16Bytes)+(PF_Rows*HiddenSize*BF16Bytes))+((TotalLayers*(((HiddenSize)*(QLoraRank)*FP8Bytes+ROUNDUP((HiddenSize)/FP8Block,0)*ROUNDUP((QLoraRank)/FP8Block,0)*ScaleBytes)+((QLoraRank)*(TP1LocalHeads*HeadDim)*FP8Bytes+ROUNDUP((QLoraRank)/FP8Block,0)*ROUNDUP((TP1LocalHeads*HeadDim)/FP8Block,0)*ScaleBytes)+((HiddenSize)*(HeadDim)*FP8Bytes+ROUNDUP((HiddenSize)/FP8Block,0)*ROUNDUP((HeadDim)/FP8Block,0)*ScaleBytes)+TP1LocalHeads*HeadDim*OLoraRank*BF16Bytes+((TP1LocalOGroups*OLoraRank)*(HiddenSize)*FP8Bytes+ROUNDUP((TP1LocalOGroups*OLoraRank)/FP8Block,0)*ROUNDUP((HiddenSize)/FP8Block,0)*ScaleBytes))+PF_Rows*TotalLayers*(2*HiddenSize*BF16Bytes+QLoraRank*BF16Bytes+TP1KernelLocalHeads*HeadDim*BF16Bytes+TP1LocalOGroups*OLoraRank*BF16Bytes))+(PF_Rows*TotalLayers*(QLoraRank+TP1KernelLocalHeads*HeadDim+HeadDim+TP1LocalOGroups*OLoraRank+HiddenSize)*BF16Bytes))+((PF_Rows*WindowLayers*TP1KernelLocalHeads*HeadDim*BF16Bytes+PrefillBatch*(WindowLayers*PF_RawPairs)*HeadDim*BF16Bytes)+(PF_Rows*WindowLayers*TP1KernelLocalHeads*HeadDim*BF16Bytes))+((PF_Rows*ShortLayers*TP1KernelLocalHeads*HeadDim*BF16Bytes+PrefillBatch*(ShortLayers*(PF_RawPairs+PF_ShortPairs))*HeadDim*BF16Bytes)+(PF_Rows*ShortLayers*TP1KernelLocalHeads*HeadDim*BF16Bytes))+((PF_Rows*LongLayers*TP1KernelLocalHeads*HeadDim*BF16Bytes+PrefillBatch*(LongLayers*(PF_RawPairs+PF_LongPairs))*HeadDim*BF16Bytes)+(PF_Rows*LongLayers*TP1KernelLocalHeads*HeadDim*BF16Bytes))+((ShortLayers*(((QLoraRank)*(TP1LocalIndexHeads*IndexHeadDim)*FP8Bytes+ROUNDUP((QLoraRank)/FP8Block,0)*ROUNDUP((TP1LocalIndexHeads*IndexHeadDim)/FP8Block,0)*ScaleBytes)+HiddenSize*TP1LocalIndexHeads*BF16Bytes)+PF_Rows*ShortLayers*(QLoraRank+HiddenSize)*BF16Bytes)+(PF_Rows*ShortLayers*TP1LocalIndexHeads*(IndexHeadDim+1)*BF16Bytes))+((PrefillBatch*ShortLayers*PF_IndexPairs*(IndexHeadDim*BF16Bytes+TP1LocalIndexHeads*BF16Bytes))+(PrefillBatch*ShortLayers*PF_IndexPairs*(TP1LocalIndexHeads*BF16Bytes+FP32Bytes)))+((ShortLayers*(2*HiddenSize*(2*HeadDim)*FP32Bytes+ShortRatio*2*HeadDim*FP32Bytes+HeadDim*FP32Bytes)+PF_Rows*ShortLayers*HiddenSize*FP32Bytes)+(PF_Rows*ShortLayers*4*HeadDim*FP32Bytes))+((LongLayers*(2*HiddenSize*HeadDim*FP32Bytes+LongRatio*HeadDim*FP32Bytes+HeadDim*FP32Bytes)+PF_Rows*LongLayers*HiddenSize*FP32Bytes)+(PF_Rows*LongLayers*2*HeadDim*FP32Bytes))+((ShortLayers*(2*HiddenSize*(2*IndexHeadDim)*FP32Bytes+ShortRatio*2*IndexHeadDim*FP32Bytes+IndexHeadDim*FP32Bytes)+PF_Rows*ShortLayers*HiddenSize*FP32Bytes)+(PF_Rows*ShortLayers*4*IndexHeadDim*FP32Bytes))+((TotalLayers*RoutedExperts*HiddenSize*BF16Bytes+(TotalLayers-ActiveHashLayers)*RoutedExperts*FP32Bytes+PF_Rows*TotalLayers*HiddenSize*BF16Bytes+PF_Rows*ActiveHashLayers*ActivatedExperts*INT32Bytes)+(PF_Rows*TotalLayers*RoutedExperts*FP32Bytes))+((TotalLayers*TP1LocalExperts*PF_ExpertActiveProbability*(3*HiddenSize*ExpertInter*FP4Bytes+3*HiddenSize*ExpertInter/FP4Block*ScaleBytes)+PF_Rows*TotalLayers*(ActivatedExperts/TP1Size)*HiddenSize*BF16Bytes)+(PF_Rows*TotalLayers*(ActivatedExperts/TP1Size)*HiddenSize*BF16Bytes))+((TotalLayers*SharedExperts*(2*((HiddenSize)*(ExpertInter)*FP8Bytes+ROUNDUP((HiddenSize)/FP8Block,0)*ROUNDUP((ExpertInter)/FP8Block,0)*ScaleBytes)+((ExpertInter)*(HiddenSize)*FP8Bytes+ROUNDUP((ExpertInter)/FP8Block,0)*ROUNDUP((HiddenSize)/FP8Block,0)*ScaleBytes))+PF_Rows*TotalLayers*SharedExperts*HiddenSize*BF16Bytes)+(PF_Rows*TotalLayers*SharedExperts*HiddenSize*BF16Bytes))+((TotalLayers*2*((2+HCSlots)*HCSlots*HCSlots*HiddenSize*FP32Bytes+((2+HCSlots)*HCSlots+3)*FP32Bytes)+PF_Rows*TotalLayers*4*HCSlots*HiddenSize*BF16Bytes+(HCSlots*HCSlots*HiddenSize+HCSlots+1)*FP32Bytes+PF_Rows*HCSlots*HiddenSize*BF16Bytes)+(PF_Rows*TotalLayers*4*HCSlots*HiddenSize*BF16Bytes+PF_Rows*HiddenSize*BF16Bytes))+((TotalLayers*(2*HiddenSize+QLoraRank+HeadDim+TP1LocalHeads)*FP32Bytes+HiddenSize*FP32Bytes+PF_Rows*TotalLayers*2*HiddenSize*BF16Bytes+PF_Rows*HiddenSize*BF16Bytes)+(PF_Rows*TotalLayers*2*HiddenSize*BF16Bytes+PF_Rows*HiddenSize*BF16Bytes))+((0)+(0))+((TP1LocalVocab*HiddenSize*FP32Bytes+PrefillBatch*HiddenSize*FP32Bytes)+(PrefillBatch*TP1LocalVocab*FP32Bytes))+((0)+(0))+((0)+(0))</f>
        <v>656770882012.0</v>
      </c>
      <c r="AH13" s="32">
        <f>((TP8LocalVocab*HiddenSize*BF16Bytes)+(TotalLayers*(((HiddenSize)*(QLoraRank)*FP8Bytes+ROUNDUP((HiddenSize)/FP8Block,0)*ROUNDUP((QLoraRank)/FP8Block,0)*ScaleBytes)+((QLoraRank)*(TP8LocalHeads*HeadDim)*FP8Bytes+ROUNDUP((QLoraRank)/FP8Block,0)*ROUNDUP((TP8LocalHeads*HeadDim)/FP8Block,0)*ScaleBytes)+((HiddenSize)*(HeadDim)*FP8Bytes+ROUNDUP((HiddenSize)/FP8Block,0)*ROUNDUP((HeadDim)/FP8Block,0)*ScaleBytes)+TP8LocalHeads*HeadDim*OLoraRank*BF16Bytes+((TP8LocalOGroups*OLoraRank)*(HiddenSize)*FP8Bytes+ROUNDUP((TP8LocalOGroups*OLoraRank)/FP8Block,0)*ROUNDUP((HiddenSize)/FP8Block,0)*ScaleBytes)))+(0)+(0)+(0)+(ShortLayers*(((QLoraRank)*(TP8LocalIndexHeads*IndexHeadDim)*FP8Bytes+ROUNDUP((QLoraRank)/FP8Block,0)*ROUNDUP((TP8LocalIndexHeads*IndexHeadDim)/FP8Block,0)*ScaleBytes)+HiddenSize*TP8LocalIndexHeads*BF16Bytes))+(0)+(ShortLayers*(2*HiddenSize*(2*HeadDim)*FP32Bytes+ShortRatio*2*HeadDim*FP32Bytes+HeadDim*FP32Bytes))+(LongLayers*(2*HiddenSize*HeadDim*FP32Bytes+LongRatio*HeadDim*FP32Bytes+HeadDim*FP32Bytes))+(ShortLayers*(2*HiddenSize*(2*IndexHeadDim)*FP32Bytes+ShortRatio*2*IndexHeadDim*FP32Bytes+IndexHeadDim*FP32Bytes))+(TotalLayers*RoutedExperts*HiddenSize*BF16Bytes+(TotalLayers-ActiveHashLayers)*RoutedExperts*FP32Bytes+ActiveHashLayers*VocabSize*ActivatedExperts*INT32Bytes)+(TotalLayers*TP8LocalExperts*(3*HiddenSize*ExpertInter*FP4Bytes+3*HiddenSize*ExpertInter/FP4Block*ScaleBytes))+(TotalLayers*SharedExperts*(2*((HiddenSize)*(ExpertInter)*FP8Bytes+ROUNDUP((HiddenSize)/FP8Block,0)*ROUNDUP((ExpertInter)/FP8Block,0)*ScaleBytes)+((ExpertInter)*(HiddenSize)*FP8Bytes+ROUNDUP((ExpertInter)/FP8Block,0)*ROUNDUP((HiddenSize)/FP8Block,0)*ScaleBytes)))+((TotalLayers*2*(((2+HCSlots)*HCSlots)*HCSlots*HiddenSize+((2+HCSlots)*HCSlots)+3))*FP32Bytes+(HCSlots*HCSlots*HiddenSize+HCSlots+1)*FP32Bytes)+((TotalLayers*(2*HiddenSize+QLoraRank+HeadDim+TP8LocalHeads))*FP32Bytes+(HiddenSize)*FP32Bytes)+(0)+(TP8LocalVocab*HiddenSize*FP32Bytes)+(0)+(0))+(PrefillBatch*(HeadDim*BF16Bytes*(WindowLayers*WindowSize+ShortLayers*(WindowSize+INT(MaxContext/ShortRatio))+LongLayers*(WindowSize+INT(MaxContext/LongRatio)))+ShortLayers*INT(MaxContext/ShortRatio)*IndexHeadDim*BF16Bytes)+PrefillBatch*FP32Bytes*(ShortLayers*2*(2*ShortRatio)*(2*HeadDim)+LongLayers*2*LongRatio*HeadDim+ShortLayers*2*(2*ShortRatio)*(2*IndexHeadDim)))</f>
        <v>29581867388.0</v>
      </c>
      <c r="AI13" s="32">
        <f>(0)+(PF_Rows*TotalLayers*2*(HiddenSize*QLoraRank+QLoraRank*TP8LocalHeads*HeadDim+HiddenSize*HeadDim+TP8LocalHeads*HeadDim*OLoraRank+TP8LocalOGroups*OLoraRank*HiddenSize))+(4*PrefillBatch*TP8KernelLocalHeads*HeadDim*(WindowLayers*PF_RawPairs))+(4*PrefillBatch*TP8KernelLocalHeads*HeadDim*(ShortLayers*(PF_RawPairs+PF_ShortPairs)))+(4*PrefillBatch*TP8KernelLocalHeads*HeadDim*(LongLayers*(PF_RawPairs+PF_LongPairs)))+(2*PF_Rows*ShortLayers*(QLoraRank*TP8LocalIndexHeads*IndexHeadDim+HiddenSize*TP8LocalIndexHeads))+(2*PrefillBatch*ShortLayers*TP8LocalIndexHeads*IndexHeadDim*PF_IndexPairs)+(PF_Rows*ShortLayers*8*HiddenSize*HeadDim)+(PF_Rows*LongLayers*4*HiddenSize*HeadDim)+(PF_Rows*ShortLayers*8*HiddenSize*IndexHeadDim)+(2*PF_Rows*TotalLayers*HiddenSize*RoutedExperts)+(PF_Rows*TotalLayers*(ActivatedExperts/TP8Size)*6*HiddenSize*ExpertInter)+(PF_Rows*TotalLayers*SharedExperts*6*HiddenSize*ExpertInter)+(TotalLayers*2*(2*PF_Rows*HCSlots*HiddenSize*((2+HCSlots)*HCSlots)+PF_Rows*(2*HCSlots*HiddenSize+1)+PF_Rows*HiddenSize*(2*HCSlots-1)+PF_Rows*HCSlots*HiddenSize*(2*HCSlots+1))+2*PF_Rows*HCSlots*HiddenSize*HCSlots+PF_Rows*(2*HCSlots*HiddenSize+1)+PF_Rows*HiddenSize*(2*HCSlots-1))+(PF_Rows*TotalLayers*2*(4*HiddenSize+1)+PF_Rows*(4*HiddenSize+1))+(0)+(2*PrefillBatch*HiddenSize*TP8LocalVocab)+(0)+(0)</f>
        <v>55652568907776.0</v>
      </c>
      <c r="AJ13" s="32">
        <f>((PF_Rows*HiddenSize*BF16Bytes)+(PF_Rows*HiddenSize*BF16Bytes))+((TotalLayers*(((HiddenSize)*(QLoraRank)*FP8Bytes+ROUNDUP((HiddenSize)/FP8Block,0)*ROUNDUP((QLoraRank)/FP8Block,0)*ScaleBytes)+((QLoraRank)*(TP8LocalHeads*HeadDim)*FP8Bytes+ROUNDUP((QLoraRank)/FP8Block,0)*ROUNDUP((TP8LocalHeads*HeadDim)/FP8Block,0)*ScaleBytes)+((HiddenSize)*(HeadDim)*FP8Bytes+ROUNDUP((HiddenSize)/FP8Block,0)*ROUNDUP((HeadDim)/FP8Block,0)*ScaleBytes)+TP8LocalHeads*HeadDim*OLoraRank*BF16Bytes+((TP8LocalOGroups*OLoraRank)*(HiddenSize)*FP8Bytes+ROUNDUP((TP8LocalOGroups*OLoraRank)/FP8Block,0)*ROUNDUP((HiddenSize)/FP8Block,0)*ScaleBytes))+PF_Rows*TotalLayers*(2*HiddenSize*BF16Bytes+QLoraRank*BF16Bytes+TP8KernelLocalHeads*HeadDim*BF16Bytes+TP8LocalOGroups*OLoraRank*BF16Bytes))+(PF_Rows*TotalLayers*(QLoraRank+TP8KernelLocalHeads*HeadDim+HeadDim+TP8LocalOGroups*OLoraRank+HiddenSize)*BF16Bytes))+((PF_Rows*WindowLayers*TP8KernelLocalHeads*HeadDim*BF16Bytes+PrefillBatch*(WindowLayers*PF_RawPairs)*HeadDim*BF16Bytes)+(PF_Rows*WindowLayers*TP8KernelLocalHeads*HeadDim*BF16Bytes))+((PF_Rows*ShortLayers*TP8KernelLocalHeads*HeadDim*BF16Bytes+PrefillBatch*(ShortLayers*(PF_RawPairs+PF_ShortPairs))*HeadDim*BF16Bytes)+(PF_Rows*ShortLayers*TP8KernelLocalHeads*HeadDim*BF16Bytes))+((PF_Rows*LongLayers*TP8KernelLocalHeads*HeadDim*BF16Bytes+PrefillBatch*(LongLayers*(PF_RawPairs+PF_LongPairs))*HeadDim*BF16Bytes)+(PF_Rows*LongLayers*TP8KernelLocalHeads*HeadDim*BF16Bytes))+((ShortLayers*(((QLoraRank)*(TP8LocalIndexHeads*IndexHeadDim)*FP8Bytes+ROUNDUP((QLoraRank)/FP8Block,0)*ROUNDUP((TP8LocalIndexHeads*IndexHeadDim)/FP8Block,0)*ScaleBytes)+HiddenSize*TP8LocalIndexHeads*BF16Bytes)+PF_Rows*ShortLayers*(QLoraRank+HiddenSize)*BF16Bytes)+(PF_Rows*ShortLayers*TP8LocalIndexHeads*(IndexHeadDim+1)*BF16Bytes))+((PrefillBatch*ShortLayers*PF_IndexPairs*(IndexHeadDim*BF16Bytes+TP8LocalIndexHeads*BF16Bytes))+(PrefillBatch*ShortLayers*PF_IndexPairs*(TP8LocalIndexHeads*BF16Bytes+FP32Bytes)))+((ShortLayers*(2*HiddenSize*(2*HeadDim)*FP32Bytes+ShortRatio*2*HeadDim*FP32Bytes+HeadDim*FP32Bytes)+PF_Rows*ShortLayers*HiddenSize*FP32Bytes)+(PF_Rows*ShortLayers*4*HeadDim*FP32Bytes))+((LongLayers*(2*HiddenSize*HeadDim*FP32Bytes+LongRatio*HeadDim*FP32Bytes+HeadDim*FP32Bytes)+PF_Rows*LongLayers*HiddenSize*FP32Bytes)+(PF_Rows*LongLayers*2*HeadDim*FP32Bytes))+((ShortLayers*(2*HiddenSize*(2*IndexHeadDim)*FP32Bytes+ShortRatio*2*IndexHeadDim*FP32Bytes+IndexHeadDim*FP32Bytes)+PF_Rows*ShortLayers*HiddenSize*FP32Bytes)+(PF_Rows*ShortLayers*4*IndexHeadDim*FP32Bytes))+((TotalLayers*RoutedExperts*HiddenSize*BF16Bytes+(TotalLayers-ActiveHashLayers)*RoutedExperts*FP32Bytes+PF_Rows*TotalLayers*HiddenSize*BF16Bytes+PF_Rows*ActiveHashLayers*ActivatedExperts*INT32Bytes)+(PF_Rows*TotalLayers*RoutedExperts*FP32Bytes))+((TotalLayers*TP8LocalExperts*PF_ExpertActiveProbability*(3*HiddenSize*ExpertInter*FP4Bytes+3*HiddenSize*ExpertInter/FP4Block*ScaleBytes)+PF_Rows*TotalLayers*(ActivatedExperts/TP8Size)*HiddenSize*BF16Bytes)+(PF_Rows*TotalLayers*(ActivatedExperts/TP8Size)*HiddenSize*BF16Bytes))+((TotalLayers*SharedExperts*(2*((HiddenSize)*(ExpertInter)*FP8Bytes+ROUNDUP((HiddenSize)/FP8Block,0)*ROUNDUP((ExpertInter)/FP8Block,0)*ScaleBytes)+((ExpertInter)*(HiddenSize)*FP8Bytes+ROUNDUP((ExpertInter)/FP8Block,0)*ROUNDUP((HiddenSize)/FP8Block,0)*ScaleBytes))+PF_Rows*TotalLayers*SharedExperts*HiddenSize*BF16Bytes)+(PF_Rows*TotalLayers*SharedExperts*HiddenSize*BF16Bytes))+((TotalLayers*2*((2+HCSlots)*HCSlots*HCSlots*HiddenSize*FP32Bytes+((2+HCSlots)*HCSlots+3)*FP32Bytes)+PF_Rows*TotalLayers*4*HCSlots*HiddenSize*BF16Bytes+(HCSlots*HCSlots*HiddenSize+HCSlots+1)*FP32Bytes+PF_Rows*HCSlots*HiddenSize*BF16Bytes)+(PF_Rows*TotalLayers*4*HCSlots*HiddenSize*BF16Bytes+PF_Rows*HiddenSize*BF16Bytes))+((TotalLayers*(2*HiddenSize+QLoraRank+HeadDim+TP8LocalHeads)*FP32Bytes+HiddenSize*FP32Bytes+PF_Rows*TotalLayers*2*HiddenSize*BF16Bytes+PF_Rows*HiddenSize*BF16Bytes)+(PF_Rows*TotalLayers*2*HiddenSize*BF16Bytes+PF_Rows*HiddenSize*BF16Bytes))+((0)+(0))+((TP8LocalVocab*HiddenSize*FP32Bytes+PrefillBatch*HiddenSize*FP32Bytes)+(PrefillBatch*TP8LocalVocab*FP32Bytes))+((0)+(0))+((0)+(0))</f>
        <v>369337880060.0</v>
      </c>
      <c r="AK13" s="32">
        <f>(4*(TP1Size-1)/TP1Size*PF_Rows*HiddenSize*BF16Bytes)+(0)+(0)+(0)+(0)+(0)+(0)+(0)+(0)+(0)+(0)+(0)+(0)+(0)+(0)+(0)+(2*(TP1Size-1)*PrefillBatch*TP1LocalVocab*FP32Bytes)+(4*(TP1Size-1)/TP1Size*PF_Rows*HiddenSize*FP32Bytes*TotalLayers)+(4*(TP1Size-1)/TP1Size*PF_Rows*HiddenSize*FP32Bytes*TotalLayers)</f>
        <v>0.0</v>
      </c>
      <c r="AL13" s="32">
        <f>(4*(TP8Size-1)/TP8Size*PF_Rows*HiddenSize*BF16Bytes)+(0)+(0)+(0)+(0)+(0)+(0)+(0)+(0)+(0)+(0)+(0)+(0)+(0)+(0)+(0)+(2*(TP8Size-1)*PrefillBatch*TP8LocalVocab*FP32Bytes)+(4*(TP8Size-1)/TP8Size*PF_Rows*HiddenSize*FP32Bytes*TotalLayers)+(4*(TP8Size-1)/TP8Size*PF_Rows*HiddenSize*FP32Bytes*TotalLayers)</f>
        <v>40635322112.0</v>
      </c>
    </row>
    <row r="14" spans="1:38">
      <c r="A14" s="4" t="s">
        <v>40</v>
      </c>
      <c r="B14" s="33" t="str">
        <f>TEXT(IF(ABS(AE14)&gt;=1E12,AE14/1E12,IF(ABS(AE14)&gt;=1E9,AE14/1E9,IF(ABS(AE14)&gt;=1E6,AE14/1E6,IF(ABS(AE14)&gt;=1E3,AE14/1E3,AE14)))),"#,##0.000")&amp;IF((IF(ABS(AE14)&gt;=1E12,"TB",IF(ABS(AE14)&gt;=1E9,"GB",IF(ABS(AE14)&gt;=1E6,"MB",IF(ABS(AE14)&gt;=1E3,"KB","bytes")))))="",""," "&amp;(IF(ABS(AE14)&gt;=1E12,"TB",IF(ABS(AE14)&gt;=1E9,"GB",IF(ABS(AE14)&gt;=1E6,"MB",IF(ABS(AE14)&gt;=1E3,"KB","bytes"))))))</f>
        <v>7.451 GB</v>
      </c>
      <c r="C14" s="33" t="str">
        <f>TEXT(IF(ABS(AF14)&gt;=1E15,AF14/1E15,IF(ABS(AF14)&gt;=1E12,AF14/1E12,IF(ABS(AF14)&gt;=1E9,AF14/1E9,IF(ABS(AF14)&gt;=1E6,AF14/1E6,AF14)))),"#,##0.000")&amp;IF((IF(ABS(AF14)&gt;=1E15,"PFLOPs",IF(ABS(AF14)&gt;=1E12,"TFLOPs",IF(ABS(AF14)&gt;=1E9,"GFLOPs",IF(ABS(AF14)&gt;=1E6,"MFLOPs","flops")))))="",""," "&amp;(IF(ABS(AF14)&gt;=1E15,"PFLOPs",IF(ABS(AF14)&gt;=1E12,"TFLOPs",IF(ABS(AF14)&gt;=1E9,"GFLOPs",IF(ABS(AF14)&gt;=1E6,"MFLOPs","flops"))))))</f>
        <v>102.836 TFLOPs</v>
      </c>
      <c r="D14" s="33" t="str">
        <f>TEXT(IF(ABS(AK14)&gt;=1E12,AK14/1E12,IF(ABS(AK14)&gt;=1E9,AK14/1E9,IF(ABS(AK14)&gt;=1E6,AK14/1E6,IF(ABS(AK14)&gt;=1E3,AK14/1E3,AK14)))),"#,##0.000")&amp;IF((IF(ABS(AK14)&gt;=1E12,"TB",IF(ABS(AK14)&gt;=1E9,"GB",IF(ABS(AK14)&gt;=1E6,"MB",IF(ABS(AK14)&gt;=1E3,"KB","bytes")))))="",""," "&amp;(IF(ABS(AK14)&gt;=1E12,"TB",IF(ABS(AK14)&gt;=1E9,"GB",IF(ABS(AK14)&gt;=1E6,"MB",IF(ABS(AK14)&gt;=1E3,"KB","bytes"))))))</f>
        <v>0.000 B</v>
      </c>
      <c r="E14" s="33" t="str">
        <f>TEXT(IF(ABS(AH14)&gt;=1E12,AH14/1E12,IF(ABS(AH14)&gt;=1E9,AH14/1E9,IF(ABS(AH14)&gt;=1E6,AH14/1E6,IF(ABS(AH14)&gt;=1E3,AH14/1E3,AH14)))),"#,##0.000")&amp;IF((IF(ABS(AH14)&gt;=1E12,"TB",IF(ABS(AH14)&gt;=1E9,"GB",IF(ABS(AH14)&gt;=1E6,"MB",IF(ABS(AH14)&gt;=1E3,"KB","bytes")))))="",""," "&amp;(IF(ABS(AH14)&gt;=1E12,"TB",IF(ABS(AH14)&gt;=1E9,"GB",IF(ABS(AH14)&gt;=1E6,"MB",IF(ABS(AH14)&gt;=1E3,"KB","bytes"))))))</f>
        <v>2.238 GB</v>
      </c>
      <c r="F14" s="33" t="str">
        <f>TEXT(IF(ABS(AI14)&gt;=1E15,AI14/1E15,IF(ABS(AI14)&gt;=1E12,AI14/1E12,IF(ABS(AI14)&gt;=1E9,AI14/1E9,IF(ABS(AI14)&gt;=1E6,AI14/1E6,AI14)))),"#,##0.000")&amp;IF((IF(ABS(AI14)&gt;=1E15,"PFLOPs",IF(ABS(AI14)&gt;=1E12,"TFLOPs",IF(ABS(AI14)&gt;=1E9,"GFLOPs",IF(ABS(AI14)&gt;=1E6,"MFLOPs","flops")))))="",""," "&amp;(IF(ABS(AI14)&gt;=1E15,"PFLOPs",IF(ABS(AI14)&gt;=1E12,"TFLOPs",IF(ABS(AI14)&gt;=1E9,"GFLOPs",IF(ABS(AI14)&gt;=1E6,"MFLOPs","flops"))))))</f>
        <v>23.172 TFLOPs</v>
      </c>
      <c r="G14" s="33" t="str">
        <f>TEXT(IF(ABS(AL14)&gt;=1E12,AL14/1E12,IF(ABS(AL14)&gt;=1E9,AL14/1E9,IF(ABS(AL14)&gt;=1E6,AL14/1E6,IF(ABS(AL14)&gt;=1E3,AL14/1E3,AL14)))),"#,##0.000")&amp;IF((IF(ABS(AL14)&gt;=1E12,"TB",IF(ABS(AL14)&gt;=1E9,"GB",IF(ABS(AL14)&gt;=1E6,"MB",IF(ABS(AL14)&gt;=1E3,"KB","bytes")))))="",""," "&amp;(IF(ABS(AL14)&gt;=1E12,"TB",IF(ABS(AL14)&gt;=1E9,"GB",IF(ABS(AL14)&gt;=1E6,"MB",IF(ABS(AL14)&gt;=1E3,"KB","bytes"))))))</f>
        <v>20.200 GB</v>
      </c>
      <c r="H14" s="4" t="s">
        <v>237</v>
      </c>
      <c r="I14" s="4" t="s">
        <v>238</v>
      </c>
      <c r="J14" s="4" t="s">
        <v>236</v>
      </c>
      <c r="AE14" s="32">
        <f>(TotalLayers*(((HiddenSize)*(QLoraRank)*FP8Bytes+ROUNDUP((HiddenSize)/FP8Block,0)*ROUNDUP((QLoraRank)/FP8Block,0)*ScaleBytes)+((QLoraRank)*(TP1LocalHeads*HeadDim)*FP8Bytes+ROUNDUP((QLoraRank)/FP8Block,0)*ROUNDUP((TP1LocalHeads*HeadDim)/FP8Block,0)*ScaleBytes)+((HiddenSize)*(HeadDim)*FP8Bytes+ROUNDUP((HiddenSize)/FP8Block,0)*ROUNDUP((HeadDim)/FP8Block,0)*ScaleBytes)+TP1LocalHeads*HeadDim*OLoraRank*BF16Bytes+((TP1LocalOGroups*OLoraRank)*(HiddenSize)*FP8Bytes+ROUNDUP((TP1LocalOGroups*OLoraRank)/FP8Block,0)*ROUNDUP((HiddenSize)/FP8Block,0)*ScaleBytes)))+(0)+(0)+(0)+(ShortLayers*(((QLoraRank)*(TP1LocalIndexHeads*IndexHeadDim)*FP8Bytes+ROUNDUP((QLoraRank)/FP8Block,0)*ROUNDUP((TP1LocalIndexHeads*IndexHeadDim)/FP8Block,0)*ScaleBytes)+HiddenSize*TP1LocalIndexHeads*BF16Bytes))+(0)+(ShortLayers*(2*HiddenSize*(2*HeadDim)*FP32Bytes+ShortRatio*2*HeadDim*FP32Bytes+HeadDim*FP32Bytes))+(LongLayers*(2*HiddenSize*HeadDim*FP32Bytes+LongRatio*HeadDim*FP32Bytes+HeadDim*FP32Bytes))+(ShortLayers*(2*HiddenSize*(2*IndexHeadDim)*FP32Bytes+ShortRatio*2*IndexHeadDim*FP32Bytes+IndexHeadDim*FP32Bytes))+(0)</f>
        <v>7451384960</v>
      </c>
      <c r="AF14" s="32">
        <f>(PF_Rows*TotalLayers*2*(HiddenSize*QLoraRank+QLoraRank*TP1LocalHeads*HeadDim+HiddenSize*HeadDim+TP1LocalHeads*HeadDim*OLoraRank+TP1LocalOGroups*OLoraRank*HiddenSize))+(4*PrefillBatch*TP1KernelLocalHeads*HeadDim*(WindowLayers*PF_RawPairs))+(4*PrefillBatch*TP1KernelLocalHeads*HeadDim*(ShortLayers*(PF_RawPairs+PF_ShortPairs)))+(4*PrefillBatch*TP1KernelLocalHeads*HeadDim*(LongLayers*(PF_RawPairs+PF_LongPairs)))+(2*PF_Rows*ShortLayers*(QLoraRank*TP1LocalIndexHeads*IndexHeadDim+HiddenSize*TP1LocalIndexHeads))+(2*PrefillBatch*ShortLayers*TP1LocalIndexHeads*IndexHeadDim*PF_IndexPairs)+(PF_Rows*ShortLayers*8*HiddenSize*HeadDim)+(PF_Rows*LongLayers*4*HiddenSize*HeadDim)+(PF_Rows*ShortLayers*8*HiddenSize*IndexHeadDim)+(0)</f>
        <v>102836037746688.0</v>
      </c>
      <c r="AG14" s="32">
        <f>((TotalLayers*(((HiddenSize)*(QLoraRank)*FP8Bytes+ROUNDUP((HiddenSize)/FP8Block,0)*ROUNDUP((QLoraRank)/FP8Block,0)*ScaleBytes)+((QLoraRank)*(TP1LocalHeads*HeadDim)*FP8Bytes+ROUNDUP((QLoraRank)/FP8Block,0)*ROUNDUP((TP1LocalHeads*HeadDim)/FP8Block,0)*ScaleBytes)+((HiddenSize)*(HeadDim)*FP8Bytes+ROUNDUP((HiddenSize)/FP8Block,0)*ROUNDUP((HeadDim)/FP8Block,0)*ScaleBytes)+TP1LocalHeads*HeadDim*OLoraRank*BF16Bytes+((TP1LocalOGroups*OLoraRank)*(HiddenSize)*FP8Bytes+ROUNDUP((TP1LocalOGroups*OLoraRank)/FP8Block,0)*ROUNDUP((HiddenSize)/FP8Block,0)*ScaleBytes))+PF_Rows*TotalLayers*(2*HiddenSize*BF16Bytes+QLoraRank*BF16Bytes+TP1KernelLocalHeads*HeadDim*BF16Bytes+TP1LocalOGroups*OLoraRank*BF16Bytes))+(PF_Rows*TotalLayers*(QLoraRank+TP1KernelLocalHeads*HeadDim+HeadDim+TP1LocalOGroups*OLoraRank+HiddenSize)*BF16Bytes))+((PF_Rows*WindowLayers*TP1KernelLocalHeads*HeadDim*BF16Bytes+PrefillBatch*(WindowLayers*PF_RawPairs)*HeadDim*BF16Bytes)+(PF_Rows*WindowLayers*TP1KernelLocalHeads*HeadDim*BF16Bytes))+((PF_Rows*ShortLayers*TP1KernelLocalHeads*HeadDim*BF16Bytes+PrefillBatch*(ShortLayers*(PF_RawPairs+PF_ShortPairs))*HeadDim*BF16Bytes)+(PF_Rows*ShortLayers*TP1KernelLocalHeads*HeadDim*BF16Bytes))+((PF_Rows*LongLayers*TP1KernelLocalHeads*HeadDim*BF16Bytes+PrefillBatch*(LongLayers*(PF_RawPairs+PF_LongPairs))*HeadDim*BF16Bytes)+(PF_Rows*LongLayers*TP1KernelLocalHeads*HeadDim*BF16Bytes))+((ShortLayers*(((QLoraRank)*(TP1LocalIndexHeads*IndexHeadDim)*FP8Bytes+ROUNDUP((QLoraRank)/FP8Block,0)*ROUNDUP((TP1LocalIndexHeads*IndexHeadDim)/FP8Block,0)*ScaleBytes)+HiddenSize*TP1LocalIndexHeads*BF16Bytes)+PF_Rows*ShortLayers*(QLoraRank+HiddenSize)*BF16Bytes)+(PF_Rows*ShortLayers*TP1LocalIndexHeads*(IndexHeadDim+1)*BF16Bytes))+((PrefillBatch*ShortLayers*PF_IndexPairs*(IndexHeadDim*BF16Bytes+TP1LocalIndexHeads*BF16Bytes))+(PrefillBatch*ShortLayers*PF_IndexPairs*(TP1LocalIndexHeads*BF16Bytes+FP32Bytes)))+((ShortLayers*(2*HiddenSize*(2*HeadDim)*FP32Bytes+ShortRatio*2*HeadDim*FP32Bytes+HeadDim*FP32Bytes)+PF_Rows*ShortLayers*HiddenSize*FP32Bytes)+(PF_Rows*ShortLayers*4*HeadDim*FP32Bytes))+((LongLayers*(2*HiddenSize*HeadDim*FP32Bytes+LongRatio*HeadDim*FP32Bytes+HeadDim*FP32Bytes)+PF_Rows*LongLayers*HiddenSize*FP32Bytes)+(PF_Rows*LongLayers*2*HeadDim*FP32Bytes))+((ShortLayers*(2*HiddenSize*(2*IndexHeadDim)*FP32Bytes+ShortRatio*2*IndexHeadDim*FP32Bytes+IndexHeadDim*FP32Bytes)+PF_Rows*ShortLayers*HiddenSize*FP32Bytes)+(PF_Rows*ShortLayers*4*IndexHeadDim*FP32Bytes))+((0)+(0))</f>
        <v>358037814400.0</v>
      </c>
      <c r="AH14" s="32">
        <f>(TotalLayers*(((HiddenSize)*(QLoraRank)*FP8Bytes+ROUNDUP((HiddenSize)/FP8Block,0)*ROUNDUP((QLoraRank)/FP8Block,0)*ScaleBytes)+((QLoraRank)*(TP8LocalHeads*HeadDim)*FP8Bytes+ROUNDUP((QLoraRank)/FP8Block,0)*ROUNDUP((TP8LocalHeads*HeadDim)/FP8Block,0)*ScaleBytes)+((HiddenSize)*(HeadDim)*FP8Bytes+ROUNDUP((HiddenSize)/FP8Block,0)*ROUNDUP((HeadDim)/FP8Block,0)*ScaleBytes)+TP8LocalHeads*HeadDim*OLoraRank*BF16Bytes+((TP8LocalOGroups*OLoraRank)*(HiddenSize)*FP8Bytes+ROUNDUP((TP8LocalOGroups*OLoraRank)/FP8Block,0)*ROUNDUP((HiddenSize)/FP8Block,0)*ScaleBytes)))+(0)+(0)+(0)+(ShortLayers*(((QLoraRank)*(TP8LocalIndexHeads*IndexHeadDim)*FP8Bytes+ROUNDUP((QLoraRank)/FP8Block,0)*ROUNDUP((TP8LocalIndexHeads*IndexHeadDim)/FP8Block,0)*ScaleBytes)+HiddenSize*TP8LocalIndexHeads*BF16Bytes))+(0)+(ShortLayers*(2*HiddenSize*(2*HeadDim)*FP32Bytes+ShortRatio*2*HeadDim*FP32Bytes+HeadDim*FP32Bytes))+(LongLayers*(2*HiddenSize*HeadDim*FP32Bytes+LongRatio*HeadDim*FP32Bytes+HeadDim*FP32Bytes))+(ShortLayers*(2*HiddenSize*(2*IndexHeadDim)*FP32Bytes+ShortRatio*2*IndexHeadDim*FP32Bytes+IndexHeadDim*FP32Bytes))+(0)</f>
        <v>2237504960</v>
      </c>
      <c r="AI14" s="32">
        <f>(PF_Rows*TotalLayers*2*(HiddenSize*QLoraRank+QLoraRank*TP8LocalHeads*HeadDim+HiddenSize*HeadDim+TP8LocalHeads*HeadDim*OLoraRank+TP8LocalOGroups*OLoraRank*HiddenSize))+(4*PrefillBatch*TP8KernelLocalHeads*HeadDim*(WindowLayers*PF_RawPairs))+(4*PrefillBatch*TP8KernelLocalHeads*HeadDim*(ShortLayers*(PF_RawPairs+PF_ShortPairs)))+(4*PrefillBatch*TP8KernelLocalHeads*HeadDim*(LongLayers*(PF_RawPairs+PF_LongPairs)))+(2*PF_Rows*ShortLayers*(QLoraRank*TP8LocalIndexHeads*IndexHeadDim+HiddenSize*TP8LocalIndexHeads))+(2*PrefillBatch*ShortLayers*TP8LocalIndexHeads*IndexHeadDim*PF_IndexPairs)+(PF_Rows*ShortLayers*8*HiddenSize*HeadDim)+(PF_Rows*LongLayers*4*HiddenSize*HeadDim)+(PF_Rows*ShortLayers*8*HiddenSize*IndexHeadDim)+(0)</f>
        <v>23172382457856.0</v>
      </c>
      <c r="AJ14" s="32">
        <f>((TotalLayers*(((HiddenSize)*(QLoraRank)*FP8Bytes+ROUNDUP((HiddenSize)/FP8Block,0)*ROUNDUP((QLoraRank)/FP8Block,0)*ScaleBytes)+((QLoraRank)*(TP8LocalHeads*HeadDim)*FP8Bytes+ROUNDUP((QLoraRank)/FP8Block,0)*ROUNDUP((TP8LocalHeads*HeadDim)/FP8Block,0)*ScaleBytes)+((HiddenSize)*(HeadDim)*FP8Bytes+ROUNDUP((HiddenSize)/FP8Block,0)*ROUNDUP((HeadDim)/FP8Block,0)*ScaleBytes)+TP8LocalHeads*HeadDim*OLoraRank*BF16Bytes+((TP8LocalOGroups*OLoraRank)*(HiddenSize)*FP8Bytes+ROUNDUP((TP8LocalOGroups*OLoraRank)/FP8Block,0)*ROUNDUP((HiddenSize)/FP8Block,0)*ScaleBytes))+PF_Rows*TotalLayers*(2*HiddenSize*BF16Bytes+QLoraRank*BF16Bytes+TP8KernelLocalHeads*HeadDim*BF16Bytes+TP8LocalOGroups*OLoraRank*BF16Bytes))+(PF_Rows*TotalLayers*(QLoraRank+TP8KernelLocalHeads*HeadDim+HeadDim+TP8LocalOGroups*OLoraRank+HiddenSize)*BF16Bytes))+((PF_Rows*WindowLayers*TP8KernelLocalHeads*HeadDim*BF16Bytes+PrefillBatch*(WindowLayers*PF_RawPairs)*HeadDim*BF16Bytes)+(PF_Rows*WindowLayers*TP8KernelLocalHeads*HeadDim*BF16Bytes))+((PF_Rows*ShortLayers*TP8KernelLocalHeads*HeadDim*BF16Bytes+PrefillBatch*(ShortLayers*(PF_RawPairs+PF_ShortPairs))*HeadDim*BF16Bytes)+(PF_Rows*ShortLayers*TP8KernelLocalHeads*HeadDim*BF16Bytes))+((PF_Rows*LongLayers*TP8KernelLocalHeads*HeadDim*BF16Bytes+PrefillBatch*(LongLayers*(PF_RawPairs+PF_LongPairs))*HeadDim*BF16Bytes)+(PF_Rows*LongLayers*TP8KernelLocalHeads*HeadDim*BF16Bytes))+((ShortLayers*(((QLoraRank)*(TP8LocalIndexHeads*IndexHeadDim)*FP8Bytes+ROUNDUP((QLoraRank)/FP8Block,0)*ROUNDUP((TP8LocalIndexHeads*IndexHeadDim)/FP8Block,0)*ScaleBytes)+HiddenSize*TP8LocalIndexHeads*BF16Bytes)+PF_Rows*ShortLayers*(QLoraRank+HiddenSize)*BF16Bytes)+(PF_Rows*ShortLayers*TP8LocalIndexHeads*(IndexHeadDim+1)*BF16Bytes))+((PrefillBatch*ShortLayers*PF_IndexPairs*(IndexHeadDim*BF16Bytes+TP8LocalIndexHeads*BF16Bytes))+(PrefillBatch*ShortLayers*PF_IndexPairs*(TP8LocalIndexHeads*BF16Bytes+FP32Bytes)))+((ShortLayers*(2*HiddenSize*(2*HeadDim)*FP32Bytes+ShortRatio*2*HeadDim*FP32Bytes+HeadDim*FP32Bytes)+PF_Rows*ShortLayers*HiddenSize*FP32Bytes)+(PF_Rows*ShortLayers*4*HeadDim*FP32Bytes))+((LongLayers*(2*HiddenSize*HeadDim*FP32Bytes+LongRatio*HeadDim*FP32Bytes+HeadDim*FP32Bytes)+PF_Rows*LongLayers*HiddenSize*FP32Bytes)+(PF_Rows*LongLayers*2*HeadDim*FP32Bytes))+((ShortLayers*(2*HiddenSize*(2*IndexHeadDim)*FP32Bytes+ShortRatio*2*IndexHeadDim*FP32Bytes+IndexHeadDim*FP32Bytes)+PF_Rows*ShortLayers*HiddenSize*FP32Bytes)+(PF_Rows*ShortLayers*4*IndexHeadDim*FP32Bytes))+((0)+(0))</f>
        <v>231531806144.0</v>
      </c>
      <c r="AK14" s="32">
        <f>(0)+(0)+(0)+(0)+(0)+(0)+(0)+(0)+(0)+(4*(TP1Size-1)/TP1Size*PF_Rows*HiddenSize*FP32Bytes*TotalLayers)</f>
        <v>0.0</v>
      </c>
      <c r="AL14" s="32">
        <f>(0)+(0)+(0)+(0)+(0)+(0)+(0)+(0)+(0)+(4*(TP8Size-1)/TP8Size*PF_Rows*HiddenSize*FP32Bytes*TotalLayers)</f>
        <v>20199768064.0</v>
      </c>
    </row>
    <row r="15" spans="1:38">
      <c r="A15" s="4" t="s">
        <v>59</v>
      </c>
      <c r="B15" s="33" t="str">
        <f>TEXT(IF(ABS(AE15)&gt;=1E12,AE15/1E12,IF(ABS(AE15)&gt;=1E9,AE15/1E9,IF(ABS(AE15)&gt;=1E6,AE15/1E6,IF(ABS(AE15)&gt;=1E3,AE15/1E3,AE15)))),"#,##0.000")&amp;IF((IF(ABS(AE15)&gt;=1E12,"TB",IF(ABS(AE15)&gt;=1E9,"GB",IF(ABS(AE15)&gt;=1E6,"MB",IF(ABS(AE15)&gt;=1E3,"KB","bytes")))))="",""," "&amp;(IF(ABS(AE15)&gt;=1E12,"TB",IF(ABS(AE15)&gt;=1E9,"GB",IF(ABS(AE15)&gt;=1E6,"MB",IF(ABS(AE15)&gt;=1E3,"KB","bytes"))))))</f>
        <v>148.351 GB</v>
      </c>
      <c r="C15" s="33" t="str">
        <f>TEXT(IF(ABS(AF15)&gt;=1E15,AF15/1E15,IF(ABS(AF15)&gt;=1E12,AF15/1E12,IF(ABS(AF15)&gt;=1E9,AF15/1E9,IF(ABS(AF15)&gt;=1E6,AF15/1E6,AF15)))),"#,##0.000")&amp;IF((IF(ABS(AF15)&gt;=1E15,"PFLOPs",IF(ABS(AF15)&gt;=1E12,"TFLOPs",IF(ABS(AF15)&gt;=1E9,"GFLOPs",IF(ABS(AF15)&gt;=1E6,"MFLOPs","flops")))))="",""," "&amp;(IF(ABS(AF15)&gt;=1E15,"PFLOPs",IF(ABS(AF15)&gt;=1E12,"TFLOPs",IF(ABS(AF15)&gt;=1E9,"GFLOPs",IF(ABS(AF15)&gt;=1E6,"MFLOPs","flops"))))))</f>
        <v>124.846 TFLOPs</v>
      </c>
      <c r="D15" s="33" t="str">
        <f>TEXT(IF(ABS(AK15)&gt;=1E12,AK15/1E12,IF(ABS(AK15)&gt;=1E9,AK15/1E9,IF(ABS(AK15)&gt;=1E6,AK15/1E6,IF(ABS(AK15)&gt;=1E3,AK15/1E3,AK15)))),"#,##0.000")&amp;IF((IF(ABS(AK15)&gt;=1E12,"TB",IF(ABS(AK15)&gt;=1E9,"GB",IF(ABS(AK15)&gt;=1E6,"MB",IF(ABS(AK15)&gt;=1E3,"KB","bytes")))))="",""," "&amp;(IF(ABS(AK15)&gt;=1E12,"TB",IF(ABS(AK15)&gt;=1E9,"GB",IF(ABS(AK15)&gt;=1E6,"MB",IF(ABS(AK15)&gt;=1E3,"KB","bytes"))))))</f>
        <v>0.000 B</v>
      </c>
      <c r="E15" s="33" t="str">
        <f>TEXT(IF(ABS(AH15)&gt;=1E12,AH15/1E12,IF(ABS(AH15)&gt;=1E9,AH15/1E9,IF(ABS(AH15)&gt;=1E6,AH15/1E6,IF(ABS(AH15)&gt;=1E3,AH15/1E3,AH15)))),"#,##0.000")&amp;IF((IF(ABS(AH15)&gt;=1E12,"TB",IF(ABS(AH15)&gt;=1E9,"GB",IF(ABS(AH15)&gt;=1E6,"MB",IF(ABS(AH15)&gt;=1E3,"KB","bytes")))))="",""," "&amp;(IF(ABS(AH15)&gt;=1E12,"TB",IF(ABS(AH15)&gt;=1E9,"GB",IF(ABS(AH15)&gt;=1E6,"MB",IF(ABS(AH15)&gt;=1E3,"KB","bytes"))))))</f>
        <v>19.578 GB</v>
      </c>
      <c r="F15" s="33" t="str">
        <f>TEXT(IF(ABS(AI15)&gt;=1E15,AI15/1E15,IF(ABS(AI15)&gt;=1E12,AI15/1E12,IF(ABS(AI15)&gt;=1E9,AI15/1E9,IF(ABS(AI15)&gt;=1E6,AI15/1E6,AI15)))),"#,##0.000")&amp;IF((IF(ABS(AI15)&gt;=1E15,"PFLOPs",IF(ABS(AI15)&gt;=1E12,"TFLOPs",IF(ABS(AI15)&gt;=1E9,"GFLOPs",IF(ABS(AI15)&gt;=1E6,"MFLOPs","flops")))))="",""," "&amp;(IF(ABS(AI15)&gt;=1E15,"PFLOPs",IF(ABS(AI15)&gt;=1E12,"TFLOPs",IF(ABS(AI15)&gt;=1E9,"GFLOPs",IF(ABS(AI15)&gt;=1E6,"MFLOPs","flops"))))))</f>
        <v>31.766 TFLOPs</v>
      </c>
      <c r="G15" s="33" t="str">
        <f>TEXT(IF(ABS(AL15)&gt;=1E12,AL15/1E12,IF(ABS(AL15)&gt;=1E9,AL15/1E9,IF(ABS(AL15)&gt;=1E6,AL15/1E6,IF(ABS(AL15)&gt;=1E3,AL15/1E3,AL15)))),"#,##0.000")&amp;IF((IF(ABS(AL15)&gt;=1E12,"TB",IF(ABS(AL15)&gt;=1E9,"GB",IF(ABS(AL15)&gt;=1E6,"MB",IF(ABS(AL15)&gt;=1E3,"KB","bytes")))))="",""," "&amp;(IF(ABS(AL15)&gt;=1E12,"TB",IF(ABS(AL15)&gt;=1E9,"GB",IF(ABS(AL15)&gt;=1E6,"MB",IF(ABS(AL15)&gt;=1E3,"KB","bytes"))))))</f>
        <v>20.200 GB</v>
      </c>
      <c r="H15" s="4" t="s">
        <v>240</v>
      </c>
      <c r="I15" s="4" t="s">
        <v>235</v>
      </c>
      <c r="J15" s="4" t="s">
        <v>239</v>
      </c>
      <c r="AE15" s="32">
        <f>(TotalLayers*RoutedExperts*HiddenSize*BF16Bytes+(TotalLayers-ActiveHashLayers)*RoutedExperts*FP32Bytes+ActiveHashLayers*VocabSize*ActivatedExperts*INT32Bytes)+(TotalLayers*TP1LocalExperts*(3*HiddenSize*ExpertInter*FP4Bytes+3*HiddenSize*ExpertInter/FP4Block*ScaleBytes))+(TotalLayers*SharedExperts*(2*((HiddenSize)*(ExpertInter)*FP8Bytes+ROUNDUP((HiddenSize)/FP8Block,0)*ROUNDUP((ExpertInter)/FP8Block,0)*ScaleBytes)+((ExpertInter)*(HiddenSize)*FP8Bytes+ROUNDUP((ExpertInter)/FP8Block,0)*ROUNDUP((HiddenSize)/FP8Block,0)*ScaleBytes)))+(0)</f>
        <v>148351461888.0</v>
      </c>
      <c r="AF15" s="32">
        <f>(2*PF_Rows*TotalLayers*HiddenSize*RoutedExperts)+(PF_Rows*TotalLayers*(ActivatedExperts/TP1Size)*6*HiddenSize*ExpertInter)+(PF_Rows*TotalLayers*SharedExperts*6*HiddenSize*ExpertInter)+(0)</f>
        <v>124846109360128.0</v>
      </c>
      <c r="AG15" s="32">
        <f>((TotalLayers*RoutedExperts*HiddenSize*BF16Bytes+(TotalLayers-ActiveHashLayers)*RoutedExperts*FP32Bytes+PF_Rows*TotalLayers*HiddenSize*BF16Bytes+PF_Rows*ActiveHashLayers*ActivatedExperts*INT32Bytes)+(PF_Rows*TotalLayers*RoutedExperts*FP32Bytes))+((TotalLayers*TP1LocalExperts*PF_ExpertActiveProbability*(3*HiddenSize*ExpertInter*FP4Bytes+3*HiddenSize*ExpertInter/FP4Block*ScaleBytes)+PF_Rows*TotalLayers*(ActivatedExperts/TP1Size)*HiddenSize*BF16Bytes)+(PF_Rows*TotalLayers*(ActivatedExperts/TP1Size)*HiddenSize*BF16Bytes))+((TotalLayers*SharedExperts*(2*((HiddenSize)*(ExpertInter)*FP8Bytes+ROUNDUP((HiddenSize)/FP8Block,0)*ROUNDUP((ExpertInter)/FP8Block,0)*ScaleBytes)+((ExpertInter)*(HiddenSize)*FP8Bytes+ROUNDUP((ExpertInter)/FP8Block,0)*ROUNDUP((HiddenSize)/FP8Block,0)*ScaleBytes))+PF_Rows*TotalLayers*SharedExperts*HiddenSize*BF16Bytes)+(PF_Rows*TotalLayers*SharedExperts*HiddenSize*BF16Bytes))+((0)+(0))</f>
        <v>191988670976.0</v>
      </c>
      <c r="AH15" s="32">
        <f>(TotalLayers*RoutedExperts*HiddenSize*BF16Bytes+(TotalLayers-ActiveHashLayers)*RoutedExperts*FP32Bytes+ActiveHashLayers*VocabSize*ActivatedExperts*INT32Bytes)+(TotalLayers*TP8LocalExperts*(3*HiddenSize*ExpertInter*FP4Bytes+3*HiddenSize*ExpertInter/FP4Block*ScaleBytes))+(TotalLayers*SharedExperts*(2*((HiddenSize)*(ExpertInter)*FP8Bytes+ROUNDUP((HiddenSize)/FP8Block,0)*ROUNDUP((ExpertInter)/FP8Block,0)*ScaleBytes)+((ExpertInter)*(HiddenSize)*FP8Bytes+ROUNDUP((ExpertInter)/FP8Block,0)*ROUNDUP((HiddenSize)/FP8Block,0)*ScaleBytes)))+(0)</f>
        <v>19577940480.0</v>
      </c>
      <c r="AI15" s="32">
        <f>(2*PF_Rows*TotalLayers*HiddenSize*RoutedExperts)+(PF_Rows*TotalLayers*(ActivatedExperts/TP8Size)*6*HiddenSize*ExpertInter)+(PF_Rows*TotalLayers*SharedExperts*6*HiddenSize*ExpertInter)+(0)</f>
        <v>31765578121216.0</v>
      </c>
      <c r="AJ15" s="32">
        <f>((TotalLayers*RoutedExperts*HiddenSize*BF16Bytes+(TotalLayers-ActiveHashLayers)*RoutedExperts*FP32Bytes+PF_Rows*TotalLayers*HiddenSize*BF16Bytes+PF_Rows*ActiveHashLayers*ActivatedExperts*INT32Bytes)+(PF_Rows*TotalLayers*RoutedExperts*FP32Bytes))+((TotalLayers*TP8LocalExperts*PF_ExpertActiveProbability*(3*HiddenSize*ExpertInter*FP4Bytes+3*HiddenSize*ExpertInter/FP4Block*ScaleBytes)+PF_Rows*TotalLayers*(ActivatedExperts/TP8Size)*HiddenSize*BF16Bytes)+(PF_Rows*TotalLayers*(ActivatedExperts/TP8Size)*HiddenSize*BF16Bytes))+((TotalLayers*SharedExperts*(2*((HiddenSize)*(ExpertInter)*FP8Bytes+ROUNDUP((HiddenSize)/FP8Block,0)*ROUNDUP((ExpertInter)/FP8Block,0)*ScaleBytes)+((ExpertInter)*(HiddenSize)*FP8Bytes+ROUNDUP((ExpertInter)/FP8Block,0)*ROUNDUP((HiddenSize)/FP8Block,0)*ScaleBytes))+PF_Rows*TotalLayers*SharedExperts*HiddenSize*BF16Bytes)+(PF_Rows*TotalLayers*SharedExperts*HiddenSize*BF16Bytes))+((0)+(0))</f>
        <v>32915497472.0</v>
      </c>
      <c r="AK15" s="32">
        <f>(0)+(0)+(0)+(4*(TP1Size-1)/TP1Size*PF_Rows*HiddenSize*FP32Bytes*TotalLayers)</f>
        <v>0.0</v>
      </c>
      <c r="AL15" s="32">
        <f>(0)+(0)+(0)+(4*(TP8Size-1)/TP8Size*PF_Rows*HiddenSize*FP32Bytes*TotalLayers)</f>
        <v>20199768064.0</v>
      </c>
    </row>
    <row r="16" spans="1:38">
      <c r="A16" s="4" t="s">
        <v>241</v>
      </c>
      <c r="B16" s="33" t="str">
        <f>TEXT(IF(ABS(AE16)&gt;=1E12,AE16/1E12,IF(ABS(AE16)&gt;=1E9,AE16/1E9,IF(ABS(AE16)&gt;=1E6,AE16/1E6,IF(ABS(AE16)&gt;=1E3,AE16/1E3,AE16)))),"#,##0.000")&amp;IF((IF(ABS(AE16)&gt;=1E12,"TB",IF(ABS(AE16)&gt;=1E9,"GB",IF(ABS(AE16)&gt;=1E6,"MB",IF(ABS(AE16)&gt;=1E3,"KB","bytes")))))="",""," "&amp;(IF(ABS(AE16)&gt;=1E12,"TB",IF(ABS(AE16)&gt;=1E9,"GB",IF(ABS(AE16)&gt;=1E6,"MB",IF(ABS(AE16)&gt;=1E3,"KB","bytes"))))))</f>
        <v>1.059 GB</v>
      </c>
      <c r="C16" s="33" t="str">
        <f>TEXT(IF(ABS(AF16)&gt;=1E15,AF16/1E15,IF(ABS(AF16)&gt;=1E12,AF16/1E12,IF(ABS(AF16)&gt;=1E9,AF16/1E9,IF(ABS(AF16)&gt;=1E6,AF16/1E6,AF16)))),"#,##0.000")&amp;IF((IF(ABS(AF16)&gt;=1E15,"PFLOPs",IF(ABS(AF16)&gt;=1E12,"TFLOPs",IF(ABS(AF16)&gt;=1E9,"GFLOPs",IF(ABS(AF16)&gt;=1E6,"MFLOPs","flops")))))="",""," "&amp;(IF(ABS(AF16)&gt;=1E15,"PFLOPs",IF(ABS(AF16)&gt;=1E12,"TFLOPs",IF(ABS(AF16)&gt;=1E9,"GFLOPs",IF(ABS(AF16)&gt;=1E6,"MFLOPs","flops"))))))</f>
        <v>0.000 FLOPs</v>
      </c>
      <c r="D16" s="33" t="str">
        <f>TEXT(IF(ABS(AK16)&gt;=1E12,AK16/1E12,IF(ABS(AK16)&gt;=1E9,AK16/1E9,IF(ABS(AK16)&gt;=1E6,AK16/1E6,IF(ABS(AK16)&gt;=1E3,AK16/1E3,AK16)))),"#,##0.000")&amp;IF((IF(ABS(AK16)&gt;=1E12,"TB",IF(ABS(AK16)&gt;=1E9,"GB",IF(ABS(AK16)&gt;=1E6,"MB",IF(ABS(AK16)&gt;=1E3,"KB","bytes")))))="",""," "&amp;(IF(ABS(AK16)&gt;=1E12,"TB",IF(ABS(AK16)&gt;=1E9,"GB",IF(ABS(AK16)&gt;=1E6,"MB",IF(ABS(AK16)&gt;=1E3,"KB","bytes"))))))</f>
        <v>0.000 B</v>
      </c>
      <c r="E16" s="33" t="str">
        <f>TEXT(IF(ABS(AH16)&gt;=1E12,AH16/1E12,IF(ABS(AH16)&gt;=1E9,AH16/1E9,IF(ABS(AH16)&gt;=1E6,AH16/1E6,IF(ABS(AH16)&gt;=1E3,AH16/1E3,AH16)))),"#,##0.000")&amp;IF((IF(ABS(AH16)&gt;=1E12,"TB",IF(ABS(AH16)&gt;=1E9,"GB",IF(ABS(AH16)&gt;=1E6,"MB",IF(ABS(AH16)&gt;=1E3,"KB","bytes")))))="",""," "&amp;(IF(ABS(AH16)&gt;=1E12,"TB",IF(ABS(AH16)&gt;=1E9,"GB",IF(ABS(AH16)&gt;=1E6,"MB",IF(ABS(AH16)&gt;=1E3,"KB","bytes"))))))</f>
        <v>132.383 MB</v>
      </c>
      <c r="F16" s="33" t="str">
        <f>TEXT(IF(ABS(AI16)&gt;=1E15,AI16/1E15,IF(ABS(AI16)&gt;=1E12,AI16/1E12,IF(ABS(AI16)&gt;=1E9,AI16/1E9,IF(ABS(AI16)&gt;=1E6,AI16/1E6,AI16)))),"#,##0.000")&amp;IF((IF(ABS(AI16)&gt;=1E15,"PFLOPs",IF(ABS(AI16)&gt;=1E12,"TFLOPs",IF(ABS(AI16)&gt;=1E9,"GFLOPs",IF(ABS(AI16)&gt;=1E6,"MFLOPs","flops")))))="",""," "&amp;(IF(ABS(AI16)&gt;=1E15,"PFLOPs",IF(ABS(AI16)&gt;=1E12,"TFLOPs",IF(ABS(AI16)&gt;=1E9,"GFLOPs",IF(ABS(AI16)&gt;=1E6,"MFLOPs","flops"))))))</f>
        <v>0.000 FLOPs</v>
      </c>
      <c r="G16" s="33" t="str">
        <f>TEXT(IF(ABS(AL16)&gt;=1E12,AL16/1E12,IF(ABS(AL16)&gt;=1E9,AL16/1E9,IF(ABS(AL16)&gt;=1E6,AL16/1E6,IF(ABS(AL16)&gt;=1E3,AL16/1E3,AL16)))),"#,##0.000")&amp;IF((IF(ABS(AL16)&gt;=1E12,"TB",IF(ABS(AL16)&gt;=1E9,"GB",IF(ABS(AL16)&gt;=1E6,"MB",IF(ABS(AL16)&gt;=1E3,"KB","bytes")))))="",""," "&amp;(IF(ABS(AL16)&gt;=1E12,"TB",IF(ABS(AL16)&gt;=1E9,"GB",IF(ABS(AL16)&gt;=1E6,"MB",IF(ABS(AL16)&gt;=1E3,"KB","bytes"))))))</f>
        <v>234.881 MB</v>
      </c>
      <c r="H16" s="4" t="s">
        <v>243</v>
      </c>
      <c r="I16" s="4" t="s">
        <v>244</v>
      </c>
      <c r="J16" s="4" t="s">
        <v>242</v>
      </c>
      <c r="AE16" s="32">
        <f>(TP1LocalVocab*HiddenSize*BF16Bytes)</f>
        <v>1059061760.0</v>
      </c>
      <c r="AF16" s="32">
        <f>(0)</f>
        <v>0</v>
      </c>
      <c r="AG16" s="32">
        <f>((PF_Rows*HiddenSize*BF16Bytes)+(PF_Rows*HiddenSize*BF16Bytes))</f>
        <v>134217728</v>
      </c>
      <c r="AH16" s="32">
        <f>(TP8LocalVocab*HiddenSize*BF16Bytes)</f>
        <v>132382720.0</v>
      </c>
      <c r="AI16" s="32">
        <f>(0)</f>
        <v>0</v>
      </c>
      <c r="AJ16" s="32">
        <f>((PF_Rows*HiddenSize*BF16Bytes)+(PF_Rows*HiddenSize*BF16Bytes))</f>
        <v>134217728</v>
      </c>
      <c r="AK16" s="32">
        <f>(4*(TP1Size-1)/TP1Size*PF_Rows*HiddenSize*BF16Bytes)</f>
        <v>0.0</v>
      </c>
      <c r="AL16" s="32">
        <f>(4*(TP8Size-1)/TP8Size*PF_Rows*HiddenSize*BF16Bytes)</f>
        <v>234881024.0</v>
      </c>
    </row>
    <row r="17" spans="1:38">
      <c r="A17" s="4" t="s">
        <v>245</v>
      </c>
      <c r="B17" s="33" t="str">
        <f>TEXT(IF(ABS(AE17)&gt;=1E12,AE17/1E12,IF(ABS(AE17)&gt;=1E9,AE17/1E9,IF(ABS(AE17)&gt;=1E6,AE17/1E6,IF(ABS(AE17)&gt;=1E3,AE17/1E3,AE17)))),"#,##0.000")&amp;IF((IF(ABS(AE17)&gt;=1E12,"TB",IF(ABS(AE17)&gt;=1E9,"GB",IF(ABS(AE17)&gt;=1E6,"MB",IF(ABS(AE17)&gt;=1E3,"KB","bytes")))))="",""," "&amp;(IF(ABS(AE17)&gt;=1E12,"TB",IF(ABS(AE17)&gt;=1E9,"GB",IF(ABS(AE17)&gt;=1E6,"MB",IF(ABS(AE17)&gt;=1E3,"KB","bytes"))))))</f>
        <v>2.118 GB</v>
      </c>
      <c r="C17" s="33" t="str">
        <f>TEXT(IF(ABS(AF17)&gt;=1E15,AF17/1E15,IF(ABS(AF17)&gt;=1E12,AF17/1E12,IF(ABS(AF17)&gt;=1E9,AF17/1E9,IF(ABS(AF17)&gt;=1E6,AF17/1E6,AF17)))),"#,##0.000")&amp;IF((IF(ABS(AF17)&gt;=1E15,"PFLOPs",IF(ABS(AF17)&gt;=1E12,"TFLOPs",IF(ABS(AF17)&gt;=1E9,"GFLOPs",IF(ABS(AF17)&gt;=1E6,"MFLOPs","flops")))))="",""," "&amp;(IF(ABS(AF17)&gt;=1E15,"PFLOPs",IF(ABS(AF17)&gt;=1E12,"TFLOPs",IF(ABS(AF17)&gt;=1E9,"GFLOPs",IF(ABS(AF17)&gt;=1E6,"MFLOPs","flops"))))))</f>
        <v>1.059 GFLOPs</v>
      </c>
      <c r="D17" s="33" t="str">
        <f>TEXT(IF(ABS(AK17)&gt;=1E12,AK17/1E12,IF(ABS(AK17)&gt;=1E9,AK17/1E9,IF(ABS(AK17)&gt;=1E6,AK17/1E6,IF(ABS(AK17)&gt;=1E3,AK17/1E3,AK17)))),"#,##0.000")&amp;IF((IF(ABS(AK17)&gt;=1E12,"TB",IF(ABS(AK17)&gt;=1E9,"GB",IF(ABS(AK17)&gt;=1E6,"MB",IF(ABS(AK17)&gt;=1E3,"KB","bytes")))))="",""," "&amp;(IF(ABS(AK17)&gt;=1E12,"TB",IF(ABS(AK17)&gt;=1E9,"GB",IF(ABS(AK17)&gt;=1E6,"MB",IF(ABS(AK17)&gt;=1E3,"KB","bytes"))))))</f>
        <v>0.000 B</v>
      </c>
      <c r="E17" s="33" t="str">
        <f>TEXT(IF(ABS(AH17)&gt;=1E12,AH17/1E12,IF(ABS(AH17)&gt;=1E9,AH17/1E9,IF(ABS(AH17)&gt;=1E6,AH17/1E6,IF(ABS(AH17)&gt;=1E3,AH17/1E3,AH17)))),"#,##0.000")&amp;IF((IF(ABS(AH17)&gt;=1E12,"TB",IF(ABS(AH17)&gt;=1E9,"GB",IF(ABS(AH17)&gt;=1E6,"MB",IF(ABS(AH17)&gt;=1E3,"KB","bytes")))))="",""," "&amp;(IF(ABS(AH17)&gt;=1E12,"TB",IF(ABS(AH17)&gt;=1E9,"GB",IF(ABS(AH17)&gt;=1E6,"MB",IF(ABS(AH17)&gt;=1E3,"KB","bytes"))))))</f>
        <v>264.765 MB</v>
      </c>
      <c r="F17" s="33" t="str">
        <f>TEXT(IF(ABS(AI17)&gt;=1E15,AI17/1E15,IF(ABS(AI17)&gt;=1E12,AI17/1E12,IF(ABS(AI17)&gt;=1E9,AI17/1E9,IF(ABS(AI17)&gt;=1E6,AI17/1E6,AI17)))),"#,##0.000")&amp;IF((IF(ABS(AI17)&gt;=1E15,"PFLOPs",IF(ABS(AI17)&gt;=1E12,"TFLOPs",IF(ABS(AI17)&gt;=1E9,"GFLOPs",IF(ABS(AI17)&gt;=1E6,"MFLOPs","flops")))))="",""," "&amp;(IF(ABS(AI17)&gt;=1E15,"PFLOPs",IF(ABS(AI17)&gt;=1E12,"TFLOPs",IF(ABS(AI17)&gt;=1E9,"GFLOPs",IF(ABS(AI17)&gt;=1E6,"MFLOPs","flops"))))))</f>
        <v>132.383 MFLOPs</v>
      </c>
      <c r="G17" s="33" t="str">
        <f>TEXT(IF(ABS(AL17)&gt;=1E12,AL17/1E12,IF(ABS(AL17)&gt;=1E9,AL17/1E9,IF(ABS(AL17)&gt;=1E6,AL17/1E6,IF(ABS(AL17)&gt;=1E3,AL17/1E3,AL17)))),"#,##0.000")&amp;IF((IF(ABS(AL17)&gt;=1E12,"TB",IF(ABS(AL17)&gt;=1E9,"GB",IF(ABS(AL17)&gt;=1E6,"MB",IF(ABS(AL17)&gt;=1E3,"KB","bytes")))))="",""," "&amp;(IF(ABS(AL17)&gt;=1E12,"TB",IF(ABS(AL17)&gt;=1E9,"GB",IF(ABS(AL17)&gt;=1E6,"MB",IF(ABS(AL17)&gt;=1E3,"KB","bytes"))))))</f>
        <v>904.960 KB</v>
      </c>
      <c r="H17" s="4" t="s">
        <v>247</v>
      </c>
      <c r="I17" s="4" t="s">
        <v>248</v>
      </c>
      <c r="J17" s="4" t="s">
        <v>246</v>
      </c>
      <c r="AE17" s="32">
        <f>(TP1LocalVocab*HiddenSize*FP32Bytes)</f>
        <v>2118123520.0</v>
      </c>
      <c r="AF17" s="32">
        <f>(2*PrefillBatch*HiddenSize*TP1LocalVocab)</f>
        <v>1059061760.0</v>
      </c>
      <c r="AG17" s="32">
        <f>((TP1LocalVocab*HiddenSize*FP32Bytes+PrefillBatch*HiddenSize*FP32Bytes)+(PrefillBatch*TP1LocalVocab*FP32Bytes))</f>
        <v>2118657024.0</v>
      </c>
      <c r="AH17" s="32">
        <f>(TP8LocalVocab*HiddenSize*FP32Bytes)</f>
        <v>264765440.0</v>
      </c>
      <c r="AI17" s="32">
        <f>(2*PrefillBatch*HiddenSize*TP8LocalVocab)</f>
        <v>132382720.0</v>
      </c>
      <c r="AJ17" s="32">
        <f>((TP8LocalVocab*HiddenSize*FP32Bytes+PrefillBatch*HiddenSize*FP32Bytes)+(PrefillBatch*TP8LocalVocab*FP32Bytes))</f>
        <v>264846464.0</v>
      </c>
      <c r="AK17" s="32">
        <f>(2*(TP1Size-1)*PrefillBatch*TP1LocalVocab*FP32Bytes)</f>
        <v>0.0</v>
      </c>
      <c r="AL17" s="32">
        <f>(2*(TP8Size-1)*PrefillBatch*TP8LocalVocab*FP32Bytes)</f>
        <v>904960.0</v>
      </c>
    </row>
    <row r="18" spans="1:38">
      <c r="A18" s="4" t="s">
        <v>249</v>
      </c>
      <c r="B18" s="33" t="str">
        <f>TEXT(IF(ABS(AE18)&gt;=1E12,AE18/1E12,IF(ABS(AE18)&gt;=1E9,AE18/1E9,IF(ABS(AE18)&gt;=1E6,AE18/1E6,IF(ABS(AE18)&gt;=1E3,AE18/1E3,AE18)))),"#,##0.000")&amp;IF((IF(ABS(AE18)&gt;=1E12,"TB",IF(ABS(AE18)&gt;=1E9,"GB",IF(ABS(AE18)&gt;=1E6,"MB",IF(ABS(AE18)&gt;=1E3,"KB","bytes")))))="",""," "&amp;(IF(ABS(AE18)&gt;=1E12,"TB",IF(ABS(AE18)&gt;=1E9,"GB",IF(ABS(AE18)&gt;=1E6,"MB",IF(ABS(AE18)&gt;=1E3,"KB","bytes"))))))</f>
        <v>1.701 MB</v>
      </c>
      <c r="C18" s="33" t="str">
        <f>TEXT(IF(ABS(AF18)&gt;=1E15,AF18/1E15,IF(ABS(AF18)&gt;=1E12,AF18/1E12,IF(ABS(AF18)&gt;=1E9,AF18/1E9,IF(ABS(AF18)&gt;=1E6,AF18/1E6,AF18)))),"#,##0.000")&amp;IF((IF(ABS(AF18)&gt;=1E15,"PFLOPs",IF(ABS(AF18)&gt;=1E12,"TFLOPs",IF(ABS(AF18)&gt;=1E9,"GFLOPs",IF(ABS(AF18)&gt;=1E6,"MFLOPs","flops")))))="",""," "&amp;(IF(ABS(AF18)&gt;=1E15,"PFLOPs",IF(ABS(AF18)&gt;=1E12,"TFLOPs",IF(ABS(AF18)&gt;=1E9,"GFLOPs",IF(ABS(AF18)&gt;=1E6,"MFLOPs","flops"))))))</f>
        <v>11.678 GFLOPs</v>
      </c>
      <c r="D18" s="33" t="str">
        <f>TEXT(IF(ABS(AK18)&gt;=1E12,AK18/1E12,IF(ABS(AK18)&gt;=1E9,AK18/1E9,IF(ABS(AK18)&gt;=1E6,AK18/1E6,IF(ABS(AK18)&gt;=1E3,AK18/1E3,AK18)))),"#,##0.000")&amp;IF((IF(ABS(AK18)&gt;=1E12,"TB",IF(ABS(AK18)&gt;=1E9,"GB",IF(ABS(AK18)&gt;=1E6,"MB",IF(ABS(AK18)&gt;=1E3,"KB","bytes")))))="",""," "&amp;(IF(ABS(AK18)&gt;=1E12,"TB",IF(ABS(AK18)&gt;=1E9,"GB",IF(ABS(AK18)&gt;=1E6,"MB",IF(ABS(AK18)&gt;=1E3,"KB","bytes"))))))</f>
        <v>0.000 B</v>
      </c>
      <c r="E18" s="33" t="str">
        <f>TEXT(IF(ABS(AH18)&gt;=1E12,AH18/1E12,IF(ABS(AH18)&gt;=1E9,AH18/1E9,IF(ABS(AH18)&gt;=1E6,AH18/1E6,IF(ABS(AH18)&gt;=1E3,AH18/1E3,AH18)))),"#,##0.000")&amp;IF((IF(ABS(AH18)&gt;=1E12,"TB",IF(ABS(AH18)&gt;=1E9,"GB",IF(ABS(AH18)&gt;=1E6,"MB",IF(ABS(AH18)&gt;=1E3,"KB","bytes")))))="",""," "&amp;(IF(ABS(AH18)&gt;=1E12,"TB",IF(ABS(AH18)&gt;=1E9,"GB",IF(ABS(AH18)&gt;=1E6,"MB",IF(ABS(AH18)&gt;=1E3,"KB","bytes"))))))</f>
        <v>1.691 MB</v>
      </c>
      <c r="F18" s="33" t="str">
        <f>TEXT(IF(ABS(AI18)&gt;=1E15,AI18/1E15,IF(ABS(AI18)&gt;=1E12,AI18/1E12,IF(ABS(AI18)&gt;=1E9,AI18/1E9,IF(ABS(AI18)&gt;=1E6,AI18/1E6,AI18)))),"#,##0.000")&amp;IF((IF(ABS(AI18)&gt;=1E15,"PFLOPs",IF(ABS(AI18)&gt;=1E12,"TFLOPs",IF(ABS(AI18)&gt;=1E9,"GFLOPs",IF(ABS(AI18)&gt;=1E6,"MFLOPs","flops")))))="",""," "&amp;(IF(ABS(AI18)&gt;=1E15,"PFLOPs",IF(ABS(AI18)&gt;=1E12,"TFLOPs",IF(ABS(AI18)&gt;=1E9,"GFLOPs",IF(ABS(AI18)&gt;=1E6,"MFLOPs","flops"))))))</f>
        <v>11.678 GFLOPs</v>
      </c>
      <c r="G18" s="33" t="str">
        <f>TEXT(IF(ABS(AL18)&gt;=1E12,AL18/1E12,IF(ABS(AL18)&gt;=1E9,AL18/1E9,IF(ABS(AL18)&gt;=1E6,AL18/1E6,IF(ABS(AL18)&gt;=1E3,AL18/1E3,AL18)))),"#,##0.000")&amp;IF((IF(ABS(AL18)&gt;=1E12,"TB",IF(ABS(AL18)&gt;=1E9,"GB",IF(ABS(AL18)&gt;=1E6,"MB",IF(ABS(AL18)&gt;=1E3,"KB","bytes")))))="",""," "&amp;(IF(ABS(AL18)&gt;=1E12,"TB",IF(ABS(AL18)&gt;=1E9,"GB",IF(ABS(AL18)&gt;=1E6,"MB",IF(ABS(AL18)&gt;=1E3,"KB","bytes"))))))</f>
        <v>0.000 B</v>
      </c>
      <c r="H18" s="4" t="s">
        <v>247</v>
      </c>
      <c r="I18" s="4" t="s">
        <v>251</v>
      </c>
      <c r="J18" s="4" t="s">
        <v>250</v>
      </c>
      <c r="AE18" s="32">
        <f>((TotalLayers*(2*HiddenSize+QLoraRank+HeadDim+TP1LocalHeads))*FP32Bytes+(HiddenSize)*FP32Bytes)</f>
        <v>1700608</v>
      </c>
      <c r="AF18" s="32">
        <f>(PF_Rows*TotalLayers*2*(4*HiddenSize+1)+PF_Rows*(4*HiddenSize+1))</f>
        <v>11677655040</v>
      </c>
      <c r="AG18" s="32">
        <f>((TotalLayers*(2*HiddenSize+QLoraRank+HeadDim+TP1LocalHeads)*FP32Bytes+HiddenSize*FP32Bytes+PF_Rows*TotalLayers*2*HiddenSize*BF16Bytes+PF_Rows*HiddenSize*BF16Bytes)+(PF_Rows*TotalLayers*2*HiddenSize*BF16Bytes+PF_Rows*HiddenSize*BF16Bytes))</f>
        <v>11678642944</v>
      </c>
      <c r="AH18" s="32">
        <f>((TotalLayers*(2*HiddenSize+QLoraRank+HeadDim+TP8LocalHeads))*FP32Bytes+(HiddenSize)*FP32Bytes)</f>
        <v>1690976</v>
      </c>
      <c r="AI18" s="32">
        <f>(PF_Rows*TotalLayers*2*(4*HiddenSize+1)+PF_Rows*(4*HiddenSize+1))</f>
        <v>11677655040</v>
      </c>
      <c r="AJ18" s="32">
        <f>((TotalLayers*(2*HiddenSize+QLoraRank+HeadDim+TP8LocalHeads)*FP32Bytes+HiddenSize*FP32Bytes+PF_Rows*TotalLayers*2*HiddenSize*BF16Bytes+PF_Rows*HiddenSize*BF16Bytes)+(PF_Rows*TotalLayers*2*HiddenSize*BF16Bytes+PF_Rows*HiddenSize*BF16Bytes))</f>
        <v>11678633312</v>
      </c>
      <c r="AK18" s="32">
        <f>(0)</f>
        <v>0</v>
      </c>
      <c r="AL18" s="32">
        <f>(0)</f>
        <v>0</v>
      </c>
    </row>
    <row r="19" spans="1:38">
      <c r="A19" s="4" t="s">
        <v>92</v>
      </c>
      <c r="B19" s="33" t="str">
        <f>TEXT(IF(ABS(AE19)&gt;=1E12,AE19/1E12,IF(ABS(AE19)&gt;=1E9,AE19/1E9,IF(ABS(AE19)&gt;=1E6,AE19/1E6,IF(ABS(AE19)&gt;=1E3,AE19/1E3,AE19)))),"#,##0.000")&amp;IF((IF(ABS(AE19)&gt;=1E12,"TB",IF(ABS(AE19)&gt;=1E9,"GB",IF(ABS(AE19)&gt;=1E6,"MB",IF(ABS(AE19)&gt;=1E3,"KB","bytes")))))="",""," "&amp;(IF(ABS(AE19)&gt;=1E12,"TB",IF(ABS(AE19)&gt;=1E9,"GB",IF(ABS(AE19)&gt;=1E6,"MB",IF(ABS(AE19)&gt;=1E3,"KB","bytes"))))))</f>
        <v>135.538 MB</v>
      </c>
      <c r="C19" s="33" t="str">
        <f>TEXT(IF(ABS(AF19)&gt;=1E15,AF19/1E15,IF(ABS(AF19)&gt;=1E12,AF19/1E12,IF(ABS(AF19)&gt;=1E9,AF19/1E9,IF(ABS(AF19)&gt;=1E6,AF19/1E6,AF19)))),"#,##0.000")&amp;IF((IF(ABS(AF19)&gt;=1E15,"PFLOPs",IF(ABS(AF19)&gt;=1E12,"TFLOPs",IF(ABS(AF19)&gt;=1E9,"GFLOPs",IF(ABS(AF19)&gt;=1E6,"MFLOPs","flops")))))="",""," "&amp;(IF(ABS(AF19)&gt;=1E15,"PFLOPs",IF(ABS(AF19)&gt;=1E12,"TFLOPs",IF(ABS(AF19)&gt;=1E9,"GFLOPs",IF(ABS(AF19)&gt;=1E6,"MFLOPs","flops"))))))</f>
        <v>702.798 GFLOPs</v>
      </c>
      <c r="D19" s="33" t="str">
        <f>TEXT(IF(ABS(AK19)&gt;=1E12,AK19/1E12,IF(ABS(AK19)&gt;=1E9,AK19/1E9,IF(ABS(AK19)&gt;=1E6,AK19/1E6,IF(ABS(AK19)&gt;=1E3,AK19/1E3,AK19)))),"#,##0.000")&amp;IF((IF(ABS(AK19)&gt;=1E12,"TB",IF(ABS(AK19)&gt;=1E9,"GB",IF(ABS(AK19)&gt;=1E6,"MB",IF(ABS(AK19)&gt;=1E3,"KB","bytes")))))="",""," "&amp;(IF(ABS(AK19)&gt;=1E12,"TB",IF(ABS(AK19)&gt;=1E9,"GB",IF(ABS(AK19)&gt;=1E6,"MB",IF(ABS(AK19)&gt;=1E3,"KB","bytes"))))))</f>
        <v>0.000 B</v>
      </c>
      <c r="E19" s="33" t="str">
        <f>TEXT(IF(ABS(AH19)&gt;=1E12,AH19/1E12,IF(ABS(AH19)&gt;=1E9,AH19/1E9,IF(ABS(AH19)&gt;=1E6,AH19/1E6,IF(ABS(AH19)&gt;=1E3,AH19/1E3,AH19)))),"#,##0.000")&amp;IF((IF(ABS(AH19)&gt;=1E12,"TB",IF(ABS(AH19)&gt;=1E9,"GB",IF(ABS(AH19)&gt;=1E6,"MB",IF(ABS(AH19)&gt;=1E3,"KB","bytes")))))="",""," "&amp;(IF(ABS(AH19)&gt;=1E12,"TB",IF(ABS(AH19)&gt;=1E9,"GB",IF(ABS(AH19)&gt;=1E6,"MB",IF(ABS(AH19)&gt;=1E3,"KB","bytes"))))))</f>
        <v>135.538 MB</v>
      </c>
      <c r="F19" s="33" t="str">
        <f>TEXT(IF(ABS(AI19)&gt;=1E15,AI19/1E15,IF(ABS(AI19)&gt;=1E12,AI19/1E12,IF(ABS(AI19)&gt;=1E9,AI19/1E9,IF(ABS(AI19)&gt;=1E6,AI19/1E6,AI19)))),"#,##0.000")&amp;IF((IF(ABS(AI19)&gt;=1E15,"PFLOPs",IF(ABS(AI19)&gt;=1E12,"TFLOPs",IF(ABS(AI19)&gt;=1E9,"GFLOPs",IF(ABS(AI19)&gt;=1E6,"MFLOPs","flops")))))="",""," "&amp;(IF(ABS(AI19)&gt;=1E15,"PFLOPs",IF(ABS(AI19)&gt;=1E12,"TFLOPs",IF(ABS(AI19)&gt;=1E9,"GFLOPs",IF(ABS(AI19)&gt;=1E6,"MFLOPs","flops"))))))</f>
        <v>702.798 GFLOPs</v>
      </c>
      <c r="G19" s="33" t="str">
        <f>TEXT(IF(ABS(AL19)&gt;=1E12,AL19/1E12,IF(ABS(AL19)&gt;=1E9,AL19/1E9,IF(ABS(AL19)&gt;=1E6,AL19/1E6,IF(ABS(AL19)&gt;=1E3,AL19/1E3,AL19)))),"#,##0.000")&amp;IF((IF(ABS(AL19)&gt;=1E12,"TB",IF(ABS(AL19)&gt;=1E9,"GB",IF(ABS(AL19)&gt;=1E6,"MB",IF(ABS(AL19)&gt;=1E3,"KB","bytes")))))="",""," "&amp;(IF(ABS(AL19)&gt;=1E12,"TB",IF(ABS(AL19)&gt;=1E9,"GB",IF(ABS(AL19)&gt;=1E6,"MB",IF(ABS(AL19)&gt;=1E3,"KB","bytes"))))))</f>
        <v>0.000 B</v>
      </c>
      <c r="H19" s="4" t="s">
        <v>247</v>
      </c>
      <c r="I19" s="4" t="s">
        <v>253</v>
      </c>
      <c r="J19" s="4" t="s">
        <v>252</v>
      </c>
      <c r="AE19" s="32">
        <f>((TotalLayers*2*(((2+HCSlots)*HCSlots)*HCSlots*HiddenSize+((2+HCSlots)*HCSlots)+3))*FP32Bytes+(HCSlots*HCSlots*HiddenSize+HCSlots+1)*FP32Bytes)</f>
        <v>135537756</v>
      </c>
      <c r="AF19" s="32">
        <f>(TotalLayers*2*(2*PF_Rows*HCSlots*HiddenSize*((2+HCSlots)*HCSlots)+PF_Rows*(2*HCSlots*HiddenSize+1)+PF_Rows*HiddenSize*(2*HCSlots-1)+PF_Rows*HCSlots*HiddenSize*(2*HCSlots+1))+2*PF_Rows*HCSlots*HiddenSize*HCSlots+PF_Rows*(2*HCSlots*HiddenSize+1)+PF_Rows*HiddenSize*(2*HCSlots-1))</f>
        <v>702798290944</v>
      </c>
      <c r="AG19" s="32">
        <f>((TotalLayers*2*((2+HCSlots)*HCSlots*HCSlots*HiddenSize*FP32Bytes+((2+HCSlots)*HCSlots+3)*FP32Bytes)+PF_Rows*TotalLayers*4*HCSlots*HiddenSize*BF16Bytes+(HCSlots*HCSlots*HiddenSize+HCSlots+1)*FP32Bytes+PF_Rows*HCSlots*HiddenSize*BF16Bytes)+(PF_Rows*TotalLayers*4*HCSlots*HiddenSize*BF16Bytes+PF_Rows*HiddenSize*BF16Bytes))</f>
        <v>92812878940.0</v>
      </c>
      <c r="AH19" s="32">
        <f>((TotalLayers*2*(((2+HCSlots)*HCSlots)*HCSlots*HiddenSize+((2+HCSlots)*HCSlots)+3))*FP32Bytes+(HCSlots*HCSlots*HiddenSize+HCSlots+1)*FP32Bytes)</f>
        <v>135537756</v>
      </c>
      <c r="AI19" s="32">
        <f>(TotalLayers*2*(2*PF_Rows*HCSlots*HiddenSize*((2+HCSlots)*HCSlots)+PF_Rows*(2*HCSlots*HiddenSize+1)+PF_Rows*HiddenSize*(2*HCSlots-1)+PF_Rows*HCSlots*HiddenSize*(2*HCSlots+1))+2*PF_Rows*HCSlots*HiddenSize*HCSlots+PF_Rows*(2*HCSlots*HiddenSize+1)+PF_Rows*HiddenSize*(2*HCSlots-1))</f>
        <v>702798290944</v>
      </c>
      <c r="AJ19" s="32">
        <f>((TotalLayers*2*((2+HCSlots)*HCSlots*HCSlots*HiddenSize*FP32Bytes+((2+HCSlots)*HCSlots+3)*FP32Bytes)+PF_Rows*TotalLayers*4*HCSlots*HiddenSize*BF16Bytes+(HCSlots*HCSlots*HiddenSize+HCSlots+1)*FP32Bytes+PF_Rows*HCSlots*HiddenSize*BF16Bytes)+(PF_Rows*TotalLayers*4*HCSlots*HiddenSize*BF16Bytes+PF_Rows*HiddenSize*BF16Bytes))</f>
        <v>92812878940.0</v>
      </c>
      <c r="AK19" s="32">
        <f>(0)</f>
        <v>0</v>
      </c>
      <c r="AL19" s="32">
        <f>(0)</f>
        <v>0</v>
      </c>
    </row>
    <row r="20" spans="1:38">
      <c r="A20" s="4" t="s">
        <v>254</v>
      </c>
      <c r="B20" s="33" t="str">
        <f>TEXT(IF(ABS(AE20)&gt;=1E12,AE20/1E12,IF(ABS(AE20)&gt;=1E9,AE20/1E9,IF(ABS(AE20)&gt;=1E6,AE20/1E6,IF(ABS(AE20)&gt;=1E3,AE20/1E3,AE20)))),"#,##0.000")&amp;IF((IF(ABS(AE20)&gt;=1E12,"TB",IF(ABS(AE20)&gt;=1E9,"GB",IF(ABS(AE20)&gt;=1E6,"MB",IF(ABS(AE20)&gt;=1E3,"KB","bytes")))))="",""," "&amp;(IF(ABS(AE20)&gt;=1E12,"TB",IF(ABS(AE20)&gt;=1E9,"GB",IF(ABS(AE20)&gt;=1E6,"MB",IF(ABS(AE20)&gt;=1E3,"KB","bytes"))))))</f>
        <v>0.000 B</v>
      </c>
      <c r="C20" s="33" t="str">
        <f>TEXT(IF(ABS(AF20)&gt;=1E15,AF20/1E15,IF(ABS(AF20)&gt;=1E12,AF20/1E12,IF(ABS(AF20)&gt;=1E9,AF20/1E9,IF(ABS(AF20)&gt;=1E6,AF20/1E6,AF20)))),"#,##0.000")&amp;IF((IF(ABS(AF20)&gt;=1E15,"PFLOPs",IF(ABS(AF20)&gt;=1E12,"TFLOPs",IF(ABS(AF20)&gt;=1E9,"GFLOPs",IF(ABS(AF20)&gt;=1E6,"MFLOPs","flops")))))="",""," "&amp;(IF(ABS(AF20)&gt;=1E15,"PFLOPs",IF(ABS(AF20)&gt;=1E12,"TFLOPs",IF(ABS(AF20)&gt;=1E9,"GFLOPs",IF(ABS(AF20)&gt;=1E6,"MFLOPs","flops"))))))</f>
        <v>0.000 FLOPs</v>
      </c>
      <c r="D20" s="33" t="str">
        <f>TEXT(IF(ABS(AK20)&gt;=1E12,AK20/1E12,IF(ABS(AK20)&gt;=1E9,AK20/1E9,IF(ABS(AK20)&gt;=1E6,AK20/1E6,IF(ABS(AK20)&gt;=1E3,AK20/1E3,AK20)))),"#,##0.000")&amp;IF((IF(ABS(AK20)&gt;=1E12,"TB",IF(ABS(AK20)&gt;=1E9,"GB",IF(ABS(AK20)&gt;=1E6,"MB",IF(ABS(AK20)&gt;=1E3,"KB","bytes")))))="",""," "&amp;(IF(ABS(AK20)&gt;=1E12,"TB",IF(ABS(AK20)&gt;=1E9,"GB",IF(ABS(AK20)&gt;=1E6,"MB",IF(ABS(AK20)&gt;=1E3,"KB","bytes"))))))</f>
        <v>0.000 B</v>
      </c>
      <c r="E20" s="33" t="str">
        <f>TEXT(IF(ABS(AH20)&gt;=1E12,AH20/1E12,IF(ABS(AH20)&gt;=1E9,AH20/1E9,IF(ABS(AH20)&gt;=1E6,AH20/1E6,IF(ABS(AH20)&gt;=1E3,AH20/1E3,AH20)))),"#,##0.000")&amp;IF((IF(ABS(AH20)&gt;=1E12,"TB",IF(ABS(AH20)&gt;=1E9,"GB",IF(ABS(AH20)&gt;=1E6,"MB",IF(ABS(AH20)&gt;=1E3,"KB","bytes")))))="",""," "&amp;(IF(ABS(AH20)&gt;=1E12,"TB",IF(ABS(AH20)&gt;=1E9,"GB",IF(ABS(AH20)&gt;=1E6,"MB",IF(ABS(AH20)&gt;=1E3,"KB","bytes"))))))</f>
        <v>0.000 B</v>
      </c>
      <c r="F20" s="33" t="str">
        <f>TEXT(IF(ABS(AI20)&gt;=1E15,AI20/1E15,IF(ABS(AI20)&gt;=1E12,AI20/1E12,IF(ABS(AI20)&gt;=1E9,AI20/1E9,IF(ABS(AI20)&gt;=1E6,AI20/1E6,AI20)))),"#,##0.000")&amp;IF((IF(ABS(AI20)&gt;=1E15,"PFLOPs",IF(ABS(AI20)&gt;=1E12,"TFLOPs",IF(ABS(AI20)&gt;=1E9,"GFLOPs",IF(ABS(AI20)&gt;=1E6,"MFLOPs","flops")))))="",""," "&amp;(IF(ABS(AI20)&gt;=1E15,"PFLOPs",IF(ABS(AI20)&gt;=1E12,"TFLOPs",IF(ABS(AI20)&gt;=1E9,"GFLOPs",IF(ABS(AI20)&gt;=1E6,"MFLOPs","flops"))))))</f>
        <v>0.000 FLOPs</v>
      </c>
      <c r="G20" s="33" t="str">
        <f>TEXT(IF(ABS(AL20)&gt;=1E12,AL20/1E12,IF(ABS(AL20)&gt;=1E9,AL20/1E9,IF(ABS(AL20)&gt;=1E6,AL20/1E6,IF(ABS(AL20)&gt;=1E3,AL20/1E3,AL20)))),"#,##0.000")&amp;IF((IF(ABS(AL20)&gt;=1E12,"TB",IF(ABS(AL20)&gt;=1E9,"GB",IF(ABS(AL20)&gt;=1E6,"MB",IF(ABS(AL20)&gt;=1E3,"KB","bytes")))))="",""," "&amp;(IF(ABS(AL20)&gt;=1E12,"TB",IF(ABS(AL20)&gt;=1E9,"GB",IF(ABS(AL20)&gt;=1E6,"MB",IF(ABS(AL20)&gt;=1E3,"KB","bytes"))))))</f>
        <v>0.000 B</v>
      </c>
      <c r="H20" s="4" t="s">
        <v>256</v>
      </c>
      <c r="I20" s="4" t="s">
        <v>257</v>
      </c>
      <c r="J20" s="4" t="s">
        <v>255</v>
      </c>
      <c r="AE20" s="32">
        <f>(0)</f>
        <v>0</v>
      </c>
      <c r="AF20" s="32">
        <f>(0)</f>
        <v>0</v>
      </c>
      <c r="AG20" s="32">
        <f>((0)+(0))</f>
        <v>0</v>
      </c>
      <c r="AH20" s="32">
        <f>(0)</f>
        <v>0</v>
      </c>
      <c r="AI20" s="32">
        <f>(0)</f>
        <v>0</v>
      </c>
      <c r="AJ20" s="32">
        <f>((0)+(0))</f>
        <v>0</v>
      </c>
      <c r="AK20" s="32">
        <f>(0)</f>
        <v>0</v>
      </c>
      <c r="AL20" s="32">
        <f>(0)</f>
        <v>0</v>
      </c>
    </row>
    <row r="22" spans="1:38">
      <c r="A22" s="30" t="s">
        <v>258</v>
      </c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</row>
    <row r="23" spans="1:38">
      <c r="A23" t="s">
        <v>222</v>
      </c>
      <c r="B23" t="s">
        <v>259</v>
      </c>
      <c r="C23" t="s">
        <v>260</v>
      </c>
      <c r="D23" t="s">
        <v>223</v>
      </c>
      <c r="E23" t="s">
        <v>224</v>
      </c>
      <c r="F23" t="s">
        <v>225</v>
      </c>
      <c r="G23" t="s">
        <v>226</v>
      </c>
      <c r="H23" t="s">
        <v>227</v>
      </c>
      <c r="I23" t="s">
        <v>228</v>
      </c>
      <c r="J23" t="s">
        <v>229</v>
      </c>
      <c r="K23" t="s">
        <v>230</v>
      </c>
      <c r="L23" t="s">
        <v>231</v>
      </c>
    </row>
    <row r="24" spans="1:38">
      <c r="A24" s="4" t="s">
        <v>241</v>
      </c>
      <c r="B24" s="4" t="s">
        <v>241</v>
      </c>
      <c r="C24" s="4" t="s">
        <v>261</v>
      </c>
      <c r="D24" s="33" t="str">
        <f>TEXT(IF(ABS(U24)&gt;=1E12,U24/1E12,IF(ABS(U24)&gt;=1E9,U24/1E9,IF(ABS(U24)&gt;=1E6,U24/1E6,IF(ABS(U24)&gt;=1E3,U24/1E3,U24)))),"#,##0.000")&amp;IF((IF(ABS(U24)&gt;=1E12,"TB",IF(ABS(U24)&gt;=1E9,"GB",IF(ABS(U24)&gt;=1E6,"MB",IF(ABS(U24)&gt;=1E3,"KB","bytes")))))="",""," "&amp;(IF(ABS(U24)&gt;=1E12,"TB",IF(ABS(U24)&gt;=1E9,"GB",IF(ABS(U24)&gt;=1E6,"MB",IF(ABS(U24)&gt;=1E3,"KB","bytes"))))))</f>
        <v>1.059 GB</v>
      </c>
      <c r="E24" s="33" t="str">
        <f>TEXT(IF(ABS(V24)&gt;=1E15,V24/1E15,IF(ABS(V24)&gt;=1E12,V24/1E12,IF(ABS(V24)&gt;=1E9,V24/1E9,IF(ABS(V24)&gt;=1E6,V24/1E6,V24)))),"#,##0.000")&amp;IF((IF(ABS(V24)&gt;=1E15,"PFLOPs",IF(ABS(V24)&gt;=1E12,"TFLOPs",IF(ABS(V24)&gt;=1E9,"GFLOPs",IF(ABS(V24)&gt;=1E6,"MFLOPs","flops")))))="",""," "&amp;(IF(ABS(V24)&gt;=1E15,"PFLOPs",IF(ABS(V24)&gt;=1E12,"TFLOPs",IF(ABS(V24)&gt;=1E9,"GFLOPs",IF(ABS(V24)&gt;=1E6,"MFLOPs","flops"))))))</f>
        <v>0.000 FLOPs</v>
      </c>
      <c r="F24" s="33" t="str">
        <f>TEXT(IF(ABS(AA24)&gt;=1E12,AA24/1E12,IF(ABS(AA24)&gt;=1E9,AA24/1E9,IF(ABS(AA24)&gt;=1E6,AA24/1E6,IF(ABS(AA24)&gt;=1E3,AA24/1E3,AA24)))),"#,##0.000")&amp;IF((IF(ABS(AA24)&gt;=1E12,"TB",IF(ABS(AA24)&gt;=1E9,"GB",IF(ABS(AA24)&gt;=1E6,"MB",IF(ABS(AA24)&gt;=1E3,"KB","bytes")))))="",""," "&amp;(IF(ABS(AA24)&gt;=1E12,"TB",IF(ABS(AA24)&gt;=1E9,"GB",IF(ABS(AA24)&gt;=1E6,"MB",IF(ABS(AA24)&gt;=1E3,"KB","bytes"))))))</f>
        <v>0.000 B</v>
      </c>
      <c r="G24" s="33" t="str">
        <f>TEXT(IF(ABS(X24)&gt;=1E12,X24/1E12,IF(ABS(X24)&gt;=1E9,X24/1E9,IF(ABS(X24)&gt;=1E6,X24/1E6,IF(ABS(X24)&gt;=1E3,X24/1E3,X24)))),"#,##0.000")&amp;IF((IF(ABS(X24)&gt;=1E12,"TB",IF(ABS(X24)&gt;=1E9,"GB",IF(ABS(X24)&gt;=1E6,"MB",IF(ABS(X24)&gt;=1E3,"KB","bytes")))))="",""," "&amp;(IF(ABS(X24)&gt;=1E12,"TB",IF(ABS(X24)&gt;=1E9,"GB",IF(ABS(X24)&gt;=1E6,"MB",IF(ABS(X24)&gt;=1E3,"KB","bytes"))))))</f>
        <v>132.383 MB</v>
      </c>
      <c r="H24" s="33" t="str">
        <f>TEXT(IF(ABS(Y24)&gt;=1E15,Y24/1E15,IF(ABS(Y24)&gt;=1E12,Y24/1E12,IF(ABS(Y24)&gt;=1E9,Y24/1E9,IF(ABS(Y24)&gt;=1E6,Y24/1E6,Y24)))),"#,##0.000")&amp;IF((IF(ABS(Y24)&gt;=1E15,"PFLOPs",IF(ABS(Y24)&gt;=1E12,"TFLOPs",IF(ABS(Y24)&gt;=1E9,"GFLOPs",IF(ABS(Y24)&gt;=1E6,"MFLOPs","flops")))))="",""," "&amp;(IF(ABS(Y24)&gt;=1E15,"PFLOPs",IF(ABS(Y24)&gt;=1E12,"TFLOPs",IF(ABS(Y24)&gt;=1E9,"GFLOPs",IF(ABS(Y24)&gt;=1E6,"MFLOPs","flops"))))))</f>
        <v>0.000 FLOPs</v>
      </c>
      <c r="I24" s="33" t="str">
        <f>TEXT(IF(ABS(AB24)&gt;=1E12,AB24/1E12,IF(ABS(AB24)&gt;=1E9,AB24/1E9,IF(ABS(AB24)&gt;=1E6,AB24/1E6,IF(ABS(AB24)&gt;=1E3,AB24/1E3,AB24)))),"#,##0.000")&amp;IF((IF(ABS(AB24)&gt;=1E12,"TB",IF(ABS(AB24)&gt;=1E9,"GB",IF(ABS(AB24)&gt;=1E6,"MB",IF(ABS(AB24)&gt;=1E3,"KB","bytes")))))="",""," "&amp;(IF(ABS(AB24)&gt;=1E12,"TB",IF(ABS(AB24)&gt;=1E9,"GB",IF(ABS(AB24)&gt;=1E6,"MB",IF(ABS(AB24)&gt;=1E3,"KB","bytes"))))))</f>
        <v>234.881 MB</v>
      </c>
      <c r="J24" s="4" t="s">
        <v>262</v>
      </c>
      <c r="K24" s="4" t="s">
        <v>244</v>
      </c>
      <c r="L24" s="4" t="s">
        <v>263</v>
      </c>
      <c r="U24" s="32">
        <f>TP1LocalVocab*HiddenSize*BF16Bytes</f>
        <v>1059061760.0</v>
      </c>
      <c r="V24" s="32">
        <f>0</f>
        <v>0</v>
      </c>
      <c r="W24" s="32">
        <f>(PF_Rows*HiddenSize*BF16Bytes)+(PF_Rows*HiddenSize*BF16Bytes)</f>
        <v>134217728</v>
      </c>
      <c r="X24" s="32">
        <f>TP8LocalVocab*HiddenSize*BF16Bytes</f>
        <v>132382720.0</v>
      </c>
      <c r="Y24" s="32">
        <f>0</f>
        <v>0</v>
      </c>
      <c r="Z24" s="32">
        <f>(PF_Rows*HiddenSize*BF16Bytes)+(PF_Rows*HiddenSize*BF16Bytes)</f>
        <v>134217728</v>
      </c>
      <c r="AA24" s="32">
        <f>4*(TP1Size-1)/TP1Size*PF_Rows*HiddenSize*BF16Bytes</f>
        <v>0.0</v>
      </c>
      <c r="AB24" s="32">
        <f>4*(TP8Size-1)/TP8Size*PF_Rows*HiddenSize*BF16Bytes</f>
        <v>234881024.0</v>
      </c>
    </row>
    <row r="25" spans="1:38">
      <c r="A25" s="4" t="s">
        <v>40</v>
      </c>
      <c r="B25" s="4" t="s">
        <v>264</v>
      </c>
      <c r="C25" s="4" t="s">
        <v>265</v>
      </c>
      <c r="D25" s="33" t="str">
        <f>TEXT(IF(ABS(U25)&gt;=1E12,U25/1E12,IF(ABS(U25)&gt;=1E9,U25/1E9,IF(ABS(U25)&gt;=1E6,U25/1E6,IF(ABS(U25)&gt;=1E3,U25/1E3,U25)))),"#,##0.000")&amp;IF((IF(ABS(U25)&gt;=1E12,"TB",IF(ABS(U25)&gt;=1E9,"GB",IF(ABS(U25)&gt;=1E6,"MB",IF(ABS(U25)&gt;=1E3,"KB","bytes")))))="",""," "&amp;(IF(ABS(U25)&gt;=1E12,"TB",IF(ABS(U25)&gt;=1E9,"GB",IF(ABS(U25)&gt;=1E6,"MB",IF(ABS(U25)&gt;=1E3,"KB","bytes"))))))</f>
        <v>6.042 GB</v>
      </c>
      <c r="E25" s="33" t="str">
        <f>TEXT(IF(ABS(V25)&gt;=1E15,V25/1E15,IF(ABS(V25)&gt;=1E12,V25/1E12,IF(ABS(V25)&gt;=1E9,V25/1E9,IF(ABS(V25)&gt;=1E6,V25/1E6,V25)))),"#,##0.000")&amp;IF((IF(ABS(V25)&gt;=1E15,"PFLOPs",IF(ABS(V25)&gt;=1E12,"TFLOPs",IF(ABS(V25)&gt;=1E9,"GFLOPs",IF(ABS(V25)&gt;=1E6,"MFLOPs","flops")))))="",""," "&amp;(IF(ABS(V25)&gt;=1E15,"PFLOPs",IF(ABS(V25)&gt;=1E12,"TFLOPs",IF(ABS(V25)&gt;=1E9,"GFLOPs",IF(ABS(V25)&gt;=1E6,"MFLOPs","flops"))))))</f>
        <v>75.351 TFLOPs</v>
      </c>
      <c r="F25" s="33" t="str">
        <f>TEXT(IF(ABS(AA25)&gt;=1E12,AA25/1E12,IF(ABS(AA25)&gt;=1E9,AA25/1E9,IF(ABS(AA25)&gt;=1E6,AA25/1E6,IF(ABS(AA25)&gt;=1E3,AA25/1E3,AA25)))),"#,##0.000")&amp;IF((IF(ABS(AA25)&gt;=1E12,"TB",IF(ABS(AA25)&gt;=1E9,"GB",IF(ABS(AA25)&gt;=1E6,"MB",IF(ABS(AA25)&gt;=1E3,"KB","bytes")))))="",""," "&amp;(IF(ABS(AA25)&gt;=1E12,"TB",IF(ABS(AA25)&gt;=1E9,"GB",IF(ABS(AA25)&gt;=1E6,"MB",IF(ABS(AA25)&gt;=1E3,"KB","bytes"))))))</f>
        <v>0.000 B</v>
      </c>
      <c r="G25" s="33" t="str">
        <f>TEXT(IF(ABS(X25)&gt;=1E12,X25/1E12,IF(ABS(X25)&gt;=1E9,X25/1E9,IF(ABS(X25)&gt;=1E6,X25/1E6,IF(ABS(X25)&gt;=1E3,X25/1E3,X25)))),"#,##0.000")&amp;IF((IF(ABS(X25)&gt;=1E12,"TB",IF(ABS(X25)&gt;=1E9,"GB",IF(ABS(X25)&gt;=1E6,"MB",IF(ABS(X25)&gt;=1E3,"KB","bytes")))))="",""," "&amp;(IF(ABS(X25)&gt;=1E12,"TB",IF(ABS(X25)&gt;=1E9,"GB",IF(ABS(X25)&gt;=1E6,"MB",IF(ABS(X25)&gt;=1E3,"KB","bytes"))))))</f>
        <v>991.991 MB</v>
      </c>
      <c r="H25" s="33" t="str">
        <f>TEXT(IF(ABS(Y25)&gt;=1E15,Y25/1E15,IF(ABS(Y25)&gt;=1E12,Y25/1E12,IF(ABS(Y25)&gt;=1E9,Y25/1E9,IF(ABS(Y25)&gt;=1E6,Y25/1E6,Y25)))),"#,##0.000")&amp;IF((IF(ABS(Y25)&gt;=1E15,"PFLOPs",IF(ABS(Y25)&gt;=1E12,"TFLOPs",IF(ABS(Y25)&gt;=1E9,"GFLOPs",IF(ABS(Y25)&gt;=1E6,"MFLOPs","flops")))))="",""," "&amp;(IF(ABS(Y25)&gt;=1E15,"PFLOPs",IF(ABS(Y25)&gt;=1E12,"TFLOPs",IF(ABS(Y25)&gt;=1E9,"GFLOPs",IF(ABS(Y25)&gt;=1E6,"MFLOPs","flops"))))))</f>
        <v>13.297 TFLOPs</v>
      </c>
      <c r="I25" s="33" t="str">
        <f>TEXT(IF(ABS(AB25)&gt;=1E12,AB25/1E12,IF(ABS(AB25)&gt;=1E9,AB25/1E9,IF(ABS(AB25)&gt;=1E6,AB25/1E6,IF(ABS(AB25)&gt;=1E3,AB25/1E3,AB25)))),"#,##0.000")&amp;IF((IF(ABS(AB25)&gt;=1E12,"TB",IF(ABS(AB25)&gt;=1E9,"GB",IF(ABS(AB25)&gt;=1E6,"MB",IF(ABS(AB25)&gt;=1E3,"KB","bytes")))))="",""," "&amp;(IF(ABS(AB25)&gt;=1E12,"TB",IF(ABS(AB25)&gt;=1E9,"GB",IF(ABS(AB25)&gt;=1E6,"MB",IF(ABS(AB25)&gt;=1E3,"KB","bytes"))))))</f>
        <v>0.000 B</v>
      </c>
      <c r="J25" s="4" t="s">
        <v>266</v>
      </c>
      <c r="K25" s="4" t="s">
        <v>267</v>
      </c>
      <c r="L25" s="4" t="s">
        <v>268</v>
      </c>
      <c r="U25" s="32">
        <f>TotalLayers*(((HiddenSize)*(QLoraRank)*FP8Bytes+ROUNDUP((HiddenSize)/FP8Block,0)*ROUNDUP((QLoraRank)/FP8Block,0)*ScaleBytes)+((QLoraRank)*(TP1LocalHeads*HeadDim)*FP8Bytes+ROUNDUP((QLoraRank)/FP8Block,0)*ROUNDUP((TP1LocalHeads*HeadDim)/FP8Block,0)*ScaleBytes)+((HiddenSize)*(HeadDim)*FP8Bytes+ROUNDUP((HiddenSize)/FP8Block,0)*ROUNDUP((HeadDim)/FP8Block,0)*ScaleBytes)+TP1LocalHeads*HeadDim*OLoraRank*BF16Bytes+((TP1LocalOGroups*OLoraRank)*(HiddenSize)*FP8Bytes+ROUNDUP((TP1LocalOGroups*OLoraRank)/FP8Block,0)*ROUNDUP((HiddenSize)/FP8Block,0)*ScaleBytes))</f>
        <v>6042087552</v>
      </c>
      <c r="V25" s="32">
        <f>PF_Rows*TotalLayers*2*(HiddenSize*QLoraRank+QLoraRank*TP1LocalHeads*HeadDim+HiddenSize*HeadDim+TP1LocalHeads*HeadDim*OLoraRank+TP1LocalOGroups*OLoraRank*HiddenSize)</f>
        <v>75350906241024.0</v>
      </c>
      <c r="W25" s="32">
        <f>(TotalLayers*(((HiddenSize)*(QLoraRank)*FP8Bytes+ROUNDUP((HiddenSize)/FP8Block,0)*ROUNDUP((QLoraRank)/FP8Block,0)*ScaleBytes)+((QLoraRank)*(TP1LocalHeads*HeadDim)*FP8Bytes+ROUNDUP((QLoraRank)/FP8Block,0)*ROUNDUP((TP1LocalHeads*HeadDim)/FP8Block,0)*ScaleBytes)+((HiddenSize)*(HeadDim)*FP8Bytes+ROUNDUP((HiddenSize)/FP8Block,0)*ROUNDUP((HeadDim)/FP8Block,0)*ScaleBytes)+TP1LocalHeads*HeadDim*OLoraRank*BF16Bytes+((TP1LocalOGroups*OLoraRank)*(HiddenSize)*FP8Bytes+ROUNDUP((TP1LocalOGroups*OLoraRank)/FP8Block,0)*ROUNDUP((HiddenSize)/FP8Block,0)*ScaleBytes))+PF_Rows*TotalLayers*(2*HiddenSize*BF16Bytes+QLoraRank*BF16Bytes+TP1KernelLocalHeads*HeadDim*BF16Bytes+TP1LocalOGroups*OLoraRank*BF16Bytes))+(PF_Rows*TotalLayers*(QLoraRank+TP1KernelLocalHeads*HeadDim+HeadDim+TP1LocalOGroups*OLoraRank+HiddenSize)*BF16Bytes)</f>
        <v>74216304768.0</v>
      </c>
      <c r="X25" s="32">
        <f>TotalLayers*(((HiddenSize)*(QLoraRank)*FP8Bytes+ROUNDUP((HiddenSize)/FP8Block,0)*ROUNDUP((QLoraRank)/FP8Block,0)*ScaleBytes)+((QLoraRank)*(TP8LocalHeads*HeadDim)*FP8Bytes+ROUNDUP((QLoraRank)/FP8Block,0)*ROUNDUP((TP8LocalHeads*HeadDim)/FP8Block,0)*ScaleBytes)+((HiddenSize)*(HeadDim)*FP8Bytes+ROUNDUP((HiddenSize)/FP8Block,0)*ROUNDUP((HeadDim)/FP8Block,0)*ScaleBytes)+TP8LocalHeads*HeadDim*OLoraRank*BF16Bytes+((TP8LocalOGroups*OLoraRank)*(HiddenSize)*FP8Bytes+ROUNDUP((TP8LocalOGroups*OLoraRank)/FP8Block,0)*ROUNDUP((HiddenSize)/FP8Block,0)*ScaleBytes))</f>
        <v>991991424</v>
      </c>
      <c r="Y25" s="32">
        <f>PF_Rows*TotalLayers*2*(HiddenSize*QLoraRank+QLoraRank*TP8LocalHeads*HeadDim+HiddenSize*HeadDim+TP8LocalHeads*HeadDim*OLoraRank+TP8LocalOGroups*OLoraRank*HiddenSize)</f>
        <v>13297218748416.0</v>
      </c>
      <c r="Z25" s="32">
        <f>(TotalLayers*(((HiddenSize)*(QLoraRank)*FP8Bytes+ROUNDUP((HiddenSize)/FP8Block,0)*ROUNDUP((QLoraRank)/FP8Block,0)*ScaleBytes)+((QLoraRank)*(TP8LocalHeads*HeadDim)*FP8Bytes+ROUNDUP((QLoraRank)/FP8Block,0)*ROUNDUP((TP8LocalHeads*HeadDim)/FP8Block,0)*ScaleBytes)+((HiddenSize)*(HeadDim)*FP8Bytes+ROUNDUP((HiddenSize)/FP8Block,0)*ROUNDUP((HeadDim)/FP8Block,0)*ScaleBytes)+TP8LocalHeads*HeadDim*OLoraRank*BF16Bytes+((TP8LocalOGroups*OLoraRank)*(HiddenSize)*FP8Bytes+ROUNDUP((TP8LocalOGroups*OLoraRank)/FP8Block,0)*ROUNDUP((HiddenSize)/FP8Block,0)*ScaleBytes))+PF_Rows*TotalLayers*(2*HiddenSize*BF16Bytes+QLoraRank*BF16Bytes+TP8KernelLocalHeads*HeadDim*BF16Bytes+TP8LocalOGroups*OLoraRank*BF16Bytes))+(PF_Rows*TotalLayers*(QLoraRank+TP8KernelLocalHeads*HeadDim+HeadDim+TP8LocalOGroups*OLoraRank+HiddenSize)*BF16Bytes)</f>
        <v>24438150784.0</v>
      </c>
      <c r="AA25" s="32">
        <f>0</f>
        <v>0</v>
      </c>
      <c r="AB25" s="32">
        <f>0</f>
        <v>0</v>
      </c>
    </row>
    <row r="26" spans="1:38">
      <c r="A26" s="4" t="s">
        <v>40</v>
      </c>
      <c r="B26" s="4" t="s">
        <v>269</v>
      </c>
      <c r="C26" s="4" t="s">
        <v>270</v>
      </c>
      <c r="D26" s="33" t="str">
        <f>TEXT(IF(ABS(U26)&gt;=1E12,U26/1E12,IF(ABS(U26)&gt;=1E9,U26/1E9,IF(ABS(U26)&gt;=1E6,U26/1E6,IF(ABS(U26)&gt;=1E3,U26/1E3,U26)))),"#,##0.000")&amp;IF((IF(ABS(U26)&gt;=1E12,"TB",IF(ABS(U26)&gt;=1E9,"GB",IF(ABS(U26)&gt;=1E6,"MB",IF(ABS(U26)&gt;=1E3,"KB","bytes")))))="",""," "&amp;(IF(ABS(U26)&gt;=1E12,"TB",IF(ABS(U26)&gt;=1E9,"GB",IF(ABS(U26)&gt;=1E6,"MB",IF(ABS(U26)&gt;=1E3,"KB","bytes"))))))</f>
        <v>0.000 B</v>
      </c>
      <c r="E26" s="33" t="str">
        <f>TEXT(IF(ABS(V26)&gt;=1E15,V26/1E15,IF(ABS(V26)&gt;=1E12,V26/1E12,IF(ABS(V26)&gt;=1E9,V26/1E9,IF(ABS(V26)&gt;=1E6,V26/1E6,V26)))),"#,##0.000")&amp;IF((IF(ABS(V26)&gt;=1E15,"PFLOPs",IF(ABS(V26)&gt;=1E12,"TFLOPs",IF(ABS(V26)&gt;=1E9,"GFLOPs",IF(ABS(V26)&gt;=1E6,"MFLOPs","flops")))))="",""," "&amp;(IF(ABS(V26)&gt;=1E15,"PFLOPs",IF(ABS(V26)&gt;=1E12,"TFLOPs",IF(ABS(V26)&gt;=1E9,"GFLOPs",IF(ABS(V26)&gt;=1E6,"MFLOPs","flops"))))))</f>
        <v>272.747 GFLOPs</v>
      </c>
      <c r="F26" s="33" t="str">
        <f>TEXT(IF(ABS(AA26)&gt;=1E12,AA26/1E12,IF(ABS(AA26)&gt;=1E9,AA26/1E9,IF(ABS(AA26)&gt;=1E6,AA26/1E6,IF(ABS(AA26)&gt;=1E3,AA26/1E3,AA26)))),"#,##0.000")&amp;IF((IF(ABS(AA26)&gt;=1E12,"TB",IF(ABS(AA26)&gt;=1E9,"GB",IF(ABS(AA26)&gt;=1E6,"MB",IF(ABS(AA26)&gt;=1E3,"KB","bytes")))))="",""," "&amp;(IF(ABS(AA26)&gt;=1E12,"TB",IF(ABS(AA26)&gt;=1E9,"GB",IF(ABS(AA26)&gt;=1E6,"MB",IF(ABS(AA26)&gt;=1E3,"KB","bytes"))))))</f>
        <v>0.000 B</v>
      </c>
      <c r="G26" s="33" t="str">
        <f>TEXT(IF(ABS(X26)&gt;=1E12,X26/1E12,IF(ABS(X26)&gt;=1E9,X26/1E9,IF(ABS(X26)&gt;=1E6,X26/1E6,IF(ABS(X26)&gt;=1E3,X26/1E3,X26)))),"#,##0.000")&amp;IF((IF(ABS(X26)&gt;=1E12,"TB",IF(ABS(X26)&gt;=1E9,"GB",IF(ABS(X26)&gt;=1E6,"MB",IF(ABS(X26)&gt;=1E3,"KB","bytes")))))="",""," "&amp;(IF(ABS(X26)&gt;=1E12,"TB",IF(ABS(X26)&gt;=1E9,"GB",IF(ABS(X26)&gt;=1E6,"MB",IF(ABS(X26)&gt;=1E3,"KB","bytes"))))))</f>
        <v>0.000 B</v>
      </c>
      <c r="H26" s="33" t="str">
        <f>TEXT(IF(ABS(Y26)&gt;=1E15,Y26/1E15,IF(ABS(Y26)&gt;=1E12,Y26/1E12,IF(ABS(Y26)&gt;=1E9,Y26/1E9,IF(ABS(Y26)&gt;=1E6,Y26/1E6,Y26)))),"#,##0.000")&amp;IF((IF(ABS(Y26)&gt;=1E15,"PFLOPs",IF(ABS(Y26)&gt;=1E12,"TFLOPs",IF(ABS(Y26)&gt;=1E9,"GFLOPs",IF(ABS(Y26)&gt;=1E6,"MFLOPs","flops")))))="",""," "&amp;(IF(ABS(Y26)&gt;=1E15,"PFLOPs",IF(ABS(Y26)&gt;=1E12,"TFLOPs",IF(ABS(Y26)&gt;=1E9,"GFLOPs",IF(ABS(Y26)&gt;=1E6,"MFLOPs","flops"))))))</f>
        <v>68.187 GFLOPs</v>
      </c>
      <c r="I26" s="33" t="str">
        <f>TEXT(IF(ABS(AB26)&gt;=1E12,AB26/1E12,IF(ABS(AB26)&gt;=1E9,AB26/1E9,IF(ABS(AB26)&gt;=1E6,AB26/1E6,IF(ABS(AB26)&gt;=1E3,AB26/1E3,AB26)))),"#,##0.000")&amp;IF((IF(ABS(AB26)&gt;=1E12,"TB",IF(ABS(AB26)&gt;=1E9,"GB",IF(ABS(AB26)&gt;=1E6,"MB",IF(ABS(AB26)&gt;=1E3,"KB","bytes")))))="",""," "&amp;(IF(ABS(AB26)&gt;=1E12,"TB",IF(ABS(AB26)&gt;=1E9,"GB",IF(ABS(AB26)&gt;=1E6,"MB",IF(ABS(AB26)&gt;=1E3,"KB","bytes"))))))</f>
        <v>0.000 B</v>
      </c>
      <c r="J26" s="4" t="s">
        <v>256</v>
      </c>
      <c r="K26" s="4" t="s">
        <v>271</v>
      </c>
      <c r="L26" s="4" t="s">
        <v>272</v>
      </c>
      <c r="U26" s="32">
        <f>0</f>
        <v>0</v>
      </c>
      <c r="V26" s="32">
        <f>4*PrefillBatch*TP1KernelLocalHeads*HeadDim*(WindowLayers*PF_RawPairs)</f>
        <v>272747200512.0</v>
      </c>
      <c r="W26" s="32">
        <f>(PF_Rows*WindowLayers*TP1KernelLocalHeads*HeadDim*BF16Bytes+PrefillBatch*(WindowLayers*PF_RawPairs)*HeadDim*BF16Bytes)+(PF_Rows*WindowLayers*TP1KernelLocalHeads*HeadDim*BF16Bytes)</f>
        <v>4278321152.0</v>
      </c>
      <c r="X26" s="32">
        <f>0</f>
        <v>0</v>
      </c>
      <c r="Y26" s="32">
        <f>4*PrefillBatch*TP8KernelLocalHeads*HeadDim*(WindowLayers*PF_RawPairs)</f>
        <v>68186800128.0</v>
      </c>
      <c r="Z26" s="32">
        <f>(PF_Rows*WindowLayers*TP8KernelLocalHeads*HeadDim*BF16Bytes+PrefillBatch*(WindowLayers*PF_RawPairs)*HeadDim*BF16Bytes)+(PF_Rows*WindowLayers*TP8KernelLocalHeads*HeadDim*BF16Bytes)</f>
        <v>2667708416</v>
      </c>
      <c r="AA26" s="32">
        <f>0</f>
        <v>0</v>
      </c>
      <c r="AB26" s="32">
        <f>0</f>
        <v>0</v>
      </c>
    </row>
    <row r="27" spans="1:38">
      <c r="A27" s="4" t="s">
        <v>40</v>
      </c>
      <c r="B27" s="4" t="s">
        <v>273</v>
      </c>
      <c r="C27" s="4" t="s">
        <v>274</v>
      </c>
      <c r="D27" s="33" t="str">
        <f>TEXT(IF(ABS(U27)&gt;=1E12,U27/1E12,IF(ABS(U27)&gt;=1E9,U27/1E9,IF(ABS(U27)&gt;=1E6,U27/1E6,IF(ABS(U27)&gt;=1E3,U27/1E3,U27)))),"#,##0.000")&amp;IF((IF(ABS(U27)&gt;=1E12,"TB",IF(ABS(U27)&gt;=1E9,"GB",IF(ABS(U27)&gt;=1E6,"MB",IF(ABS(U27)&gt;=1E3,"KB","bytes")))))="",""," "&amp;(IF(ABS(U27)&gt;=1E12,"TB",IF(ABS(U27)&gt;=1E9,"GB",IF(ABS(U27)&gt;=1E6,"MB",IF(ABS(U27)&gt;=1E3,"KB","bytes"))))))</f>
        <v>0.000 B</v>
      </c>
      <c r="E27" s="33" t="str">
        <f>TEXT(IF(ABS(V27)&gt;=1E15,V27/1E15,IF(ABS(V27)&gt;=1E12,V27/1E12,IF(ABS(V27)&gt;=1E9,V27/1E9,IF(ABS(V27)&gt;=1E6,V27/1E6,V27)))),"#,##0.000")&amp;IF((IF(ABS(V27)&gt;=1E15,"PFLOPs",IF(ABS(V27)&gt;=1E12,"TFLOPs",IF(ABS(V27)&gt;=1E9,"GFLOPs",IF(ABS(V27)&gt;=1E6,"MFLOPs","flops")))))="",""," "&amp;(IF(ABS(V27)&gt;=1E15,"PFLOPs",IF(ABS(V27)&gt;=1E12,"TFLOPs",IF(ABS(V27)&gt;=1E9,"GFLOPs",IF(ABS(V27)&gt;=1E6,"MFLOPs","flops"))))))</f>
        <v>12.964 TFLOPs</v>
      </c>
      <c r="F27" s="33" t="str">
        <f>TEXT(IF(ABS(AA27)&gt;=1E12,AA27/1E12,IF(ABS(AA27)&gt;=1E9,AA27/1E9,IF(ABS(AA27)&gt;=1E6,AA27/1E6,IF(ABS(AA27)&gt;=1E3,AA27/1E3,AA27)))),"#,##0.000")&amp;IF((IF(ABS(AA27)&gt;=1E12,"TB",IF(ABS(AA27)&gt;=1E9,"GB",IF(ABS(AA27)&gt;=1E6,"MB",IF(ABS(AA27)&gt;=1E3,"KB","bytes")))))="",""," "&amp;(IF(ABS(AA27)&gt;=1E12,"TB",IF(ABS(AA27)&gt;=1E9,"GB",IF(ABS(AA27)&gt;=1E6,"MB",IF(ABS(AA27)&gt;=1E3,"KB","bytes"))))))</f>
        <v>0.000 B</v>
      </c>
      <c r="G27" s="33" t="str">
        <f>TEXT(IF(ABS(X27)&gt;=1E12,X27/1E12,IF(ABS(X27)&gt;=1E9,X27/1E9,IF(ABS(X27)&gt;=1E6,X27/1E6,IF(ABS(X27)&gt;=1E3,X27/1E3,X27)))),"#,##0.000")&amp;IF((IF(ABS(X27)&gt;=1E12,"TB",IF(ABS(X27)&gt;=1E9,"GB",IF(ABS(X27)&gt;=1E6,"MB",IF(ABS(X27)&gt;=1E3,"KB","bytes")))))="",""," "&amp;(IF(ABS(X27)&gt;=1E12,"TB",IF(ABS(X27)&gt;=1E9,"GB",IF(ABS(X27)&gt;=1E6,"MB",IF(ABS(X27)&gt;=1E3,"KB","bytes"))))))</f>
        <v>0.000 B</v>
      </c>
      <c r="H27" s="33" t="str">
        <f>TEXT(IF(ABS(Y27)&gt;=1E15,Y27/1E15,IF(ABS(Y27)&gt;=1E12,Y27/1E12,IF(ABS(Y27)&gt;=1E9,Y27/1E9,IF(ABS(Y27)&gt;=1E6,Y27/1E6,Y27)))),"#,##0.000")&amp;IF((IF(ABS(Y27)&gt;=1E15,"PFLOPs",IF(ABS(Y27)&gt;=1E12,"TFLOPs",IF(ABS(Y27)&gt;=1E9,"GFLOPs",IF(ABS(Y27)&gt;=1E6,"MFLOPs","flops")))))="",""," "&amp;(IF(ABS(Y27)&gt;=1E15,"PFLOPs",IF(ABS(Y27)&gt;=1E12,"TFLOPs",IF(ABS(Y27)&gt;=1E9,"GFLOPs",IF(ABS(Y27)&gt;=1E6,"MFLOPs","flops"))))))</f>
        <v>3.241 TFLOPs</v>
      </c>
      <c r="I27" s="33" t="str">
        <f>TEXT(IF(ABS(AB27)&gt;=1E12,AB27/1E12,IF(ABS(AB27)&gt;=1E9,AB27/1E9,IF(ABS(AB27)&gt;=1E6,AB27/1E6,IF(ABS(AB27)&gt;=1E3,AB27/1E3,AB27)))),"#,##0.000")&amp;IF((IF(ABS(AB27)&gt;=1E12,"TB",IF(ABS(AB27)&gt;=1E9,"GB",IF(ABS(AB27)&gt;=1E6,"MB",IF(ABS(AB27)&gt;=1E3,"KB","bytes")))))="",""," "&amp;(IF(ABS(AB27)&gt;=1E12,"TB",IF(ABS(AB27)&gt;=1E9,"GB",IF(ABS(AB27)&gt;=1E6,"MB",IF(ABS(AB27)&gt;=1E3,"KB","bytes"))))))</f>
        <v>0.000 B</v>
      </c>
      <c r="J27" s="4" t="s">
        <v>256</v>
      </c>
      <c r="K27" s="4" t="s">
        <v>275</v>
      </c>
      <c r="L27" s="4" t="s">
        <v>272</v>
      </c>
      <c r="U27" s="32">
        <f>0</f>
        <v>0</v>
      </c>
      <c r="V27" s="32">
        <f>4*PrefillBatch*TP1KernelLocalHeads*HeadDim*(ShortLayers*(PF_RawPairs+PF_ShortPairs))</f>
        <v>12964199399424.0</v>
      </c>
      <c r="W27" s="32">
        <f>(PF_Rows*ShortLayers*TP1KernelLocalHeads*HeadDim*BF16Bytes+PrefillBatch*(ShortLayers*(PF_RawPairs+PF_ShortPairs))*HeadDim*BF16Bytes)+(PF_Rows*ShortLayers*TP1KernelLocalHeads*HeadDim*BF16Bytes)</f>
        <v>123831386112.0</v>
      </c>
      <c r="X27" s="32">
        <f>0</f>
        <v>0</v>
      </c>
      <c r="Y27" s="32">
        <f>4*PrefillBatch*TP8KernelLocalHeads*HeadDim*(ShortLayers*(PF_RawPairs+PF_ShortPairs))</f>
        <v>3241049849856.0</v>
      </c>
      <c r="Z27" s="32">
        <f>(PF_Rows*ShortLayers*TP8KernelLocalHeads*HeadDim*BF16Bytes+PrefillBatch*(ShortLayers*(PF_RawPairs+PF_ShortPairs))*HeadDim*BF16Bytes)+(PF_Rows*ShortLayers*TP8KernelLocalHeads*HeadDim*BF16Bytes)</f>
        <v>106919952384</v>
      </c>
      <c r="AA27" s="32">
        <f>0</f>
        <v>0</v>
      </c>
      <c r="AB27" s="32">
        <f>0</f>
        <v>0</v>
      </c>
    </row>
    <row r="28" spans="1:38">
      <c r="A28" s="4" t="s">
        <v>40</v>
      </c>
      <c r="B28" s="4" t="s">
        <v>276</v>
      </c>
      <c r="C28" s="4" t="s">
        <v>277</v>
      </c>
      <c r="D28" s="33" t="str">
        <f>TEXT(IF(ABS(U28)&gt;=1E12,U28/1E12,IF(ABS(U28)&gt;=1E9,U28/1E9,IF(ABS(U28)&gt;=1E6,U28/1E6,IF(ABS(U28)&gt;=1E3,U28/1E3,U28)))),"#,##0.000")&amp;IF((IF(ABS(U28)&gt;=1E12,"TB",IF(ABS(U28)&gt;=1E9,"GB",IF(ABS(U28)&gt;=1E6,"MB",IF(ABS(U28)&gt;=1E3,"KB","bytes")))))="",""," "&amp;(IF(ABS(U28)&gt;=1E12,"TB",IF(ABS(U28)&gt;=1E9,"GB",IF(ABS(U28)&gt;=1E6,"MB",IF(ABS(U28)&gt;=1E3,"KB","bytes"))))))</f>
        <v>0.000 B</v>
      </c>
      <c r="E28" s="33" t="str">
        <f>TEXT(IF(ABS(V28)&gt;=1E15,V28/1E15,IF(ABS(V28)&gt;=1E12,V28/1E12,IF(ABS(V28)&gt;=1E9,V28/1E9,IF(ABS(V28)&gt;=1E6,V28/1E6,V28)))),"#,##0.000")&amp;IF((IF(ABS(V28)&gt;=1E15,"PFLOPs",IF(ABS(V28)&gt;=1E12,"TFLOPs",IF(ABS(V28)&gt;=1E9,"GFLOPs",IF(ABS(V28)&gt;=1E6,"MFLOPs","flops")))))="",""," "&amp;(IF(ABS(V28)&gt;=1E15,"PFLOPs",IF(ABS(V28)&gt;=1E12,"TFLOPs",IF(ABS(V28)&gt;=1E9,"GFLOPs",IF(ABS(V28)&gt;=1E6,"MFLOPs","flops"))))))</f>
        <v>3.404 TFLOPs</v>
      </c>
      <c r="F28" s="33" t="str">
        <f>TEXT(IF(ABS(AA28)&gt;=1E12,AA28/1E12,IF(ABS(AA28)&gt;=1E9,AA28/1E9,IF(ABS(AA28)&gt;=1E6,AA28/1E6,IF(ABS(AA28)&gt;=1E3,AA28/1E3,AA28)))),"#,##0.000")&amp;IF((IF(ABS(AA28)&gt;=1E12,"TB",IF(ABS(AA28)&gt;=1E9,"GB",IF(ABS(AA28)&gt;=1E6,"MB",IF(ABS(AA28)&gt;=1E3,"KB","bytes")))))="",""," "&amp;(IF(ABS(AA28)&gt;=1E12,"TB",IF(ABS(AA28)&gt;=1E9,"GB",IF(ABS(AA28)&gt;=1E6,"MB",IF(ABS(AA28)&gt;=1E3,"KB","bytes"))))))</f>
        <v>0.000 B</v>
      </c>
      <c r="G28" s="33" t="str">
        <f>TEXT(IF(ABS(X28)&gt;=1E12,X28/1E12,IF(ABS(X28)&gt;=1E9,X28/1E9,IF(ABS(X28)&gt;=1E6,X28/1E6,IF(ABS(X28)&gt;=1E3,X28/1E3,X28)))),"#,##0.000")&amp;IF((IF(ABS(X28)&gt;=1E12,"TB",IF(ABS(X28)&gt;=1E9,"GB",IF(ABS(X28)&gt;=1E6,"MB",IF(ABS(X28)&gt;=1E3,"KB","bytes")))))="",""," "&amp;(IF(ABS(X28)&gt;=1E12,"TB",IF(ABS(X28)&gt;=1E9,"GB",IF(ABS(X28)&gt;=1E6,"MB",IF(ABS(X28)&gt;=1E3,"KB","bytes"))))))</f>
        <v>0.000 B</v>
      </c>
      <c r="H28" s="33" t="str">
        <f>TEXT(IF(ABS(Y28)&gt;=1E15,Y28/1E15,IF(ABS(Y28)&gt;=1E12,Y28/1E12,IF(ABS(Y28)&gt;=1E9,Y28/1E9,IF(ABS(Y28)&gt;=1E6,Y28/1E6,Y28)))),"#,##0.000")&amp;IF((IF(ABS(Y28)&gt;=1E15,"PFLOPs",IF(ABS(Y28)&gt;=1E12,"TFLOPs",IF(ABS(Y28)&gt;=1E9,"GFLOPs",IF(ABS(Y28)&gt;=1E6,"MFLOPs","flops")))))="",""," "&amp;(IF(ABS(Y28)&gt;=1E15,"PFLOPs",IF(ABS(Y28)&gt;=1E12,"TFLOPs",IF(ABS(Y28)&gt;=1E9,"GFLOPs",IF(ABS(Y28)&gt;=1E6,"MFLOPs","flops"))))))</f>
        <v>851.024 GFLOPs</v>
      </c>
      <c r="I28" s="33" t="str">
        <f>TEXT(IF(ABS(AB28)&gt;=1E12,AB28/1E12,IF(ABS(AB28)&gt;=1E9,AB28/1E9,IF(ABS(AB28)&gt;=1E6,AB28/1E6,IF(ABS(AB28)&gt;=1E3,AB28/1E3,AB28)))),"#,##0.000")&amp;IF((IF(ABS(AB28)&gt;=1E12,"TB",IF(ABS(AB28)&gt;=1E9,"GB",IF(ABS(AB28)&gt;=1E6,"MB",IF(ABS(AB28)&gt;=1E3,"KB","bytes")))))="",""," "&amp;(IF(ABS(AB28)&gt;=1E12,"TB",IF(ABS(AB28)&gt;=1E9,"GB",IF(ABS(AB28)&gt;=1E6,"MB",IF(ABS(AB28)&gt;=1E3,"KB","bytes"))))))</f>
        <v>0.000 B</v>
      </c>
      <c r="J28" s="4" t="s">
        <v>256</v>
      </c>
      <c r="K28" s="4" t="s">
        <v>275</v>
      </c>
      <c r="L28" s="4" t="s">
        <v>272</v>
      </c>
      <c r="U28" s="32">
        <f>0</f>
        <v>0</v>
      </c>
      <c r="V28" s="32">
        <f>4*PrefillBatch*TP1KernelLocalHeads*HeadDim*(LongLayers*(PF_RawPairs+PF_LongPairs))</f>
        <v>3404097126400.0</v>
      </c>
      <c r="W28" s="32">
        <f>(PF_Rows*LongLayers*TP1KernelLocalHeads*HeadDim*BF16Bytes+PrefillBatch*(LongLayers*(PF_RawPairs+PF_LongPairs))*HeadDim*BF16Bytes)+(PF_Rows*LongLayers*TP1KernelLocalHeads*HeadDim*BF16Bytes)</f>
        <v>48069345280.0</v>
      </c>
      <c r="X28" s="32">
        <f>0</f>
        <v>0</v>
      </c>
      <c r="Y28" s="32">
        <f>4*PrefillBatch*TP8KernelLocalHeads*HeadDim*(LongLayers*(PF_RawPairs+PF_LongPairs))</f>
        <v>851024281600.0</v>
      </c>
      <c r="Z28" s="32">
        <f>(PF_Rows*LongLayers*TP8KernelLocalHeads*HeadDim*BF16Bytes+PrefillBatch*(LongLayers*(PF_RawPairs+PF_LongPairs))*HeadDim*BF16Bytes)+(PF_Rows*LongLayers*TP8KernelLocalHeads*HeadDim*BF16Bytes)</f>
        <v>31963217920</v>
      </c>
      <c r="AA28" s="32">
        <f>0</f>
        <v>0</v>
      </c>
      <c r="AB28" s="32">
        <f>0</f>
        <v>0</v>
      </c>
    </row>
    <row r="29" spans="1:38">
      <c r="A29" s="4" t="s">
        <v>40</v>
      </c>
      <c r="B29" s="4" t="s">
        <v>278</v>
      </c>
      <c r="C29" s="4" t="s">
        <v>158</v>
      </c>
      <c r="D29" s="33" t="str">
        <f>TEXT(IF(ABS(U29)&gt;=1E12,U29/1E12,IF(ABS(U29)&gt;=1E9,U29/1E9,IF(ABS(U29)&gt;=1E6,U29/1E6,IF(ABS(U29)&gt;=1E3,U29/1E3,U29)))),"#,##0.000")&amp;IF((IF(ABS(U29)&gt;=1E12,"TB",IF(ABS(U29)&gt;=1E9,"GB",IF(ABS(U29)&gt;=1E6,"MB",IF(ABS(U29)&gt;=1E3,"KB","bytes")))))="",""," "&amp;(IF(ABS(U29)&gt;=1E12,"TB",IF(ABS(U29)&gt;=1E9,"GB",IF(ABS(U29)&gt;=1E6,"MB",IF(ABS(U29)&gt;=1E3,"KB","bytes"))))))</f>
        <v>187.182 MB</v>
      </c>
      <c r="E29" s="33" t="str">
        <f>TEXT(IF(ABS(V29)&gt;=1E15,V29/1E15,IF(ABS(V29)&gt;=1E12,V29/1E12,IF(ABS(V29)&gt;=1E9,V29/1E9,IF(ABS(V29)&gt;=1E6,V29/1E6,V29)))),"#,##0.000")&amp;IF((IF(ABS(V29)&gt;=1E15,"PFLOPs",IF(ABS(V29)&gt;=1E12,"TFLOPs",IF(ABS(V29)&gt;=1E9,"GFLOPs",IF(ABS(V29)&gt;=1E6,"MFLOPs","flops")))))="",""," "&amp;(IF(ABS(V29)&gt;=1E15,"PFLOPs",IF(ABS(V29)&gt;=1E12,"TFLOPs",IF(ABS(V29)&gt;=1E9,"GFLOPs",IF(ABS(V29)&gt;=1E6,"MFLOPs","flops"))))))</f>
        <v>2.976 TFLOPs</v>
      </c>
      <c r="F29" s="33" t="str">
        <f>TEXT(IF(ABS(AA29)&gt;=1E12,AA29/1E12,IF(ABS(AA29)&gt;=1E9,AA29/1E9,IF(ABS(AA29)&gt;=1E6,AA29/1E6,IF(ABS(AA29)&gt;=1E3,AA29/1E3,AA29)))),"#,##0.000")&amp;IF((IF(ABS(AA29)&gt;=1E12,"TB",IF(ABS(AA29)&gt;=1E9,"GB",IF(ABS(AA29)&gt;=1E6,"MB",IF(ABS(AA29)&gt;=1E3,"KB","bytes")))))="",""," "&amp;(IF(ABS(AA29)&gt;=1E12,"TB",IF(ABS(AA29)&gt;=1E9,"GB",IF(ABS(AA29)&gt;=1E6,"MB",IF(ABS(AA29)&gt;=1E3,"KB","bytes"))))))</f>
        <v>0.000 B</v>
      </c>
      <c r="G29" s="33" t="str">
        <f>TEXT(IF(ABS(X29)&gt;=1E12,X29/1E12,IF(ABS(X29)&gt;=1E9,X29/1E9,IF(ABS(X29)&gt;=1E6,X29/1E6,IF(ABS(X29)&gt;=1E3,X29/1E3,X29)))),"#,##0.000")&amp;IF((IF(ABS(X29)&gt;=1E12,"TB",IF(ABS(X29)&gt;=1E9,"GB",IF(ABS(X29)&gt;=1E6,"MB",IF(ABS(X29)&gt;=1E3,"KB","bytes")))))="",""," "&amp;(IF(ABS(X29)&gt;=1E12,"TB",IF(ABS(X29)&gt;=1E9,"GB",IF(ABS(X29)&gt;=1E6,"MB",IF(ABS(X29)&gt;=1E3,"KB","bytes"))))))</f>
        <v>23.398 MB</v>
      </c>
      <c r="H29" s="33" t="str">
        <f>TEXT(IF(ABS(Y29)&gt;=1E15,Y29/1E15,IF(ABS(Y29)&gt;=1E12,Y29/1E12,IF(ABS(Y29)&gt;=1E9,Y29/1E9,IF(ABS(Y29)&gt;=1E6,Y29/1E6,Y29)))),"#,##0.000")&amp;IF((IF(ABS(Y29)&gt;=1E15,"PFLOPs",IF(ABS(Y29)&gt;=1E12,"TFLOPs",IF(ABS(Y29)&gt;=1E9,"GFLOPs",IF(ABS(Y29)&gt;=1E6,"MFLOPs","flops")))))="",""," "&amp;(IF(ABS(Y29)&gt;=1E15,"PFLOPs",IF(ABS(Y29)&gt;=1E12,"TFLOPs",IF(ABS(Y29)&gt;=1E9,"GFLOPs",IF(ABS(Y29)&gt;=1E6,"MFLOPs","flops"))))))</f>
        <v>372.052 GFLOPs</v>
      </c>
      <c r="I29" s="33" t="str">
        <f>TEXT(IF(ABS(AB29)&gt;=1E12,AB29/1E12,IF(ABS(AB29)&gt;=1E9,AB29/1E9,IF(ABS(AB29)&gt;=1E6,AB29/1E6,IF(ABS(AB29)&gt;=1E3,AB29/1E3,AB29)))),"#,##0.000")&amp;IF((IF(ABS(AB29)&gt;=1E12,"TB",IF(ABS(AB29)&gt;=1E9,"GB",IF(ABS(AB29)&gt;=1E6,"MB",IF(ABS(AB29)&gt;=1E3,"KB","bytes")))))="",""," "&amp;(IF(ABS(AB29)&gt;=1E12,"TB",IF(ABS(AB29)&gt;=1E9,"GB",IF(ABS(AB29)&gt;=1E6,"MB",IF(ABS(AB29)&gt;=1E3,"KB","bytes"))))))</f>
        <v>0.000 B</v>
      </c>
      <c r="J29" s="4" t="s">
        <v>279</v>
      </c>
      <c r="K29" s="4" t="s">
        <v>280</v>
      </c>
      <c r="L29" s="4" t="s">
        <v>281</v>
      </c>
      <c r="U29" s="32">
        <f>ShortLayers*(((QLoraRank)*(TP1LocalIndexHeads*IndexHeadDim)*FP8Bytes+ROUNDUP((QLoraRank)/FP8Block,0)*ROUNDUP((TP1LocalIndexHeads*IndexHeadDim)/FP8Block,0)*ScaleBytes)+HiddenSize*TP1LocalIndexHeads*BF16Bytes)</f>
        <v>187181568</v>
      </c>
      <c r="V29" s="32">
        <f>2*PF_Rows*ShortLayers*(QLoraRank*TP1LocalIndexHeads*IndexHeadDim+HiddenSize*TP1LocalIndexHeads)</f>
        <v>2976412336128.0</v>
      </c>
      <c r="W29" s="32">
        <f>(ShortLayers*(((QLoraRank)*(TP1LocalIndexHeads*IndexHeadDim)*FP8Bytes+ROUNDUP((QLoraRank)/FP8Block,0)*ROUNDUP((TP1LocalIndexHeads*IndexHeadDim)/FP8Block,0)*ScaleBytes)+HiddenSize*TP1LocalIndexHeads*BF16Bytes)+PF_Rows*ShortLayers*(QLoraRank+HiddenSize)*BF16Bytes)+(PF_Rows*ShortLayers*TP1LocalIndexHeads*(IndexHeadDim+1)*BF16Bytes)</f>
        <v>4789381632.0</v>
      </c>
      <c r="X29" s="32">
        <f>ShortLayers*(((QLoraRank)*(TP8LocalIndexHeads*IndexHeadDim)*FP8Bytes+ROUNDUP((QLoraRank)/FP8Block,0)*ROUNDUP((TP8LocalIndexHeads*IndexHeadDim)/FP8Block,0)*ScaleBytes)+HiddenSize*TP8LocalIndexHeads*BF16Bytes)</f>
        <v>23397696</v>
      </c>
      <c r="Y29" s="32">
        <f>2*PF_Rows*ShortLayers*(QLoraRank*TP8LocalIndexHeads*IndexHeadDim+HiddenSize*TP8LocalIndexHeads)</f>
        <v>372051542016.0</v>
      </c>
      <c r="Z29" s="32">
        <f>(ShortLayers*(((QLoraRank)*(TP8LocalIndexHeads*IndexHeadDim)*FP8Bytes+ROUNDUP((QLoraRank)/FP8Block,0)*ROUNDUP((TP8LocalIndexHeads*IndexHeadDim)/FP8Block,0)*ScaleBytes)+HiddenSize*TP8LocalIndexHeads*BF16Bytes)+PF_Rows*ShortLayers*(QLoraRank+HiddenSize)*BF16Bytes)+(PF_Rows*ShortLayers*TP8LocalIndexHeads*(IndexHeadDim+1)*BF16Bytes)</f>
        <v>2140079424.0</v>
      </c>
      <c r="AA29" s="32">
        <f>0</f>
        <v>0</v>
      </c>
      <c r="AB29" s="32">
        <f>0</f>
        <v>0</v>
      </c>
    </row>
    <row r="30" spans="1:38">
      <c r="A30" s="4" t="s">
        <v>40</v>
      </c>
      <c r="B30" s="4" t="s">
        <v>282</v>
      </c>
      <c r="C30" s="4" t="s">
        <v>158</v>
      </c>
      <c r="D30" s="33" t="str">
        <f>TEXT(IF(ABS(U30)&gt;=1E12,U30/1E12,IF(ABS(U30)&gt;=1E9,U30/1E9,IF(ABS(U30)&gt;=1E6,U30/1E6,IF(ABS(U30)&gt;=1E3,U30/1E3,U30)))),"#,##0.000")&amp;IF((IF(ABS(U30)&gt;=1E12,"TB",IF(ABS(U30)&gt;=1E9,"GB",IF(ABS(U30)&gt;=1E6,"MB",IF(ABS(U30)&gt;=1E3,"KB","bytes")))))="",""," "&amp;(IF(ABS(U30)&gt;=1E12,"TB",IF(ABS(U30)&gt;=1E9,"GB",IF(ABS(U30)&gt;=1E6,"MB",IF(ABS(U30)&gt;=1E3,"KB","bytes"))))))</f>
        <v>0.000 B</v>
      </c>
      <c r="E30" s="33" t="str">
        <f>TEXT(IF(ABS(V30)&gt;=1E15,V30/1E15,IF(ABS(V30)&gt;=1E12,V30/1E12,IF(ABS(V30)&gt;=1E9,V30/1E9,IF(ABS(V30)&gt;=1E6,V30/1E6,V30)))),"#,##0.000")&amp;IF((IF(ABS(V30)&gt;=1E15,"PFLOPs",IF(ABS(V30)&gt;=1E12,"TFLOPs",IF(ABS(V30)&gt;=1E9,"GFLOPs",IF(ABS(V30)&gt;=1E6,"MFLOPs","flops")))))="",""," "&amp;(IF(ABS(V30)&gt;=1E15,"PFLOPs",IF(ABS(V30)&gt;=1E12,"TFLOPs",IF(ABS(V30)&gt;=1E9,"GFLOPs",IF(ABS(V30)&gt;=1E6,"MFLOPs","flops"))))))</f>
        <v>2.886 TFLOPs</v>
      </c>
      <c r="F30" s="33" t="str">
        <f>TEXT(IF(ABS(AA30)&gt;=1E12,AA30/1E12,IF(ABS(AA30)&gt;=1E9,AA30/1E9,IF(ABS(AA30)&gt;=1E6,AA30/1E6,IF(ABS(AA30)&gt;=1E3,AA30/1E3,AA30)))),"#,##0.000")&amp;IF((IF(ABS(AA30)&gt;=1E12,"TB",IF(ABS(AA30)&gt;=1E9,"GB",IF(ABS(AA30)&gt;=1E6,"MB",IF(ABS(AA30)&gt;=1E3,"KB","bytes")))))="",""," "&amp;(IF(ABS(AA30)&gt;=1E12,"TB",IF(ABS(AA30)&gt;=1E9,"GB",IF(ABS(AA30)&gt;=1E6,"MB",IF(ABS(AA30)&gt;=1E3,"KB","bytes"))))))</f>
        <v>0.000 B</v>
      </c>
      <c r="G30" s="33" t="str">
        <f>TEXT(IF(ABS(X30)&gt;=1E12,X30/1E12,IF(ABS(X30)&gt;=1E9,X30/1E9,IF(ABS(X30)&gt;=1E6,X30/1E6,IF(ABS(X30)&gt;=1E3,X30/1E3,X30)))),"#,##0.000")&amp;IF((IF(ABS(X30)&gt;=1E12,"TB",IF(ABS(X30)&gt;=1E9,"GB",IF(ABS(X30)&gt;=1E6,"MB",IF(ABS(X30)&gt;=1E3,"KB","bytes")))))="",""," "&amp;(IF(ABS(X30)&gt;=1E12,"TB",IF(ABS(X30)&gt;=1E9,"GB",IF(ABS(X30)&gt;=1E6,"MB",IF(ABS(X30)&gt;=1E3,"KB","bytes"))))))</f>
        <v>0.000 B</v>
      </c>
      <c r="H30" s="33" t="str">
        <f>TEXT(IF(ABS(Y30)&gt;=1E15,Y30/1E15,IF(ABS(Y30)&gt;=1E12,Y30/1E12,IF(ABS(Y30)&gt;=1E9,Y30/1E9,IF(ABS(Y30)&gt;=1E6,Y30/1E6,Y30)))),"#,##0.000")&amp;IF((IF(ABS(Y30)&gt;=1E15,"PFLOPs",IF(ABS(Y30)&gt;=1E12,"TFLOPs",IF(ABS(Y30)&gt;=1E9,"GFLOPs",IF(ABS(Y30)&gt;=1E6,"MFLOPs","flops")))))="",""," "&amp;(IF(ABS(Y30)&gt;=1E15,"PFLOPs",IF(ABS(Y30)&gt;=1E12,"TFLOPs",IF(ABS(Y30)&gt;=1E9,"GFLOPs",IF(ABS(Y30)&gt;=1E6,"MFLOPs","flops"))))))</f>
        <v>360.689 GFLOPs</v>
      </c>
      <c r="I30" s="33" t="str">
        <f>TEXT(IF(ABS(AB30)&gt;=1E12,AB30/1E12,IF(ABS(AB30)&gt;=1E9,AB30/1E9,IF(ABS(AB30)&gt;=1E6,AB30/1E6,IF(ABS(AB30)&gt;=1E3,AB30/1E3,AB30)))),"#,##0.000")&amp;IF((IF(ABS(AB30)&gt;=1E12,"TB",IF(ABS(AB30)&gt;=1E9,"GB",IF(ABS(AB30)&gt;=1E6,"MB",IF(ABS(AB30)&gt;=1E3,"KB","bytes")))))="",""," "&amp;(IF(ABS(AB30)&gt;=1E12,"TB",IF(ABS(AB30)&gt;=1E9,"GB",IF(ABS(AB30)&gt;=1E6,"MB",IF(ABS(AB30)&gt;=1E3,"KB","bytes"))))))</f>
        <v>0.000 B</v>
      </c>
      <c r="J30" s="4" t="s">
        <v>256</v>
      </c>
      <c r="K30" s="4" t="s">
        <v>283</v>
      </c>
      <c r="L30" s="4" t="s">
        <v>284</v>
      </c>
      <c r="U30" s="32">
        <f>0</f>
        <v>0</v>
      </c>
      <c r="V30" s="32">
        <f>2*PrefillBatch*ShortLayers*TP1LocalIndexHeads*IndexHeadDim*PF_IndexPairs</f>
        <v>2885513379840.0</v>
      </c>
      <c r="W30" s="32">
        <f>(PrefillBatch*ShortLayers*PF_IndexPairs*(IndexHeadDim*BF16Bytes+TP1LocalIndexHeads*BF16Bytes))+(PrefillBatch*ShortLayers*PF_IndexPairs*(TP1LocalIndexHeads*BF16Bytes+FP32Bytes))</f>
        <v>90876764160.0</v>
      </c>
      <c r="X30" s="32">
        <f>0</f>
        <v>0</v>
      </c>
      <c r="Y30" s="32">
        <f>2*PrefillBatch*ShortLayers*TP8LocalIndexHeads*IndexHeadDim*PF_IndexPairs</f>
        <v>360689172480.0</v>
      </c>
      <c r="Z30" s="32">
        <f>(PrefillBatch*ShortLayers*PF_IndexPairs*(IndexHeadDim*BF16Bytes+TP8LocalIndexHeads*BF16Bytes))+(PrefillBatch*ShortLayers*PF_IndexPairs*(TP8LocalIndexHeads*BF16Bytes+FP32Bytes))</f>
        <v>51426385920.0</v>
      </c>
      <c r="AA30" s="32">
        <f>0</f>
        <v>0</v>
      </c>
      <c r="AB30" s="32">
        <f>0</f>
        <v>0</v>
      </c>
    </row>
    <row r="31" spans="1:38">
      <c r="A31" s="4" t="s">
        <v>40</v>
      </c>
      <c r="B31" s="4" t="s">
        <v>285</v>
      </c>
      <c r="C31" s="4" t="s">
        <v>274</v>
      </c>
      <c r="D31" s="33" t="str">
        <f>TEXT(IF(ABS(U31)&gt;=1E12,U31/1E12,IF(ABS(U31)&gt;=1E9,U31/1E9,IF(ABS(U31)&gt;=1E6,U31/1E6,IF(ABS(U31)&gt;=1E3,U31/1E3,U31)))),"#,##0.000")&amp;IF((IF(ABS(U31)&gt;=1E12,"TB",IF(ABS(U31)&gt;=1E9,"GB",IF(ABS(U31)&gt;=1E6,"MB",IF(ABS(U31)&gt;=1E3,"KB","bytes")))))="",""," "&amp;(IF(ABS(U31)&gt;=1E12,"TB",IF(ABS(U31)&gt;=1E9,"GB",IF(ABS(U31)&gt;=1E6,"MB",IF(ABS(U31)&gt;=1E3,"KB","bytes"))))))</f>
        <v>705.030 MB</v>
      </c>
      <c r="E31" s="33" t="str">
        <f>TEXT(IF(ABS(V31)&gt;=1E15,V31/1E15,IF(ABS(V31)&gt;=1E12,V31/1E12,IF(ABS(V31)&gt;=1E9,V31/1E9,IF(ABS(V31)&gt;=1E6,V31/1E6,V31)))),"#,##0.000")&amp;IF((IF(ABS(V31)&gt;=1E15,"PFLOPs",IF(ABS(V31)&gt;=1E12,"TFLOPs",IF(ABS(V31)&gt;=1E9,"GFLOPs",IF(ABS(V31)&gt;=1E6,"MFLOPs","flops")))))="",""," "&amp;(IF(ABS(V31)&gt;=1E15,"PFLOPs",IF(ABS(V31)&gt;=1E12,"TFLOPs",IF(ABS(V31)&gt;=1E9,"GFLOPs",IF(ABS(V31)&gt;=1E6,"MFLOPs","flops"))))))</f>
        <v>2.886 TFLOPs</v>
      </c>
      <c r="F31" s="33" t="str">
        <f>TEXT(IF(ABS(AA31)&gt;=1E12,AA31/1E12,IF(ABS(AA31)&gt;=1E9,AA31/1E9,IF(ABS(AA31)&gt;=1E6,AA31/1E6,IF(ABS(AA31)&gt;=1E3,AA31/1E3,AA31)))),"#,##0.000")&amp;IF((IF(ABS(AA31)&gt;=1E12,"TB",IF(ABS(AA31)&gt;=1E9,"GB",IF(ABS(AA31)&gt;=1E6,"MB",IF(ABS(AA31)&gt;=1E3,"KB","bytes")))))="",""," "&amp;(IF(ABS(AA31)&gt;=1E12,"TB",IF(ABS(AA31)&gt;=1E9,"GB",IF(ABS(AA31)&gt;=1E6,"MB",IF(ABS(AA31)&gt;=1E3,"KB","bytes"))))))</f>
        <v>0.000 B</v>
      </c>
      <c r="G31" s="33" t="str">
        <f>TEXT(IF(ABS(X31)&gt;=1E12,X31/1E12,IF(ABS(X31)&gt;=1E9,X31/1E9,IF(ABS(X31)&gt;=1E6,X31/1E6,IF(ABS(X31)&gt;=1E3,X31/1E3,X31)))),"#,##0.000")&amp;IF((IF(ABS(X31)&gt;=1E12,"TB",IF(ABS(X31)&gt;=1E9,"GB",IF(ABS(X31)&gt;=1E6,"MB",IF(ABS(X31)&gt;=1E3,"KB","bytes")))))="",""," "&amp;(IF(ABS(X31)&gt;=1E12,"TB",IF(ABS(X31)&gt;=1E9,"GB",IF(ABS(X31)&gt;=1E6,"MB",IF(ABS(X31)&gt;=1E3,"KB","bytes"))))))</f>
        <v>705.030 MB</v>
      </c>
      <c r="H31" s="33" t="str">
        <f>TEXT(IF(ABS(Y31)&gt;=1E15,Y31/1E15,IF(ABS(Y31)&gt;=1E12,Y31/1E12,IF(ABS(Y31)&gt;=1E9,Y31/1E9,IF(ABS(Y31)&gt;=1E6,Y31/1E6,Y31)))),"#,##0.000")&amp;IF((IF(ABS(Y31)&gt;=1E15,"PFLOPs",IF(ABS(Y31)&gt;=1E12,"TFLOPs",IF(ABS(Y31)&gt;=1E9,"GFLOPs",IF(ABS(Y31)&gt;=1E6,"MFLOPs","flops")))))="",""," "&amp;(IF(ABS(Y31)&gt;=1E15,"PFLOPs",IF(ABS(Y31)&gt;=1E12,"TFLOPs",IF(ABS(Y31)&gt;=1E9,"GFLOPs",IF(ABS(Y31)&gt;=1E6,"MFLOPs","flops"))))))</f>
        <v>2.886 TFLOPs</v>
      </c>
      <c r="I31" s="33" t="str">
        <f>TEXT(IF(ABS(AB31)&gt;=1E12,AB31/1E12,IF(ABS(AB31)&gt;=1E9,AB31/1E9,IF(ABS(AB31)&gt;=1E6,AB31/1E6,IF(ABS(AB31)&gt;=1E3,AB31/1E3,AB31)))),"#,##0.000")&amp;IF((IF(ABS(AB31)&gt;=1E12,"TB",IF(ABS(AB31)&gt;=1E9,"GB",IF(ABS(AB31)&gt;=1E6,"MB",IF(ABS(AB31)&gt;=1E3,"KB","bytes")))))="",""," "&amp;(IF(ABS(AB31)&gt;=1E12,"TB",IF(ABS(AB31)&gt;=1E9,"GB",IF(ABS(AB31)&gt;=1E6,"MB",IF(ABS(AB31)&gt;=1E3,"KB","bytes"))))))</f>
        <v>0.000 B</v>
      </c>
      <c r="J31" s="4" t="s">
        <v>286</v>
      </c>
      <c r="K31" s="4" t="s">
        <v>287</v>
      </c>
      <c r="L31" s="4" t="s">
        <v>288</v>
      </c>
      <c r="U31" s="32">
        <f>ShortLayers*(2*HiddenSize*(2*HeadDim)*FP32Bytes+ShortRatio*2*HeadDim*FP32Bytes+HeadDim*FP32Bytes)</f>
        <v>705030144</v>
      </c>
      <c r="V31" s="32">
        <f>PF_Rows*ShortLayers*8*HiddenSize*HeadDim</f>
        <v>2886218022912</v>
      </c>
      <c r="W31" s="32">
        <f>(ShortLayers*(2*HiddenSize*(2*HeadDim)*FP32Bytes+ShortRatio*2*HeadDim*FP32Bytes+HeadDim*FP32Bytes)+PF_Rows*ShortLayers*HiddenSize*FP32Bytes)+(PF_Rows*ShortLayers*4*HeadDim*FP32Bytes)</f>
        <v>4932888576</v>
      </c>
      <c r="X31" s="32">
        <f>ShortLayers*(2*HiddenSize*(2*HeadDim)*FP32Bytes+ShortRatio*2*HeadDim*FP32Bytes+HeadDim*FP32Bytes)</f>
        <v>705030144</v>
      </c>
      <c r="Y31" s="32">
        <f>PF_Rows*ShortLayers*8*HiddenSize*HeadDim</f>
        <v>2886218022912</v>
      </c>
      <c r="Z31" s="32">
        <f>(ShortLayers*(2*HiddenSize*(2*HeadDim)*FP32Bytes+ShortRatio*2*HeadDim*FP32Bytes+HeadDim*FP32Bytes)+PF_Rows*ShortLayers*HiddenSize*FP32Bytes)+(PF_Rows*ShortLayers*4*HeadDim*FP32Bytes)</f>
        <v>4932888576</v>
      </c>
      <c r="AA31" s="32">
        <f>0</f>
        <v>0</v>
      </c>
      <c r="AB31" s="32">
        <f>0</f>
        <v>0</v>
      </c>
    </row>
    <row r="32" spans="1:38">
      <c r="A32" s="4" t="s">
        <v>40</v>
      </c>
      <c r="B32" s="4" t="s">
        <v>289</v>
      </c>
      <c r="C32" s="4" t="s">
        <v>277</v>
      </c>
      <c r="D32" s="33" t="str">
        <f>TEXT(IF(ABS(U32)&gt;=1E12,U32/1E12,IF(ABS(U32)&gt;=1E9,U32/1E9,IF(ABS(U32)&gt;=1E6,U32/1E6,IF(ABS(U32)&gt;=1E3,U32/1E3,U32)))),"#,##0.000")&amp;IF((IF(ABS(U32)&gt;=1E12,"TB",IF(ABS(U32)&gt;=1E9,"GB",IF(ABS(U32)&gt;=1E6,"MB",IF(ABS(U32)&gt;=1E3,"KB","bytes")))))="",""," "&amp;(IF(ABS(U32)&gt;=1E12,"TB",IF(ABS(U32)&gt;=1E9,"GB",IF(ABS(U32)&gt;=1E6,"MB",IF(ABS(U32)&gt;=1E3,"KB","bytes"))))))</f>
        <v>340.828 MB</v>
      </c>
      <c r="E32" s="33" t="str">
        <f>TEXT(IF(ABS(V32)&gt;=1E15,V32/1E15,IF(ABS(V32)&gt;=1E12,V32/1E12,IF(ABS(V32)&gt;=1E9,V32/1E9,IF(ABS(V32)&gt;=1E6,V32/1E6,V32)))),"#,##0.000")&amp;IF((IF(ABS(V32)&gt;=1E15,"PFLOPs",IF(ABS(V32)&gt;=1E12,"TFLOPs",IF(ABS(V32)&gt;=1E9,"GFLOPs",IF(ABS(V32)&gt;=1E6,"MFLOPs","flops")))))="",""," "&amp;(IF(ABS(V32)&gt;=1E15,"PFLOPs",IF(ABS(V32)&gt;=1E12,"TFLOPs",IF(ABS(V32)&gt;=1E9,"GFLOPs",IF(ABS(V32)&gt;=1E6,"MFLOPs","flops"))))))</f>
        <v>1.374 TFLOPs</v>
      </c>
      <c r="F32" s="33" t="str">
        <f>TEXT(IF(ABS(AA32)&gt;=1E12,AA32/1E12,IF(ABS(AA32)&gt;=1E9,AA32/1E9,IF(ABS(AA32)&gt;=1E6,AA32/1E6,IF(ABS(AA32)&gt;=1E3,AA32/1E3,AA32)))),"#,##0.000")&amp;IF((IF(ABS(AA32)&gt;=1E12,"TB",IF(ABS(AA32)&gt;=1E9,"GB",IF(ABS(AA32)&gt;=1E6,"MB",IF(ABS(AA32)&gt;=1E3,"KB","bytes")))))="",""," "&amp;(IF(ABS(AA32)&gt;=1E12,"TB",IF(ABS(AA32)&gt;=1E9,"GB",IF(ABS(AA32)&gt;=1E6,"MB",IF(ABS(AA32)&gt;=1E3,"KB","bytes"))))))</f>
        <v>0.000 B</v>
      </c>
      <c r="G32" s="33" t="str">
        <f>TEXT(IF(ABS(X32)&gt;=1E12,X32/1E12,IF(ABS(X32)&gt;=1E9,X32/1E9,IF(ABS(X32)&gt;=1E6,X32/1E6,IF(ABS(X32)&gt;=1E3,X32/1E3,X32)))),"#,##0.000")&amp;IF((IF(ABS(X32)&gt;=1E12,"TB",IF(ABS(X32)&gt;=1E9,"GB",IF(ABS(X32)&gt;=1E6,"MB",IF(ABS(X32)&gt;=1E3,"KB","bytes")))))="",""," "&amp;(IF(ABS(X32)&gt;=1E12,"TB",IF(ABS(X32)&gt;=1E9,"GB",IF(ABS(X32)&gt;=1E6,"MB",IF(ABS(X32)&gt;=1E3,"KB","bytes"))))))</f>
        <v>340.828 MB</v>
      </c>
      <c r="H32" s="33" t="str">
        <f>TEXT(IF(ABS(Y32)&gt;=1E15,Y32/1E15,IF(ABS(Y32)&gt;=1E12,Y32/1E12,IF(ABS(Y32)&gt;=1E9,Y32/1E9,IF(ABS(Y32)&gt;=1E6,Y32/1E6,Y32)))),"#,##0.000")&amp;IF((IF(ABS(Y32)&gt;=1E15,"PFLOPs",IF(ABS(Y32)&gt;=1E12,"TFLOPs",IF(ABS(Y32)&gt;=1E9,"GFLOPs",IF(ABS(Y32)&gt;=1E6,"MFLOPs","flops")))))="",""," "&amp;(IF(ABS(Y32)&gt;=1E15,"PFLOPs",IF(ABS(Y32)&gt;=1E12,"TFLOPs",IF(ABS(Y32)&gt;=1E9,"GFLOPs",IF(ABS(Y32)&gt;=1E6,"MFLOPs","flops"))))))</f>
        <v>1.374 TFLOPs</v>
      </c>
      <c r="I32" s="33" t="str">
        <f>TEXT(IF(ABS(AB32)&gt;=1E12,AB32/1E12,IF(ABS(AB32)&gt;=1E9,AB32/1E9,IF(ABS(AB32)&gt;=1E6,AB32/1E6,IF(ABS(AB32)&gt;=1E3,AB32/1E3,AB32)))),"#,##0.000")&amp;IF((IF(ABS(AB32)&gt;=1E12,"TB",IF(ABS(AB32)&gt;=1E9,"GB",IF(ABS(AB32)&gt;=1E6,"MB",IF(ABS(AB32)&gt;=1E3,"KB","bytes")))))="",""," "&amp;(IF(ABS(AB32)&gt;=1E12,"TB",IF(ABS(AB32)&gt;=1E9,"GB",IF(ABS(AB32)&gt;=1E6,"MB",IF(ABS(AB32)&gt;=1E3,"KB","bytes"))))))</f>
        <v>0.000 B</v>
      </c>
      <c r="J32" s="4" t="s">
        <v>286</v>
      </c>
      <c r="K32" s="4" t="s">
        <v>287</v>
      </c>
      <c r="L32" s="4" t="s">
        <v>290</v>
      </c>
      <c r="U32" s="32">
        <f>LongLayers*(2*HiddenSize*HeadDim*FP32Bytes+LongRatio*HeadDim*FP32Bytes+HeadDim*FP32Bytes)</f>
        <v>340828160</v>
      </c>
      <c r="V32" s="32">
        <f>PF_Rows*LongLayers*4*HiddenSize*HeadDim</f>
        <v>1374389534720</v>
      </c>
      <c r="W32" s="32">
        <f>(LongLayers*(2*HiddenSize*HeadDim*FP32Bytes+LongRatio*HeadDim*FP32Bytes+HeadDim*FP32Bytes)+PF_Rows*LongLayers*HiddenSize*FP32Bytes)+(PF_Rows*LongLayers*2*HeadDim*FP32Bytes)</f>
        <v>3696271360</v>
      </c>
      <c r="X32" s="32">
        <f>LongLayers*(2*HiddenSize*HeadDim*FP32Bytes+LongRatio*HeadDim*FP32Bytes+HeadDim*FP32Bytes)</f>
        <v>340828160</v>
      </c>
      <c r="Y32" s="32">
        <f>PF_Rows*LongLayers*4*HiddenSize*HeadDim</f>
        <v>1374389534720</v>
      </c>
      <c r="Z32" s="32">
        <f>(LongLayers*(2*HiddenSize*HeadDim*FP32Bytes+LongRatio*HeadDim*FP32Bytes+HeadDim*FP32Bytes)+PF_Rows*LongLayers*HiddenSize*FP32Bytes)+(PF_Rows*LongLayers*2*HeadDim*FP32Bytes)</f>
        <v>3696271360</v>
      </c>
      <c r="AA32" s="32">
        <f>0</f>
        <v>0</v>
      </c>
      <c r="AB32" s="32">
        <f>0</f>
        <v>0</v>
      </c>
    </row>
    <row r="33" spans="1:50">
      <c r="A33" s="4" t="s">
        <v>40</v>
      </c>
      <c r="B33" s="4" t="s">
        <v>291</v>
      </c>
      <c r="C33" s="4" t="s">
        <v>158</v>
      </c>
      <c r="D33" s="33" t="str">
        <f>TEXT(IF(ABS(U33)&gt;=1E12,U33/1E12,IF(ABS(U33)&gt;=1E9,U33/1E9,IF(ABS(U33)&gt;=1E6,U33/1E6,IF(ABS(U33)&gt;=1E3,U33/1E3,U33)))),"#,##0.000")&amp;IF((IF(ABS(U33)&gt;=1E12,"TB",IF(ABS(U33)&gt;=1E9,"GB",IF(ABS(U33)&gt;=1E6,"MB",IF(ABS(U33)&gt;=1E3,"KB","bytes")))))="",""," "&amp;(IF(ABS(U33)&gt;=1E12,"TB",IF(ABS(U33)&gt;=1E9,"GB",IF(ABS(U33)&gt;=1E6,"MB",IF(ABS(U33)&gt;=1E3,"KB","bytes"))))))</f>
        <v>176.258 MB</v>
      </c>
      <c r="E33" s="33" t="str">
        <f>TEXT(IF(ABS(V33)&gt;=1E15,V33/1E15,IF(ABS(V33)&gt;=1E12,V33/1E12,IF(ABS(V33)&gt;=1E9,V33/1E9,IF(ABS(V33)&gt;=1E6,V33/1E6,V33)))),"#,##0.000")&amp;IF((IF(ABS(V33)&gt;=1E15,"PFLOPs",IF(ABS(V33)&gt;=1E12,"TFLOPs",IF(ABS(V33)&gt;=1E9,"GFLOPs",IF(ABS(V33)&gt;=1E6,"MFLOPs","flops")))))="",""," "&amp;(IF(ABS(V33)&gt;=1E15,"PFLOPs",IF(ABS(V33)&gt;=1E12,"TFLOPs",IF(ABS(V33)&gt;=1E9,"GFLOPs",IF(ABS(V33)&gt;=1E6,"MFLOPs","flops"))))))</f>
        <v>721.555 GFLOPs</v>
      </c>
      <c r="F33" s="33" t="str">
        <f>TEXT(IF(ABS(AA33)&gt;=1E12,AA33/1E12,IF(ABS(AA33)&gt;=1E9,AA33/1E9,IF(ABS(AA33)&gt;=1E6,AA33/1E6,IF(ABS(AA33)&gt;=1E3,AA33/1E3,AA33)))),"#,##0.000")&amp;IF((IF(ABS(AA33)&gt;=1E12,"TB",IF(ABS(AA33)&gt;=1E9,"GB",IF(ABS(AA33)&gt;=1E6,"MB",IF(ABS(AA33)&gt;=1E3,"KB","bytes")))))="",""," "&amp;(IF(ABS(AA33)&gt;=1E12,"TB",IF(ABS(AA33)&gt;=1E9,"GB",IF(ABS(AA33)&gt;=1E6,"MB",IF(ABS(AA33)&gt;=1E3,"KB","bytes"))))))</f>
        <v>0.000 B</v>
      </c>
      <c r="G33" s="33" t="str">
        <f>TEXT(IF(ABS(X33)&gt;=1E12,X33/1E12,IF(ABS(X33)&gt;=1E9,X33/1E9,IF(ABS(X33)&gt;=1E6,X33/1E6,IF(ABS(X33)&gt;=1E3,X33/1E3,X33)))),"#,##0.000")&amp;IF((IF(ABS(X33)&gt;=1E12,"TB",IF(ABS(X33)&gt;=1E9,"GB",IF(ABS(X33)&gt;=1E6,"MB",IF(ABS(X33)&gt;=1E3,"KB","bytes")))))="",""," "&amp;(IF(ABS(X33)&gt;=1E12,"TB",IF(ABS(X33)&gt;=1E9,"GB",IF(ABS(X33)&gt;=1E6,"MB",IF(ABS(X33)&gt;=1E3,"KB","bytes"))))))</f>
        <v>176.258 MB</v>
      </c>
      <c r="H33" s="33" t="str">
        <f>TEXT(IF(ABS(Y33)&gt;=1E15,Y33/1E15,IF(ABS(Y33)&gt;=1E12,Y33/1E12,IF(ABS(Y33)&gt;=1E9,Y33/1E9,IF(ABS(Y33)&gt;=1E6,Y33/1E6,Y33)))),"#,##0.000")&amp;IF((IF(ABS(Y33)&gt;=1E15,"PFLOPs",IF(ABS(Y33)&gt;=1E12,"TFLOPs",IF(ABS(Y33)&gt;=1E9,"GFLOPs",IF(ABS(Y33)&gt;=1E6,"MFLOPs","flops")))))="",""," "&amp;(IF(ABS(Y33)&gt;=1E15,"PFLOPs",IF(ABS(Y33)&gt;=1E12,"TFLOPs",IF(ABS(Y33)&gt;=1E9,"GFLOPs",IF(ABS(Y33)&gt;=1E6,"MFLOPs","flops"))))))</f>
        <v>721.555 GFLOPs</v>
      </c>
      <c r="I33" s="33" t="str">
        <f>TEXT(IF(ABS(AB33)&gt;=1E12,AB33/1E12,IF(ABS(AB33)&gt;=1E9,AB33/1E9,IF(ABS(AB33)&gt;=1E6,AB33/1E6,IF(ABS(AB33)&gt;=1E3,AB33/1E3,AB33)))),"#,##0.000")&amp;IF((IF(ABS(AB33)&gt;=1E12,"TB",IF(ABS(AB33)&gt;=1E9,"GB",IF(ABS(AB33)&gt;=1E6,"MB",IF(ABS(AB33)&gt;=1E3,"KB","bytes")))))="",""," "&amp;(IF(ABS(AB33)&gt;=1E12,"TB",IF(ABS(AB33)&gt;=1E9,"GB",IF(ABS(AB33)&gt;=1E6,"MB",IF(ABS(AB33)&gt;=1E3,"KB","bytes"))))))</f>
        <v>0.000 B</v>
      </c>
      <c r="J33" s="4" t="s">
        <v>292</v>
      </c>
      <c r="K33" s="4" t="s">
        <v>293</v>
      </c>
      <c r="L33" s="4" t="s">
        <v>294</v>
      </c>
      <c r="U33" s="32">
        <f>ShortLayers*(2*HiddenSize*(2*IndexHeadDim)*FP32Bytes+ShortRatio*2*IndexHeadDim*FP32Bytes+IndexHeadDim*FP32Bytes)</f>
        <v>176257536</v>
      </c>
      <c r="V33" s="32">
        <f>PF_Rows*ShortLayers*8*HiddenSize*IndexHeadDim</f>
        <v>721554505728</v>
      </c>
      <c r="W33" s="32">
        <f>(ShortLayers*(2*HiddenSize*(2*IndexHeadDim)*FP32Bytes+ShortRatio*2*IndexHeadDim*FP32Bytes+IndexHeadDim*FP32Bytes)+PF_Rows*ShortLayers*HiddenSize*FP32Bytes)+(PF_Rows*ShortLayers*4*IndexHeadDim*FP32Bytes)</f>
        <v>3347151360</v>
      </c>
      <c r="X33" s="32">
        <f>ShortLayers*(2*HiddenSize*(2*IndexHeadDim)*FP32Bytes+ShortRatio*2*IndexHeadDim*FP32Bytes+IndexHeadDim*FP32Bytes)</f>
        <v>176257536</v>
      </c>
      <c r="Y33" s="32">
        <f>PF_Rows*ShortLayers*8*HiddenSize*IndexHeadDim</f>
        <v>721554505728</v>
      </c>
      <c r="Z33" s="32">
        <f>(ShortLayers*(2*HiddenSize*(2*IndexHeadDim)*FP32Bytes+ShortRatio*2*IndexHeadDim*FP32Bytes+IndexHeadDim*FP32Bytes)+PF_Rows*ShortLayers*HiddenSize*FP32Bytes)+(PF_Rows*ShortLayers*4*IndexHeadDim*FP32Bytes)</f>
        <v>3347151360</v>
      </c>
      <c r="AA33" s="32">
        <f>0</f>
        <v>0</v>
      </c>
      <c r="AB33" s="32">
        <f>0</f>
        <v>0</v>
      </c>
    </row>
    <row r="34" spans="1:50">
      <c r="A34" s="4" t="s">
        <v>40</v>
      </c>
      <c r="B34" s="4" t="s">
        <v>295</v>
      </c>
      <c r="C34" s="4" t="s">
        <v>296</v>
      </c>
      <c r="D34" s="33" t="str">
        <f>TEXT(IF(ABS(U34)&gt;=1E12,U34/1E12,IF(ABS(U34)&gt;=1E9,U34/1E9,IF(ABS(U34)&gt;=1E6,U34/1E6,IF(ABS(U34)&gt;=1E3,U34/1E3,U34)))),"#,##0.000")&amp;IF((IF(ABS(U34)&gt;=1E12,"TB",IF(ABS(U34)&gt;=1E9,"GB",IF(ABS(U34)&gt;=1E6,"MB",IF(ABS(U34)&gt;=1E3,"KB","bytes")))))="",""," "&amp;(IF(ABS(U34)&gt;=1E12,"TB",IF(ABS(U34)&gt;=1E9,"GB",IF(ABS(U34)&gt;=1E6,"MB",IF(ABS(U34)&gt;=1E3,"KB","bytes"))))))</f>
        <v>0.000 B</v>
      </c>
      <c r="E34" s="33" t="str">
        <f>TEXT(IF(ABS(V34)&gt;=1E15,V34/1E15,IF(ABS(V34)&gt;=1E12,V34/1E12,IF(ABS(V34)&gt;=1E9,V34/1E9,IF(ABS(V34)&gt;=1E6,V34/1E6,V34)))),"#,##0.000")&amp;IF((IF(ABS(V34)&gt;=1E15,"PFLOPs",IF(ABS(V34)&gt;=1E12,"TFLOPs",IF(ABS(V34)&gt;=1E9,"GFLOPs",IF(ABS(V34)&gt;=1E6,"MFLOPs","flops")))))="",""," "&amp;(IF(ABS(V34)&gt;=1E15,"PFLOPs",IF(ABS(V34)&gt;=1E12,"TFLOPs",IF(ABS(V34)&gt;=1E9,"GFLOPs",IF(ABS(V34)&gt;=1E6,"MFLOPs","flops"))))))</f>
        <v>0.000 FLOPs</v>
      </c>
      <c r="F34" s="33" t="str">
        <f>TEXT(IF(ABS(AA34)&gt;=1E12,AA34/1E12,IF(ABS(AA34)&gt;=1E9,AA34/1E9,IF(ABS(AA34)&gt;=1E6,AA34/1E6,IF(ABS(AA34)&gt;=1E3,AA34/1E3,AA34)))),"#,##0.000")&amp;IF((IF(ABS(AA34)&gt;=1E12,"TB",IF(ABS(AA34)&gt;=1E9,"GB",IF(ABS(AA34)&gt;=1E6,"MB",IF(ABS(AA34)&gt;=1E3,"KB","bytes")))))="",""," "&amp;(IF(ABS(AA34)&gt;=1E12,"TB",IF(ABS(AA34)&gt;=1E9,"GB",IF(ABS(AA34)&gt;=1E6,"MB",IF(ABS(AA34)&gt;=1E3,"KB","bytes"))))))</f>
        <v>0.000 B</v>
      </c>
      <c r="G34" s="33" t="str">
        <f>TEXT(IF(ABS(X34)&gt;=1E12,X34/1E12,IF(ABS(X34)&gt;=1E9,X34/1E9,IF(ABS(X34)&gt;=1E6,X34/1E6,IF(ABS(X34)&gt;=1E3,X34/1E3,X34)))),"#,##0.000")&amp;IF((IF(ABS(X34)&gt;=1E12,"TB",IF(ABS(X34)&gt;=1E9,"GB",IF(ABS(X34)&gt;=1E6,"MB",IF(ABS(X34)&gt;=1E3,"KB","bytes")))))="",""," "&amp;(IF(ABS(X34)&gt;=1E12,"TB",IF(ABS(X34)&gt;=1E9,"GB",IF(ABS(X34)&gt;=1E6,"MB",IF(ABS(X34)&gt;=1E3,"KB","bytes"))))))</f>
        <v>0.000 B</v>
      </c>
      <c r="H34" s="33" t="str">
        <f>TEXT(IF(ABS(Y34)&gt;=1E15,Y34/1E15,IF(ABS(Y34)&gt;=1E12,Y34/1E12,IF(ABS(Y34)&gt;=1E9,Y34/1E9,IF(ABS(Y34)&gt;=1E6,Y34/1E6,Y34)))),"#,##0.000")&amp;IF((IF(ABS(Y34)&gt;=1E15,"PFLOPs",IF(ABS(Y34)&gt;=1E12,"TFLOPs",IF(ABS(Y34)&gt;=1E9,"GFLOPs",IF(ABS(Y34)&gt;=1E6,"MFLOPs","flops")))))="",""," "&amp;(IF(ABS(Y34)&gt;=1E15,"PFLOPs",IF(ABS(Y34)&gt;=1E12,"TFLOPs",IF(ABS(Y34)&gt;=1E9,"GFLOPs",IF(ABS(Y34)&gt;=1E6,"MFLOPs","flops"))))))</f>
        <v>0.000 FLOPs</v>
      </c>
      <c r="I34" s="33" t="str">
        <f>TEXT(IF(ABS(AB34)&gt;=1E12,AB34/1E12,IF(ABS(AB34)&gt;=1E9,AB34/1E9,IF(ABS(AB34)&gt;=1E6,AB34/1E6,IF(ABS(AB34)&gt;=1E3,AB34/1E3,AB34)))),"#,##0.000")&amp;IF((IF(ABS(AB34)&gt;=1E12,"TB",IF(ABS(AB34)&gt;=1E9,"GB",IF(ABS(AB34)&gt;=1E6,"MB",IF(ABS(AB34)&gt;=1E3,"KB","bytes")))))="",""," "&amp;(IF(ABS(AB34)&gt;=1E12,"TB",IF(ABS(AB34)&gt;=1E9,"GB",IF(ABS(AB34)&gt;=1E6,"MB",IF(ABS(AB34)&gt;=1E3,"KB","bytes"))))))</f>
        <v>20.200 GB</v>
      </c>
      <c r="J34" s="4" t="s">
        <v>256</v>
      </c>
      <c r="K34" s="4" t="s">
        <v>297</v>
      </c>
      <c r="L34" s="4" t="s">
        <v>298</v>
      </c>
      <c r="U34" s="32">
        <f>0</f>
        <v>0</v>
      </c>
      <c r="V34" s="32">
        <f>0</f>
        <v>0</v>
      </c>
      <c r="W34" s="32">
        <f>(0)+(0)</f>
        <v>0</v>
      </c>
      <c r="X34" s="32">
        <f>0</f>
        <v>0</v>
      </c>
      <c r="Y34" s="32">
        <f>0</f>
        <v>0</v>
      </c>
      <c r="Z34" s="32">
        <f>(0)+(0)</f>
        <v>0</v>
      </c>
      <c r="AA34" s="32">
        <f>4*(TP1Size-1)/TP1Size*PF_Rows*HiddenSize*FP32Bytes*TotalLayers</f>
        <v>0.0</v>
      </c>
      <c r="AB34" s="32">
        <f>4*(TP8Size-1)/TP8Size*PF_Rows*HiddenSize*FP32Bytes*TotalLayers</f>
        <v>20199768064.0</v>
      </c>
    </row>
    <row r="35" spans="1:50">
      <c r="A35" s="4" t="s">
        <v>40</v>
      </c>
      <c r="B35" s="4" t="s">
        <v>299</v>
      </c>
      <c r="C35" s="4" t="s">
        <v>300</v>
      </c>
      <c r="D35" s="33" t="str">
        <f>TEXT(IF(ABS(U35)&gt;=1E12,U35/1E12,IF(ABS(U35)&gt;=1E9,U35/1E9,IF(ABS(U35)&gt;=1E6,U35/1E6,IF(ABS(U35)&gt;=1E3,U35/1E3,U35)))),"#,##0.000")&amp;IF((IF(ABS(U35)&gt;=1E12,"TB",IF(ABS(U35)&gt;=1E9,"GB",IF(ABS(U35)&gt;=1E6,"MB",IF(ABS(U35)&gt;=1E3,"KB","bytes")))))="",""," "&amp;(IF(ABS(U35)&gt;=1E12,"TB",IF(ABS(U35)&gt;=1E9,"GB",IF(ABS(U35)&gt;=1E6,"MB",IF(ABS(U35)&gt;=1E3,"KB","bytes"))))))</f>
        <v>50.987 MB</v>
      </c>
      <c r="E35" s="33" t="str">
        <f>TEXT(IF(ABS(V35)&gt;=1E15,V35/1E15,IF(ABS(V35)&gt;=1E12,V35/1E12,IF(ABS(V35)&gt;=1E9,V35/1E9,IF(ABS(V35)&gt;=1E6,V35/1E6,V35)))),"#,##0.000")&amp;IF((IF(ABS(V35)&gt;=1E15,"PFLOPs",IF(ABS(V35)&gt;=1E12,"TFLOPs",IF(ABS(V35)&gt;=1E9,"GFLOPs",IF(ABS(V35)&gt;=1E6,"MFLOPs","flops")))))="",""," "&amp;(IF(ABS(V35)&gt;=1E15,"PFLOPs",IF(ABS(V35)&gt;=1E12,"TFLOPs",IF(ABS(V35)&gt;=1E9,"GFLOPs",IF(ABS(V35)&gt;=1E6,"MFLOPs","flops"))))))</f>
        <v>0.000 FLOPs</v>
      </c>
      <c r="F35" s="33" t="str">
        <f>TEXT(IF(ABS(AA35)&gt;=1E12,AA35/1E12,IF(ABS(AA35)&gt;=1E9,AA35/1E9,IF(ABS(AA35)&gt;=1E6,AA35/1E6,IF(ABS(AA35)&gt;=1E3,AA35/1E3,AA35)))),"#,##0.000")&amp;IF((IF(ABS(AA35)&gt;=1E12,"TB",IF(ABS(AA35)&gt;=1E9,"GB",IF(ABS(AA35)&gt;=1E6,"MB",IF(ABS(AA35)&gt;=1E3,"KB","bytes")))))="",""," "&amp;(IF(ABS(AA35)&gt;=1E12,"TB",IF(ABS(AA35)&gt;=1E9,"GB",IF(ABS(AA35)&gt;=1E6,"MB",IF(ABS(AA35)&gt;=1E3,"KB","bytes"))))))</f>
        <v>0.000 B</v>
      </c>
      <c r="G35" s="33" t="str">
        <f>TEXT(IF(ABS(X35)&gt;=1E12,X35/1E12,IF(ABS(X35)&gt;=1E9,X35/1E9,IF(ABS(X35)&gt;=1E6,X35/1E6,IF(ABS(X35)&gt;=1E3,X35/1E3,X35)))),"#,##0.000")&amp;IF((IF(ABS(X35)&gt;=1E12,"TB",IF(ABS(X35)&gt;=1E9,"GB",IF(ABS(X35)&gt;=1E6,"MB",IF(ABS(X35)&gt;=1E3,"KB","bytes")))))="",""," "&amp;(IF(ABS(X35)&gt;=1E12,"TB",IF(ABS(X35)&gt;=1E9,"GB",IF(ABS(X35)&gt;=1E6,"MB",IF(ABS(X35)&gt;=1E3,"KB","bytes"))))))</f>
        <v>50.987 MB</v>
      </c>
      <c r="H35" s="33" t="str">
        <f>TEXT(IF(ABS(Y35)&gt;=1E15,Y35/1E15,IF(ABS(Y35)&gt;=1E12,Y35/1E12,IF(ABS(Y35)&gt;=1E9,Y35/1E9,IF(ABS(Y35)&gt;=1E6,Y35/1E6,Y35)))),"#,##0.000")&amp;IF((IF(ABS(Y35)&gt;=1E15,"PFLOPs",IF(ABS(Y35)&gt;=1E12,"TFLOPs",IF(ABS(Y35)&gt;=1E9,"GFLOPs",IF(ABS(Y35)&gt;=1E6,"MFLOPs","flops")))))="",""," "&amp;(IF(ABS(Y35)&gt;=1E15,"PFLOPs",IF(ABS(Y35)&gt;=1E12,"TFLOPs",IF(ABS(Y35)&gt;=1E9,"GFLOPs",IF(ABS(Y35)&gt;=1E6,"MFLOPs","flops"))))))</f>
        <v>0.000 FLOPs</v>
      </c>
      <c r="I35" s="33" t="str">
        <f>TEXT(IF(ABS(AB35)&gt;=1E12,AB35/1E12,IF(ABS(AB35)&gt;=1E9,AB35/1E9,IF(ABS(AB35)&gt;=1E6,AB35/1E6,IF(ABS(AB35)&gt;=1E3,AB35/1E3,AB35)))),"#,##0.000")&amp;IF((IF(ABS(AB35)&gt;=1E12,"TB",IF(ABS(AB35)&gt;=1E9,"GB",IF(ABS(AB35)&gt;=1E6,"MB",IF(ABS(AB35)&gt;=1E3,"KB","bytes")))))="",""," "&amp;(IF(ABS(AB35)&gt;=1E12,"TB",IF(ABS(AB35)&gt;=1E9,"GB",IF(ABS(AB35)&gt;=1E6,"MB",IF(ABS(AB35)&gt;=1E3,"KB","bytes"))))))</f>
        <v>0.000 B</v>
      </c>
      <c r="J35" s="4" t="s">
        <v>256</v>
      </c>
      <c r="K35" s="4" t="s">
        <v>301</v>
      </c>
      <c r="L35" s="4" t="s">
        <v>302</v>
      </c>
      <c r="U35" s="32">
        <f>PrefillBatch*HeadDim*BF16Bytes*(WindowLayers*MIN(PrefillSequence,WindowSize)+ShortLayers*(MIN(PrefillSequence,WindowSize)+INT(PrefillSequence/ShortRatio))+LongLayers*(MIN(PrefillSequence,WindowSize)+INT(PrefillSequence/LongRatio)))</f>
        <v>50987008</v>
      </c>
      <c r="V35" s="32">
        <f>0</f>
        <v>0</v>
      </c>
      <c r="W35" s="32">
        <f>(0)+(0)</f>
        <v>0</v>
      </c>
      <c r="X35" s="32">
        <f>PrefillBatch*HeadDim*BF16Bytes*(WindowLayers*MIN(PrefillSequence,WindowSize)+ShortLayers*(MIN(PrefillSequence,WindowSize)+INT(PrefillSequence/ShortRatio))+LongLayers*(MIN(PrefillSequence,WindowSize)+INT(PrefillSequence/LongRatio)))</f>
        <v>50987008</v>
      </c>
      <c r="Y35" s="32">
        <f>0</f>
        <v>0</v>
      </c>
      <c r="Z35" s="32">
        <f>(0)+(0)</f>
        <v>0</v>
      </c>
      <c r="AA35" s="32">
        <f>0</f>
        <v>0</v>
      </c>
      <c r="AB35" s="32">
        <f>0</f>
        <v>0</v>
      </c>
    </row>
    <row r="36" spans="1:50">
      <c r="A36" s="4" t="s">
        <v>40</v>
      </c>
      <c r="B36" s="4" t="s">
        <v>303</v>
      </c>
      <c r="C36" s="4" t="s">
        <v>300</v>
      </c>
      <c r="D36" s="33" t="str">
        <f>TEXT(IF(ABS(U36)&gt;=1E12,U36/1E12,IF(ABS(U36)&gt;=1E9,U36/1E9,IF(ABS(U36)&gt;=1E6,U36/1E6,IF(ABS(U36)&gt;=1E3,U36/1E3,U36)))),"#,##0.000")&amp;IF((IF(ABS(U36)&gt;=1E12,"TB",IF(ABS(U36)&gt;=1E9,"GB",IF(ABS(U36)&gt;=1E6,"MB",IF(ABS(U36)&gt;=1E3,"KB","bytes")))))="",""," "&amp;(IF(ABS(U36)&gt;=1E12,"TB",IF(ABS(U36)&gt;=1E9,"GB",IF(ABS(U36)&gt;=1E6,"MB",IF(ABS(U36)&gt;=1E3,"KB","bytes"))))))</f>
        <v>11.010 MB</v>
      </c>
      <c r="E36" s="33" t="str">
        <f>TEXT(IF(ABS(V36)&gt;=1E15,V36/1E15,IF(ABS(V36)&gt;=1E12,V36/1E12,IF(ABS(V36)&gt;=1E9,V36/1E9,IF(ABS(V36)&gt;=1E6,V36/1E6,V36)))),"#,##0.000")&amp;IF((IF(ABS(V36)&gt;=1E15,"PFLOPs",IF(ABS(V36)&gt;=1E12,"TFLOPs",IF(ABS(V36)&gt;=1E9,"GFLOPs",IF(ABS(V36)&gt;=1E6,"MFLOPs","flops")))))="",""," "&amp;(IF(ABS(V36)&gt;=1E15,"PFLOPs",IF(ABS(V36)&gt;=1E12,"TFLOPs",IF(ABS(V36)&gt;=1E9,"GFLOPs",IF(ABS(V36)&gt;=1E6,"MFLOPs","flops"))))))</f>
        <v>0.000 FLOPs</v>
      </c>
      <c r="F36" s="33" t="str">
        <f>TEXT(IF(ABS(AA36)&gt;=1E12,AA36/1E12,IF(ABS(AA36)&gt;=1E9,AA36/1E9,IF(ABS(AA36)&gt;=1E6,AA36/1E6,IF(ABS(AA36)&gt;=1E3,AA36/1E3,AA36)))),"#,##0.000")&amp;IF((IF(ABS(AA36)&gt;=1E12,"TB",IF(ABS(AA36)&gt;=1E9,"GB",IF(ABS(AA36)&gt;=1E6,"MB",IF(ABS(AA36)&gt;=1E3,"KB","bytes")))))="",""," "&amp;(IF(ABS(AA36)&gt;=1E12,"TB",IF(ABS(AA36)&gt;=1E9,"GB",IF(ABS(AA36)&gt;=1E6,"MB",IF(ABS(AA36)&gt;=1E3,"KB","bytes"))))))</f>
        <v>0.000 B</v>
      </c>
      <c r="G36" s="33" t="str">
        <f>TEXT(IF(ABS(X36)&gt;=1E12,X36/1E12,IF(ABS(X36)&gt;=1E9,X36/1E9,IF(ABS(X36)&gt;=1E6,X36/1E6,IF(ABS(X36)&gt;=1E3,X36/1E3,X36)))),"#,##0.000")&amp;IF((IF(ABS(X36)&gt;=1E12,"TB",IF(ABS(X36)&gt;=1E9,"GB",IF(ABS(X36)&gt;=1E6,"MB",IF(ABS(X36)&gt;=1E3,"KB","bytes")))))="",""," "&amp;(IF(ABS(X36)&gt;=1E12,"TB",IF(ABS(X36)&gt;=1E9,"GB",IF(ABS(X36)&gt;=1E6,"MB",IF(ABS(X36)&gt;=1E3,"KB","bytes"))))))</f>
        <v>11.010 MB</v>
      </c>
      <c r="H36" s="33" t="str">
        <f>TEXT(IF(ABS(Y36)&gt;=1E15,Y36/1E15,IF(ABS(Y36)&gt;=1E12,Y36/1E12,IF(ABS(Y36)&gt;=1E9,Y36/1E9,IF(ABS(Y36)&gt;=1E6,Y36/1E6,Y36)))),"#,##0.000")&amp;IF((IF(ABS(Y36)&gt;=1E15,"PFLOPs",IF(ABS(Y36)&gt;=1E12,"TFLOPs",IF(ABS(Y36)&gt;=1E9,"GFLOPs",IF(ABS(Y36)&gt;=1E6,"MFLOPs","flops")))))="",""," "&amp;(IF(ABS(Y36)&gt;=1E15,"PFLOPs",IF(ABS(Y36)&gt;=1E12,"TFLOPs",IF(ABS(Y36)&gt;=1E9,"GFLOPs",IF(ABS(Y36)&gt;=1E6,"MFLOPs","flops"))))))</f>
        <v>0.000 FLOPs</v>
      </c>
      <c r="I36" s="33" t="str">
        <f>TEXT(IF(ABS(AB36)&gt;=1E12,AB36/1E12,IF(ABS(AB36)&gt;=1E9,AB36/1E9,IF(ABS(AB36)&gt;=1E6,AB36/1E6,IF(ABS(AB36)&gt;=1E3,AB36/1E3,AB36)))),"#,##0.000")&amp;IF((IF(ABS(AB36)&gt;=1E12,"TB",IF(ABS(AB36)&gt;=1E9,"GB",IF(ABS(AB36)&gt;=1E6,"MB",IF(ABS(AB36)&gt;=1E3,"KB","bytes")))))="",""," "&amp;(IF(ABS(AB36)&gt;=1E12,"TB",IF(ABS(AB36)&gt;=1E9,"GB",IF(ABS(AB36)&gt;=1E6,"MB",IF(ABS(AB36)&gt;=1E3,"KB","bytes"))))))</f>
        <v>0.000 B</v>
      </c>
      <c r="J36" s="4" t="s">
        <v>256</v>
      </c>
      <c r="K36" s="4" t="s">
        <v>304</v>
      </c>
      <c r="L36" s="4" t="s">
        <v>305</v>
      </c>
      <c r="U36" s="32">
        <f>PrefillBatch*ShortLayers*INT(PrefillSequence/ShortRatio)*IndexHeadDim*BF16Bytes</f>
        <v>11010048</v>
      </c>
      <c r="V36" s="32">
        <f>0</f>
        <v>0</v>
      </c>
      <c r="W36" s="32">
        <f>(0)+(0)</f>
        <v>0</v>
      </c>
      <c r="X36" s="32">
        <f>PrefillBatch*ShortLayers*INT(PrefillSequence/ShortRatio)*IndexHeadDim*BF16Bytes</f>
        <v>11010048</v>
      </c>
      <c r="Y36" s="32">
        <f>0</f>
        <v>0</v>
      </c>
      <c r="Z36" s="32">
        <f>(0)+(0)</f>
        <v>0</v>
      </c>
      <c r="AA36" s="32">
        <f>0</f>
        <v>0</v>
      </c>
      <c r="AB36" s="32">
        <f>0</f>
        <v>0</v>
      </c>
    </row>
    <row r="37" spans="1:50">
      <c r="A37" s="4" t="s">
        <v>40</v>
      </c>
      <c r="B37" s="4" t="s">
        <v>306</v>
      </c>
      <c r="C37" s="4" t="s">
        <v>300</v>
      </c>
      <c r="D37" s="33" t="str">
        <f>TEXT(IF(ABS(U37)&gt;=1E12,U37/1E12,IF(ABS(U37)&gt;=1E9,U37/1E9,IF(ABS(U37)&gt;=1E6,U37/1E6,IF(ABS(U37)&gt;=1E3,U37/1E3,U37)))),"#,##0.000")&amp;IF((IF(ABS(U37)&gt;=1E12,"TB",IF(ABS(U37)&gt;=1E9,"GB",IF(ABS(U37)&gt;=1E6,"MB",IF(ABS(U37)&gt;=1E3,"KB","bytes")))))="",""," "&amp;(IF(ABS(U37)&gt;=1E12,"TB",IF(ABS(U37)&gt;=1E9,"GB",IF(ABS(U37)&gt;=1E6,"MB",IF(ABS(U37)&gt;=1E3,"KB","bytes"))))))</f>
        <v>12.206 MB</v>
      </c>
      <c r="E37" s="33" t="str">
        <f>TEXT(IF(ABS(V37)&gt;=1E15,V37/1E15,IF(ABS(V37)&gt;=1E12,V37/1E12,IF(ABS(V37)&gt;=1E9,V37/1E9,IF(ABS(V37)&gt;=1E6,V37/1E6,V37)))),"#,##0.000")&amp;IF((IF(ABS(V37)&gt;=1E15,"PFLOPs",IF(ABS(V37)&gt;=1E12,"TFLOPs",IF(ABS(V37)&gt;=1E9,"GFLOPs",IF(ABS(V37)&gt;=1E6,"MFLOPs","flops")))))="",""," "&amp;(IF(ABS(V37)&gt;=1E15,"PFLOPs",IF(ABS(V37)&gt;=1E12,"TFLOPs",IF(ABS(V37)&gt;=1E9,"GFLOPs",IF(ABS(V37)&gt;=1E6,"MFLOPs","flops"))))))</f>
        <v>0.000 FLOPs</v>
      </c>
      <c r="F37" s="33" t="str">
        <f>TEXT(IF(ABS(AA37)&gt;=1E12,AA37/1E12,IF(ABS(AA37)&gt;=1E9,AA37/1E9,IF(ABS(AA37)&gt;=1E6,AA37/1E6,IF(ABS(AA37)&gt;=1E3,AA37/1E3,AA37)))),"#,##0.000")&amp;IF((IF(ABS(AA37)&gt;=1E12,"TB",IF(ABS(AA37)&gt;=1E9,"GB",IF(ABS(AA37)&gt;=1E6,"MB",IF(ABS(AA37)&gt;=1E3,"KB","bytes")))))="",""," "&amp;(IF(ABS(AA37)&gt;=1E12,"TB",IF(ABS(AA37)&gt;=1E9,"GB",IF(ABS(AA37)&gt;=1E6,"MB",IF(ABS(AA37)&gt;=1E3,"KB","bytes"))))))</f>
        <v>0.000 B</v>
      </c>
      <c r="G37" s="33" t="str">
        <f>TEXT(IF(ABS(X37)&gt;=1E12,X37/1E12,IF(ABS(X37)&gt;=1E9,X37/1E9,IF(ABS(X37)&gt;=1E6,X37/1E6,IF(ABS(X37)&gt;=1E3,X37/1E3,X37)))),"#,##0.000")&amp;IF((IF(ABS(X37)&gt;=1E12,"TB",IF(ABS(X37)&gt;=1E9,"GB",IF(ABS(X37)&gt;=1E6,"MB",IF(ABS(X37)&gt;=1E3,"KB","bytes")))))="",""," "&amp;(IF(ABS(X37)&gt;=1E12,"TB",IF(ABS(X37)&gt;=1E9,"GB",IF(ABS(X37)&gt;=1E6,"MB",IF(ABS(X37)&gt;=1E3,"KB","bytes"))))))</f>
        <v>12.206 MB</v>
      </c>
      <c r="H37" s="33" t="str">
        <f>TEXT(IF(ABS(Y37)&gt;=1E15,Y37/1E15,IF(ABS(Y37)&gt;=1E12,Y37/1E12,IF(ABS(Y37)&gt;=1E9,Y37/1E9,IF(ABS(Y37)&gt;=1E6,Y37/1E6,Y37)))),"#,##0.000")&amp;IF((IF(ABS(Y37)&gt;=1E15,"PFLOPs",IF(ABS(Y37)&gt;=1E12,"TFLOPs",IF(ABS(Y37)&gt;=1E9,"GFLOPs",IF(ABS(Y37)&gt;=1E6,"MFLOPs","flops")))))="",""," "&amp;(IF(ABS(Y37)&gt;=1E15,"PFLOPs",IF(ABS(Y37)&gt;=1E12,"TFLOPs",IF(ABS(Y37)&gt;=1E9,"GFLOPs",IF(ABS(Y37)&gt;=1E6,"MFLOPs","flops"))))))</f>
        <v>0.000 FLOPs</v>
      </c>
      <c r="I37" s="33" t="str">
        <f>TEXT(IF(ABS(AB37)&gt;=1E12,AB37/1E12,IF(ABS(AB37)&gt;=1E9,AB37/1E9,IF(ABS(AB37)&gt;=1E6,AB37/1E6,IF(ABS(AB37)&gt;=1E3,AB37/1E3,AB37)))),"#,##0.000")&amp;IF((IF(ABS(AB37)&gt;=1E12,"TB",IF(ABS(AB37)&gt;=1E9,"GB",IF(ABS(AB37)&gt;=1E6,"MB",IF(ABS(AB37)&gt;=1E3,"KB","bytes")))))="",""," "&amp;(IF(ABS(AB37)&gt;=1E12,"TB",IF(ABS(AB37)&gt;=1E9,"GB",IF(ABS(AB37)&gt;=1E6,"MB",IF(ABS(AB37)&gt;=1E3,"KB","bytes"))))))</f>
        <v>0.000 B</v>
      </c>
      <c r="J37" s="4" t="s">
        <v>256</v>
      </c>
      <c r="K37" s="4" t="s">
        <v>307</v>
      </c>
      <c r="L37" s="4" t="s">
        <v>308</v>
      </c>
      <c r="U37" s="32">
        <f>PrefillBatch*FP32Bytes*(ShortLayers*2*(2*ShortRatio)*(2*HeadDim)+LongLayers*2*LongRatio*HeadDim+ShortLayers*2*(2*ShortRatio)*(2*IndexHeadDim))</f>
        <v>12206080</v>
      </c>
      <c r="V37" s="32">
        <f>0</f>
        <v>0</v>
      </c>
      <c r="W37" s="32">
        <f>(0)+(0)</f>
        <v>0</v>
      </c>
      <c r="X37" s="32">
        <f>PrefillBatch*FP32Bytes*(ShortLayers*2*(2*ShortRatio)*(2*HeadDim)+LongLayers*2*LongRatio*HeadDim+ShortLayers*2*(2*ShortRatio)*(2*IndexHeadDim))</f>
        <v>12206080</v>
      </c>
      <c r="Y37" s="32">
        <f>0</f>
        <v>0</v>
      </c>
      <c r="Z37" s="32">
        <f>(0)+(0)</f>
        <v>0</v>
      </c>
      <c r="AA37" s="32">
        <f>0</f>
        <v>0</v>
      </c>
      <c r="AB37" s="32">
        <f>0</f>
        <v>0</v>
      </c>
    </row>
    <row r="38" spans="1:50">
      <c r="A38" s="4" t="s">
        <v>40</v>
      </c>
      <c r="B38" s="4" t="s">
        <v>309</v>
      </c>
      <c r="C38" s="4" t="s">
        <v>300</v>
      </c>
      <c r="D38" s="33" t="str">
        <f>TEXT(IF(ABS(U38)&gt;=1E12,U38/1E12,IF(ABS(U38)&gt;=1E9,U38/1E9,IF(ABS(U38)&gt;=1E6,U38/1E6,IF(ABS(U38)&gt;=1E3,U38/1E3,U38)))),"#,##0.000")&amp;IF((IF(ABS(U38)&gt;=1E12,"TB",IF(ABS(U38)&gt;=1E9,"GB",IF(ABS(U38)&gt;=1E6,"MB",IF(ABS(U38)&gt;=1E3,"KB","bytes")))))="",""," "&amp;(IF(ABS(U38)&gt;=1E12,"TB",IF(ABS(U38)&gt;=1E9,"GB",IF(ABS(U38)&gt;=1E6,"MB",IF(ABS(U38)&gt;=1E3,"KB","bytes"))))))</f>
        <v>7.232 GB</v>
      </c>
      <c r="E38" s="33" t="str">
        <f>TEXT(IF(ABS(V38)&gt;=1E15,V38/1E15,IF(ABS(V38)&gt;=1E12,V38/1E12,IF(ABS(V38)&gt;=1E9,V38/1E9,IF(ABS(V38)&gt;=1E6,V38/1E6,V38)))),"#,##0.000")&amp;IF((IF(ABS(V38)&gt;=1E15,"PFLOPs",IF(ABS(V38)&gt;=1E12,"TFLOPs",IF(ABS(V38)&gt;=1E9,"GFLOPs",IF(ABS(V38)&gt;=1E6,"MFLOPs","flops")))))="",""," "&amp;(IF(ABS(V38)&gt;=1E15,"PFLOPs",IF(ABS(V38)&gt;=1E12,"TFLOPs",IF(ABS(V38)&gt;=1E9,"GFLOPs",IF(ABS(V38)&gt;=1E6,"MFLOPs","flops"))))))</f>
        <v>0.000 FLOPs</v>
      </c>
      <c r="F38" s="33" t="str">
        <f>TEXT(IF(ABS(AA38)&gt;=1E12,AA38/1E12,IF(ABS(AA38)&gt;=1E9,AA38/1E9,IF(ABS(AA38)&gt;=1E6,AA38/1E6,IF(ABS(AA38)&gt;=1E3,AA38/1E3,AA38)))),"#,##0.000")&amp;IF((IF(ABS(AA38)&gt;=1E12,"TB",IF(ABS(AA38)&gt;=1E9,"GB",IF(ABS(AA38)&gt;=1E6,"MB",IF(ABS(AA38)&gt;=1E3,"KB","bytes")))))="",""," "&amp;(IF(ABS(AA38)&gt;=1E12,"TB",IF(ABS(AA38)&gt;=1E9,"GB",IF(ABS(AA38)&gt;=1E6,"MB",IF(ABS(AA38)&gt;=1E3,"KB","bytes"))))))</f>
        <v>0.000 B</v>
      </c>
      <c r="G38" s="33" t="str">
        <f>TEXT(IF(ABS(X38)&gt;=1E12,X38/1E12,IF(ABS(X38)&gt;=1E9,X38/1E9,IF(ABS(X38)&gt;=1E6,X38/1E6,IF(ABS(X38)&gt;=1E3,X38/1E3,X38)))),"#,##0.000")&amp;IF((IF(ABS(X38)&gt;=1E12,"TB",IF(ABS(X38)&gt;=1E9,"GB",IF(ABS(X38)&gt;=1E6,"MB",IF(ABS(X38)&gt;=1E3,"KB","bytes")))))="",""," "&amp;(IF(ABS(X38)&gt;=1E12,"TB",IF(ABS(X38)&gt;=1E9,"GB",IF(ABS(X38)&gt;=1E6,"MB",IF(ABS(X38)&gt;=1E3,"KB","bytes"))))))</f>
        <v>7.232 GB</v>
      </c>
      <c r="H38" s="33" t="str">
        <f>TEXT(IF(ABS(Y38)&gt;=1E15,Y38/1E15,IF(ABS(Y38)&gt;=1E12,Y38/1E12,IF(ABS(Y38)&gt;=1E9,Y38/1E9,IF(ABS(Y38)&gt;=1E6,Y38/1E6,Y38)))),"#,##0.000")&amp;IF((IF(ABS(Y38)&gt;=1E15,"PFLOPs",IF(ABS(Y38)&gt;=1E12,"TFLOPs",IF(ABS(Y38)&gt;=1E9,"GFLOPs",IF(ABS(Y38)&gt;=1E6,"MFLOPs","flops")))))="",""," "&amp;(IF(ABS(Y38)&gt;=1E15,"PFLOPs",IF(ABS(Y38)&gt;=1E12,"TFLOPs",IF(ABS(Y38)&gt;=1E9,"GFLOPs",IF(ABS(Y38)&gt;=1E6,"MFLOPs","flops"))))))</f>
        <v>0.000 FLOPs</v>
      </c>
      <c r="I38" s="33" t="str">
        <f>TEXT(IF(ABS(AB38)&gt;=1E12,AB38/1E12,IF(ABS(AB38)&gt;=1E9,AB38/1E9,IF(ABS(AB38)&gt;=1E6,AB38/1E6,IF(ABS(AB38)&gt;=1E3,AB38/1E3,AB38)))),"#,##0.000")&amp;IF((IF(ABS(AB38)&gt;=1E12,"TB",IF(ABS(AB38)&gt;=1E9,"GB",IF(ABS(AB38)&gt;=1E6,"MB",IF(ABS(AB38)&gt;=1E3,"KB","bytes")))))="",""," "&amp;(IF(ABS(AB38)&gt;=1E12,"TB",IF(ABS(AB38)&gt;=1E9,"GB",IF(ABS(AB38)&gt;=1E6,"MB",IF(ABS(AB38)&gt;=1E3,"KB","bytes"))))))</f>
        <v>0.000 B</v>
      </c>
      <c r="J38" s="4" t="s">
        <v>256</v>
      </c>
      <c r="K38" s="4" t="s">
        <v>310</v>
      </c>
      <c r="L38" s="4" t="s">
        <v>311</v>
      </c>
      <c r="U38" s="32">
        <f>PrefillBatch*(HeadDim*BF16Bytes*(WindowLayers*WindowSize+ShortLayers*(WindowSize+INT(MaxContext/ShortRatio))+LongLayers*(WindowSize+INT(MaxContext/LongRatio)))+ShortLayers*INT(MaxContext/ShortRatio)*IndexHeadDim*BF16Bytes)+PrefillBatch*FP32Bytes*(ShortLayers*2*(2*ShortRatio)*(2*HeadDim)+LongLayers*2*LongRatio*HeadDim+ShortLayers*2*(2*ShortRatio)*(2*IndexHeadDim))</f>
        <v>7232045056</v>
      </c>
      <c r="V38" s="32">
        <f>0</f>
        <v>0</v>
      </c>
      <c r="W38" s="32">
        <f>(0)+(0)</f>
        <v>0</v>
      </c>
      <c r="X38" s="32">
        <f>PrefillBatch*(HeadDim*BF16Bytes*(WindowLayers*WindowSize+ShortLayers*(WindowSize+INT(MaxContext/ShortRatio))+LongLayers*(WindowSize+INT(MaxContext/LongRatio)))+ShortLayers*INT(MaxContext/ShortRatio)*IndexHeadDim*BF16Bytes)+PrefillBatch*FP32Bytes*(ShortLayers*2*(2*ShortRatio)*(2*HeadDim)+LongLayers*2*LongRatio*HeadDim+ShortLayers*2*(2*ShortRatio)*(2*IndexHeadDim))</f>
        <v>7232045056</v>
      </c>
      <c r="Y38" s="32">
        <f>0</f>
        <v>0</v>
      </c>
      <c r="Z38" s="32">
        <f>(0)+(0)</f>
        <v>0</v>
      </c>
      <c r="AA38" s="32">
        <f>0</f>
        <v>0</v>
      </c>
      <c r="AB38" s="32">
        <f>0</f>
        <v>0</v>
      </c>
    </row>
    <row r="39" spans="1:50">
      <c r="A39" s="4" t="s">
        <v>59</v>
      </c>
      <c r="B39" s="4" t="s">
        <v>312</v>
      </c>
      <c r="C39" s="4" t="s">
        <v>265</v>
      </c>
      <c r="D39" s="33" t="str">
        <f>TEXT(IF(ABS(U39)&gt;=1E12,U39/1E12,IF(ABS(U39)&gt;=1E9,U39/1E9,IF(ABS(U39)&gt;=1E6,U39/1E6,IF(ABS(U39)&gt;=1E3,U39/1E3,U39)))),"#,##0.000")&amp;IF((IF(ABS(U39)&gt;=1E12,"TB",IF(ABS(U39)&gt;=1E9,"GB",IF(ABS(U39)&gt;=1E6,"MB",IF(ABS(U39)&gt;=1E3,"KB","bytes")))))="",""," "&amp;(IF(ABS(U39)&gt;=1E12,"TB",IF(ABS(U39)&gt;=1E9,"GB",IF(ABS(U39)&gt;=1E6,"MB",IF(ABS(U39)&gt;=1E3,"KB","bytes"))))))</f>
        <v>99.527 MB</v>
      </c>
      <c r="E39" s="33" t="str">
        <f>TEXT(IF(ABS(V39)&gt;=1E15,V39/1E15,IF(ABS(V39)&gt;=1E12,V39/1E12,IF(ABS(V39)&gt;=1E9,V39/1E9,IF(ABS(V39)&gt;=1E6,V39/1E6,V39)))),"#,##0.000")&amp;IF((IF(ABS(V39)&gt;=1E15,"PFLOPs",IF(ABS(V39)&gt;=1E12,"TFLOPs",IF(ABS(V39)&gt;=1E9,"GFLOPs",IF(ABS(V39)&gt;=1E6,"MFLOPs","flops")))))="",""," "&amp;(IF(ABS(V39)&gt;=1E15,"PFLOPs",IF(ABS(V39)&gt;=1E12,"TFLOPs",IF(ABS(V39)&gt;=1E9,"GFLOPs",IF(ABS(V39)&gt;=1E6,"MFLOPs","flops"))))))</f>
        <v>738.734 GFLOPs</v>
      </c>
      <c r="F39" s="33" t="str">
        <f>TEXT(IF(ABS(AA39)&gt;=1E12,AA39/1E12,IF(ABS(AA39)&gt;=1E9,AA39/1E9,IF(ABS(AA39)&gt;=1E6,AA39/1E6,IF(ABS(AA39)&gt;=1E3,AA39/1E3,AA39)))),"#,##0.000")&amp;IF((IF(ABS(AA39)&gt;=1E12,"TB",IF(ABS(AA39)&gt;=1E9,"GB",IF(ABS(AA39)&gt;=1E6,"MB",IF(ABS(AA39)&gt;=1E3,"KB","bytes")))))="",""," "&amp;(IF(ABS(AA39)&gt;=1E12,"TB",IF(ABS(AA39)&gt;=1E9,"GB",IF(ABS(AA39)&gt;=1E6,"MB",IF(ABS(AA39)&gt;=1E3,"KB","bytes"))))))</f>
        <v>0.000 B</v>
      </c>
      <c r="G39" s="33" t="str">
        <f>TEXT(IF(ABS(X39)&gt;=1E12,X39/1E12,IF(ABS(X39)&gt;=1E9,X39/1E9,IF(ABS(X39)&gt;=1E6,X39/1E6,IF(ABS(X39)&gt;=1E3,X39/1E3,X39)))),"#,##0.000")&amp;IF((IF(ABS(X39)&gt;=1E12,"TB",IF(ABS(X39)&gt;=1E9,"GB",IF(ABS(X39)&gt;=1E6,"MB",IF(ABS(X39)&gt;=1E3,"KB","bytes")))))="",""," "&amp;(IF(ABS(X39)&gt;=1E12,"TB",IF(ABS(X39)&gt;=1E9,"GB",IF(ABS(X39)&gt;=1E6,"MB",IF(ABS(X39)&gt;=1E3,"KB","bytes"))))))</f>
        <v>99.527 MB</v>
      </c>
      <c r="H39" s="33" t="str">
        <f>TEXT(IF(ABS(Y39)&gt;=1E15,Y39/1E15,IF(ABS(Y39)&gt;=1E12,Y39/1E12,IF(ABS(Y39)&gt;=1E9,Y39/1E9,IF(ABS(Y39)&gt;=1E6,Y39/1E6,Y39)))),"#,##0.000")&amp;IF((IF(ABS(Y39)&gt;=1E15,"PFLOPs",IF(ABS(Y39)&gt;=1E12,"TFLOPs",IF(ABS(Y39)&gt;=1E9,"GFLOPs",IF(ABS(Y39)&gt;=1E6,"MFLOPs","flops")))))="",""," "&amp;(IF(ABS(Y39)&gt;=1E15,"PFLOPs",IF(ABS(Y39)&gt;=1E12,"TFLOPs",IF(ABS(Y39)&gt;=1E9,"GFLOPs",IF(ABS(Y39)&gt;=1E6,"MFLOPs","flops"))))))</f>
        <v>738.734 GFLOPs</v>
      </c>
      <c r="I39" s="33" t="str">
        <f>TEXT(IF(ABS(AB39)&gt;=1E12,AB39/1E12,IF(ABS(AB39)&gt;=1E9,AB39/1E9,IF(ABS(AB39)&gt;=1E6,AB39/1E6,IF(ABS(AB39)&gt;=1E3,AB39/1E3,AB39)))),"#,##0.000")&amp;IF((IF(ABS(AB39)&gt;=1E12,"TB",IF(ABS(AB39)&gt;=1E9,"GB",IF(ABS(AB39)&gt;=1E6,"MB",IF(ABS(AB39)&gt;=1E3,"KB","bytes")))))="",""," "&amp;(IF(ABS(AB39)&gt;=1E12,"TB",IF(ABS(AB39)&gt;=1E9,"GB",IF(ABS(AB39)&gt;=1E6,"MB",IF(ABS(AB39)&gt;=1E3,"KB","bytes"))))))</f>
        <v>0.000 B</v>
      </c>
      <c r="J39" s="4" t="s">
        <v>313</v>
      </c>
      <c r="K39" s="4" t="s">
        <v>314</v>
      </c>
      <c r="L39" s="4" t="s">
        <v>315</v>
      </c>
      <c r="U39" s="32">
        <f>TotalLayers*RoutedExperts*HiddenSize*BF16Bytes+(TotalLayers-ActiveHashLayers)*RoutedExperts*FP32Bytes+ActiveHashLayers*VocabSize*ActivatedExperts*INT32Bytes</f>
        <v>99526656</v>
      </c>
      <c r="V39" s="32">
        <f>2*PF_Rows*TotalLayers*HiddenSize*RoutedExperts</f>
        <v>738734374912</v>
      </c>
      <c r="W39" s="32">
        <f>(TotalLayers*RoutedExperts*HiddenSize*BF16Bytes+(TotalLayers-ActiveHashLayers)*RoutedExperts*FP32Bytes+PF_Rows*TotalLayers*HiddenSize*BF16Bytes+PF_Rows*ActiveHashLayers*ActivatedExperts*INT32Bytes)+(PF_Rows*TotalLayers*RoutedExperts*FP32Bytes)</f>
        <v>3337199616</v>
      </c>
      <c r="X39" s="32">
        <f>TotalLayers*RoutedExperts*HiddenSize*BF16Bytes+(TotalLayers-ActiveHashLayers)*RoutedExperts*FP32Bytes+ActiveHashLayers*VocabSize*ActivatedExperts*INT32Bytes</f>
        <v>99526656</v>
      </c>
      <c r="Y39" s="32">
        <f>2*PF_Rows*TotalLayers*HiddenSize*RoutedExperts</f>
        <v>738734374912</v>
      </c>
      <c r="Z39" s="32">
        <f>(TotalLayers*RoutedExperts*HiddenSize*BF16Bytes+(TotalLayers-ActiveHashLayers)*RoutedExperts*FP32Bytes+PF_Rows*TotalLayers*HiddenSize*BF16Bytes+PF_Rows*ActiveHashLayers*ActivatedExperts*INT32Bytes)+(PF_Rows*TotalLayers*RoutedExperts*FP32Bytes)</f>
        <v>3337199616</v>
      </c>
      <c r="AA39" s="32">
        <f>0</f>
        <v>0</v>
      </c>
      <c r="AB39" s="32">
        <f>0</f>
        <v>0</v>
      </c>
    </row>
    <row r="40" spans="1:50">
      <c r="A40" s="4" t="s">
        <v>59</v>
      </c>
      <c r="B40" s="4" t="s">
        <v>316</v>
      </c>
      <c r="C40" s="4" t="s">
        <v>265</v>
      </c>
      <c r="D40" s="33" t="str">
        <f>TEXT(IF(ABS(U40)&gt;=1E12,U40/1E12,IF(ABS(U40)&gt;=1E9,U40/1E9,IF(ABS(U40)&gt;=1E6,U40/1E6,IF(ABS(U40)&gt;=1E3,U40/1E3,U40)))),"#,##0.000")&amp;IF((IF(ABS(U40)&gt;=1E12,"TB",IF(ABS(U40)&gt;=1E9,"GB",IF(ABS(U40)&gt;=1E6,"MB",IF(ABS(U40)&gt;=1E3,"KB","bytes")))))="",""," "&amp;(IF(ABS(U40)&gt;=1E12,"TB",IF(ABS(U40)&gt;=1E9,"GB",IF(ABS(U40)&gt;=1E6,"MB",IF(ABS(U40)&gt;=1E3,"KB","bytes"))))))</f>
        <v>147.170 GB</v>
      </c>
      <c r="E40" s="33" t="str">
        <f>TEXT(IF(ABS(V40)&gt;=1E15,V40/1E15,IF(ABS(V40)&gt;=1E12,V40/1E12,IF(ABS(V40)&gt;=1E9,V40/1E9,IF(ABS(V40)&gt;=1E6,V40/1E6,V40)))),"#,##0.000")&amp;IF((IF(ABS(V40)&gt;=1E15,"PFLOPs",IF(ABS(V40)&gt;=1E12,"TFLOPs",IF(ABS(V40)&gt;=1E9,"GFLOPs",IF(ABS(V40)&gt;=1E6,"MFLOPs","flops")))))="",""," "&amp;(IF(ABS(V40)&gt;=1E15,"PFLOPs",IF(ABS(V40)&gt;=1E12,"TFLOPs",IF(ABS(V40)&gt;=1E9,"GFLOPs",IF(ABS(V40)&gt;=1E6,"MFLOPs","flops"))))))</f>
        <v>106.378 TFLOPs</v>
      </c>
      <c r="F40" s="33" t="str">
        <f>TEXT(IF(ABS(AA40)&gt;=1E12,AA40/1E12,IF(ABS(AA40)&gt;=1E9,AA40/1E9,IF(ABS(AA40)&gt;=1E6,AA40/1E6,IF(ABS(AA40)&gt;=1E3,AA40/1E3,AA40)))),"#,##0.000")&amp;IF((IF(ABS(AA40)&gt;=1E12,"TB",IF(ABS(AA40)&gt;=1E9,"GB",IF(ABS(AA40)&gt;=1E6,"MB",IF(ABS(AA40)&gt;=1E3,"KB","bytes")))))="",""," "&amp;(IF(ABS(AA40)&gt;=1E12,"TB",IF(ABS(AA40)&gt;=1E9,"GB",IF(ABS(AA40)&gt;=1E6,"MB",IF(ABS(AA40)&gt;=1E3,"KB","bytes"))))))</f>
        <v>0.000 B</v>
      </c>
      <c r="G40" s="33" t="str">
        <f>TEXT(IF(ABS(X40)&gt;=1E12,X40/1E12,IF(ABS(X40)&gt;=1E9,X40/1E9,IF(ABS(X40)&gt;=1E6,X40/1E6,IF(ABS(X40)&gt;=1E3,X40/1E3,X40)))),"#,##0.000")&amp;IF((IF(ABS(X40)&gt;=1E12,"TB",IF(ABS(X40)&gt;=1E9,"GB",IF(ABS(X40)&gt;=1E6,"MB",IF(ABS(X40)&gt;=1E3,"KB","bytes")))))="",""," "&amp;(IF(ABS(X40)&gt;=1E12,"TB",IF(ABS(X40)&gt;=1E9,"GB",IF(ABS(X40)&gt;=1E6,"MB",IF(ABS(X40)&gt;=1E3,"KB","bytes"))))))</f>
        <v>18.396 GB</v>
      </c>
      <c r="H40" s="33" t="str">
        <f>TEXT(IF(ABS(Y40)&gt;=1E15,Y40/1E15,IF(ABS(Y40)&gt;=1E12,Y40/1E12,IF(ABS(Y40)&gt;=1E9,Y40/1E9,IF(ABS(Y40)&gt;=1E6,Y40/1E6,Y40)))),"#,##0.000")&amp;IF((IF(ABS(Y40)&gt;=1E15,"PFLOPs",IF(ABS(Y40)&gt;=1E12,"TFLOPs",IF(ABS(Y40)&gt;=1E9,"GFLOPs",IF(ABS(Y40)&gt;=1E6,"MFLOPs","flops")))))="",""," "&amp;(IF(ABS(Y40)&gt;=1E15,"PFLOPs",IF(ABS(Y40)&gt;=1E12,"TFLOPs",IF(ABS(Y40)&gt;=1E9,"GFLOPs",IF(ABS(Y40)&gt;=1E6,"MFLOPs","flops"))))))</f>
        <v>13.297 TFLOPs</v>
      </c>
      <c r="I40" s="33" t="str">
        <f>TEXT(IF(ABS(AB40)&gt;=1E12,AB40/1E12,IF(ABS(AB40)&gt;=1E9,AB40/1E9,IF(ABS(AB40)&gt;=1E6,AB40/1E6,IF(ABS(AB40)&gt;=1E3,AB40/1E3,AB40)))),"#,##0.000")&amp;IF((IF(ABS(AB40)&gt;=1E12,"TB",IF(ABS(AB40)&gt;=1E9,"GB",IF(ABS(AB40)&gt;=1E6,"MB",IF(ABS(AB40)&gt;=1E3,"KB","bytes")))))="",""," "&amp;(IF(ABS(AB40)&gt;=1E12,"TB",IF(ABS(AB40)&gt;=1E9,"GB",IF(ABS(AB40)&gt;=1E6,"MB",IF(ABS(AB40)&gt;=1E3,"KB","bytes"))))))</f>
        <v>0.000 B</v>
      </c>
      <c r="J40" s="4" t="s">
        <v>317</v>
      </c>
      <c r="K40" s="4" t="s">
        <v>318</v>
      </c>
      <c r="L40" s="4" t="s">
        <v>319</v>
      </c>
      <c r="U40" s="32">
        <f>TotalLayers*TP1LocalExperts*(3*HiddenSize*ExpertInter*FP4Bytes+3*HiddenSize*ExpertInter/FP4Block*ScaleBytes)</f>
        <v>147169738752.0</v>
      </c>
      <c r="V40" s="32">
        <f>PF_Rows*TotalLayers*(ActivatedExperts/TP1Size)*6*HiddenSize*ExpertInter</f>
        <v>106377749987328.0</v>
      </c>
      <c r="W40" s="32">
        <f>(TotalLayers*TP1LocalExperts*PF_ExpertActiveProbability*(3*HiddenSize*ExpertInter*FP4Bytes+3*HiddenSize*ExpertInter/FP4Block*ScaleBytes)+PF_Rows*TotalLayers*(ActivatedExperts/TP1Size)*HiddenSize*BF16Bytes)+(PF_Rows*TotalLayers*(ActivatedExperts/TP1Size)*HiddenSize*BF16Bytes)</f>
        <v>181797912576.0</v>
      </c>
      <c r="X40" s="32">
        <f>TotalLayers*TP8LocalExperts*(3*HiddenSize*ExpertInter*FP4Bytes+3*HiddenSize*ExpertInter/FP4Block*ScaleBytes)</f>
        <v>18396217344.0</v>
      </c>
      <c r="Y40" s="32">
        <f>PF_Rows*TotalLayers*(ActivatedExperts/TP8Size)*6*HiddenSize*ExpertInter</f>
        <v>13297218748416.0</v>
      </c>
      <c r="Z40" s="32">
        <f>(TotalLayers*TP8LocalExperts*PF_ExpertActiveProbability*(3*HiddenSize*ExpertInter*FP4Bytes+3*HiddenSize*ExpertInter/FP4Block*ScaleBytes)+PF_Rows*TotalLayers*(ActivatedExperts/TP8Size)*HiddenSize*BF16Bytes)+(PF_Rows*TotalLayers*(ActivatedExperts/TP8Size)*HiddenSize*BF16Bytes)</f>
        <v>22724739072.0</v>
      </c>
      <c r="AA40" s="32">
        <f>0</f>
        <v>0</v>
      </c>
      <c r="AB40" s="32">
        <f>0</f>
        <v>0</v>
      </c>
    </row>
    <row r="41" spans="1:50">
      <c r="A41" s="4" t="s">
        <v>59</v>
      </c>
      <c r="B41" s="4" t="s">
        <v>320</v>
      </c>
      <c r="C41" s="4" t="s">
        <v>265</v>
      </c>
      <c r="D41" s="33" t="str">
        <f>TEXT(IF(ABS(U41)&gt;=1E12,U41/1E12,IF(ABS(U41)&gt;=1E9,U41/1E9,IF(ABS(U41)&gt;=1E6,U41/1E6,IF(ABS(U41)&gt;=1E3,U41/1E3,U41)))),"#,##0.000")&amp;IF((IF(ABS(U41)&gt;=1E12,"TB",IF(ABS(U41)&gt;=1E9,"GB",IF(ABS(U41)&gt;=1E6,"MB",IF(ABS(U41)&gt;=1E3,"KB","bytes")))))="",""," "&amp;(IF(ABS(U41)&gt;=1E12,"TB",IF(ABS(U41)&gt;=1E9,"GB",IF(ABS(U41)&gt;=1E6,"MB",IF(ABS(U41)&gt;=1E3,"KB","bytes"))))))</f>
        <v>1.082 GB</v>
      </c>
      <c r="E41" s="33" t="str">
        <f>TEXT(IF(ABS(V41)&gt;=1E15,V41/1E15,IF(ABS(V41)&gt;=1E12,V41/1E12,IF(ABS(V41)&gt;=1E9,V41/1E9,IF(ABS(V41)&gt;=1E6,V41/1E6,V41)))),"#,##0.000")&amp;IF((IF(ABS(V41)&gt;=1E15,"PFLOPs",IF(ABS(V41)&gt;=1E12,"TFLOPs",IF(ABS(V41)&gt;=1E9,"GFLOPs",IF(ABS(V41)&gt;=1E6,"MFLOPs","flops")))))="",""," "&amp;(IF(ABS(V41)&gt;=1E15,"PFLOPs",IF(ABS(V41)&gt;=1E12,"TFLOPs",IF(ABS(V41)&gt;=1E9,"GFLOPs",IF(ABS(V41)&gt;=1E6,"MFLOPs","flops"))))))</f>
        <v>17.730 TFLOPs</v>
      </c>
      <c r="F41" s="33" t="str">
        <f>TEXT(IF(ABS(AA41)&gt;=1E12,AA41/1E12,IF(ABS(AA41)&gt;=1E9,AA41/1E9,IF(ABS(AA41)&gt;=1E6,AA41/1E6,IF(ABS(AA41)&gt;=1E3,AA41/1E3,AA41)))),"#,##0.000")&amp;IF((IF(ABS(AA41)&gt;=1E12,"TB",IF(ABS(AA41)&gt;=1E9,"GB",IF(ABS(AA41)&gt;=1E6,"MB",IF(ABS(AA41)&gt;=1E3,"KB","bytes")))))="",""," "&amp;(IF(ABS(AA41)&gt;=1E12,"TB",IF(ABS(AA41)&gt;=1E9,"GB",IF(ABS(AA41)&gt;=1E6,"MB",IF(ABS(AA41)&gt;=1E3,"KB","bytes"))))))</f>
        <v>0.000 B</v>
      </c>
      <c r="G41" s="33" t="str">
        <f>TEXT(IF(ABS(X41)&gt;=1E12,X41/1E12,IF(ABS(X41)&gt;=1E9,X41/1E9,IF(ABS(X41)&gt;=1E6,X41/1E6,IF(ABS(X41)&gt;=1E3,X41/1E3,X41)))),"#,##0.000")&amp;IF((IF(ABS(X41)&gt;=1E12,"TB",IF(ABS(X41)&gt;=1E9,"GB",IF(ABS(X41)&gt;=1E6,"MB",IF(ABS(X41)&gt;=1E3,"KB","bytes")))))="",""," "&amp;(IF(ABS(X41)&gt;=1E12,"TB",IF(ABS(X41)&gt;=1E9,"GB",IF(ABS(X41)&gt;=1E6,"MB",IF(ABS(X41)&gt;=1E3,"KB","bytes"))))))</f>
        <v>1.082 GB</v>
      </c>
      <c r="H41" s="33" t="str">
        <f>TEXT(IF(ABS(Y41)&gt;=1E15,Y41/1E15,IF(ABS(Y41)&gt;=1E12,Y41/1E12,IF(ABS(Y41)&gt;=1E9,Y41/1E9,IF(ABS(Y41)&gt;=1E6,Y41/1E6,Y41)))),"#,##0.000")&amp;IF((IF(ABS(Y41)&gt;=1E15,"PFLOPs",IF(ABS(Y41)&gt;=1E12,"TFLOPs",IF(ABS(Y41)&gt;=1E9,"GFLOPs",IF(ABS(Y41)&gt;=1E6,"MFLOPs","flops")))))="",""," "&amp;(IF(ABS(Y41)&gt;=1E15,"PFLOPs",IF(ABS(Y41)&gt;=1E12,"TFLOPs",IF(ABS(Y41)&gt;=1E9,"GFLOPs",IF(ABS(Y41)&gt;=1E6,"MFLOPs","flops"))))))</f>
        <v>17.730 TFLOPs</v>
      </c>
      <c r="I41" s="33" t="str">
        <f>TEXT(IF(ABS(AB41)&gt;=1E12,AB41/1E12,IF(ABS(AB41)&gt;=1E9,AB41/1E9,IF(ABS(AB41)&gt;=1E6,AB41/1E6,IF(ABS(AB41)&gt;=1E3,AB41/1E3,AB41)))),"#,##0.000")&amp;IF((IF(ABS(AB41)&gt;=1E12,"TB",IF(ABS(AB41)&gt;=1E9,"GB",IF(ABS(AB41)&gt;=1E6,"MB",IF(ABS(AB41)&gt;=1E3,"KB","bytes")))))="",""," "&amp;(IF(ABS(AB41)&gt;=1E12,"TB",IF(ABS(AB41)&gt;=1E9,"GB",IF(ABS(AB41)&gt;=1E6,"MB",IF(ABS(AB41)&gt;=1E3,"KB","bytes"))))))</f>
        <v>0.000 B</v>
      </c>
      <c r="J41" s="4" t="s">
        <v>321</v>
      </c>
      <c r="K41" s="4" t="s">
        <v>318</v>
      </c>
      <c r="L41" s="4" t="s">
        <v>322</v>
      </c>
      <c r="U41" s="32">
        <f>TotalLayers*SharedExperts*(2*((HiddenSize)*(ExpertInter)*FP8Bytes+ROUNDUP((HiddenSize)/FP8Block,0)*ROUNDUP((ExpertInter)/FP8Block,0)*ScaleBytes)+((ExpertInter)*(HiddenSize)*FP8Bytes+ROUNDUP((ExpertInter)/FP8Block,0)*ROUNDUP((HiddenSize)/FP8Block,0)*ScaleBytes))</f>
        <v>1082196480</v>
      </c>
      <c r="V41" s="32">
        <f>PF_Rows*TotalLayers*SharedExperts*6*HiddenSize*ExpertInter</f>
        <v>17729624997888</v>
      </c>
      <c r="W41" s="32">
        <f>(TotalLayers*SharedExperts*(2*((HiddenSize)*(ExpertInter)*FP8Bytes+ROUNDUP((HiddenSize)/FP8Block,0)*ROUNDUP((ExpertInter)/FP8Block,0)*ScaleBytes)+((ExpertInter)*(HiddenSize)*FP8Bytes+ROUNDUP((ExpertInter)/FP8Block,0)*ROUNDUP((HiddenSize)/FP8Block,0)*ScaleBytes))+PF_Rows*TotalLayers*SharedExperts*HiddenSize*BF16Bytes)+(PF_Rows*TotalLayers*SharedExperts*HiddenSize*BF16Bytes)</f>
        <v>6853558784</v>
      </c>
      <c r="X41" s="32">
        <f>TotalLayers*SharedExperts*(2*((HiddenSize)*(ExpertInter)*FP8Bytes+ROUNDUP((HiddenSize)/FP8Block,0)*ROUNDUP((ExpertInter)/FP8Block,0)*ScaleBytes)+((ExpertInter)*(HiddenSize)*FP8Bytes+ROUNDUP((ExpertInter)/FP8Block,0)*ROUNDUP((HiddenSize)/FP8Block,0)*ScaleBytes))</f>
        <v>1082196480</v>
      </c>
      <c r="Y41" s="32">
        <f>PF_Rows*TotalLayers*SharedExperts*6*HiddenSize*ExpertInter</f>
        <v>17729624997888</v>
      </c>
      <c r="Z41" s="32">
        <f>(TotalLayers*SharedExperts*(2*((HiddenSize)*(ExpertInter)*FP8Bytes+ROUNDUP((HiddenSize)/FP8Block,0)*ROUNDUP((ExpertInter)/FP8Block,0)*ScaleBytes)+((ExpertInter)*(HiddenSize)*FP8Bytes+ROUNDUP((ExpertInter)/FP8Block,0)*ROUNDUP((HiddenSize)/FP8Block,0)*ScaleBytes))+PF_Rows*TotalLayers*SharedExperts*HiddenSize*BF16Bytes)+(PF_Rows*TotalLayers*SharedExperts*HiddenSize*BF16Bytes)</f>
        <v>6853558784</v>
      </c>
      <c r="AA41" s="32">
        <f>0</f>
        <v>0</v>
      </c>
      <c r="AB41" s="32">
        <f>0</f>
        <v>0</v>
      </c>
    </row>
    <row r="42" spans="1:50">
      <c r="A42" s="4" t="s">
        <v>59</v>
      </c>
      <c r="B42" s="4" t="s">
        <v>323</v>
      </c>
      <c r="C42" s="4" t="s">
        <v>296</v>
      </c>
      <c r="D42" s="33" t="str">
        <f>TEXT(IF(ABS(U42)&gt;=1E12,U42/1E12,IF(ABS(U42)&gt;=1E9,U42/1E9,IF(ABS(U42)&gt;=1E6,U42/1E6,IF(ABS(U42)&gt;=1E3,U42/1E3,U42)))),"#,##0.000")&amp;IF((IF(ABS(U42)&gt;=1E12,"TB",IF(ABS(U42)&gt;=1E9,"GB",IF(ABS(U42)&gt;=1E6,"MB",IF(ABS(U42)&gt;=1E3,"KB","bytes")))))="",""," "&amp;(IF(ABS(U42)&gt;=1E12,"TB",IF(ABS(U42)&gt;=1E9,"GB",IF(ABS(U42)&gt;=1E6,"MB",IF(ABS(U42)&gt;=1E3,"KB","bytes"))))))</f>
        <v>0.000 B</v>
      </c>
      <c r="E42" s="33" t="str">
        <f>TEXT(IF(ABS(V42)&gt;=1E15,V42/1E15,IF(ABS(V42)&gt;=1E12,V42/1E12,IF(ABS(V42)&gt;=1E9,V42/1E9,IF(ABS(V42)&gt;=1E6,V42/1E6,V42)))),"#,##0.000")&amp;IF((IF(ABS(V42)&gt;=1E15,"PFLOPs",IF(ABS(V42)&gt;=1E12,"TFLOPs",IF(ABS(V42)&gt;=1E9,"GFLOPs",IF(ABS(V42)&gt;=1E6,"MFLOPs","flops")))))="",""," "&amp;(IF(ABS(V42)&gt;=1E15,"PFLOPs",IF(ABS(V42)&gt;=1E12,"TFLOPs",IF(ABS(V42)&gt;=1E9,"GFLOPs",IF(ABS(V42)&gt;=1E6,"MFLOPs","flops"))))))</f>
        <v>0.000 FLOPs</v>
      </c>
      <c r="F42" s="33" t="str">
        <f>TEXT(IF(ABS(AA42)&gt;=1E12,AA42/1E12,IF(ABS(AA42)&gt;=1E9,AA42/1E9,IF(ABS(AA42)&gt;=1E6,AA42/1E6,IF(ABS(AA42)&gt;=1E3,AA42/1E3,AA42)))),"#,##0.000")&amp;IF((IF(ABS(AA42)&gt;=1E12,"TB",IF(ABS(AA42)&gt;=1E9,"GB",IF(ABS(AA42)&gt;=1E6,"MB",IF(ABS(AA42)&gt;=1E3,"KB","bytes")))))="",""," "&amp;(IF(ABS(AA42)&gt;=1E12,"TB",IF(ABS(AA42)&gt;=1E9,"GB",IF(ABS(AA42)&gt;=1E6,"MB",IF(ABS(AA42)&gt;=1E3,"KB","bytes"))))))</f>
        <v>0.000 B</v>
      </c>
      <c r="G42" s="33" t="str">
        <f>TEXT(IF(ABS(X42)&gt;=1E12,X42/1E12,IF(ABS(X42)&gt;=1E9,X42/1E9,IF(ABS(X42)&gt;=1E6,X42/1E6,IF(ABS(X42)&gt;=1E3,X42/1E3,X42)))),"#,##0.000")&amp;IF((IF(ABS(X42)&gt;=1E12,"TB",IF(ABS(X42)&gt;=1E9,"GB",IF(ABS(X42)&gt;=1E6,"MB",IF(ABS(X42)&gt;=1E3,"KB","bytes")))))="",""," "&amp;(IF(ABS(X42)&gt;=1E12,"TB",IF(ABS(X42)&gt;=1E9,"GB",IF(ABS(X42)&gt;=1E6,"MB",IF(ABS(X42)&gt;=1E3,"KB","bytes"))))))</f>
        <v>0.000 B</v>
      </c>
      <c r="H42" s="33" t="str">
        <f>TEXT(IF(ABS(Y42)&gt;=1E15,Y42/1E15,IF(ABS(Y42)&gt;=1E12,Y42/1E12,IF(ABS(Y42)&gt;=1E9,Y42/1E9,IF(ABS(Y42)&gt;=1E6,Y42/1E6,Y42)))),"#,##0.000")&amp;IF((IF(ABS(Y42)&gt;=1E15,"PFLOPs",IF(ABS(Y42)&gt;=1E12,"TFLOPs",IF(ABS(Y42)&gt;=1E9,"GFLOPs",IF(ABS(Y42)&gt;=1E6,"MFLOPs","flops")))))="",""," "&amp;(IF(ABS(Y42)&gt;=1E15,"PFLOPs",IF(ABS(Y42)&gt;=1E12,"TFLOPs",IF(ABS(Y42)&gt;=1E9,"GFLOPs",IF(ABS(Y42)&gt;=1E6,"MFLOPs","flops"))))))</f>
        <v>0.000 FLOPs</v>
      </c>
      <c r="I42" s="33" t="str">
        <f>TEXT(IF(ABS(AB42)&gt;=1E12,AB42/1E12,IF(ABS(AB42)&gt;=1E9,AB42/1E9,IF(ABS(AB42)&gt;=1E6,AB42/1E6,IF(ABS(AB42)&gt;=1E3,AB42/1E3,AB42)))),"#,##0.000")&amp;IF((IF(ABS(AB42)&gt;=1E12,"TB",IF(ABS(AB42)&gt;=1E9,"GB",IF(ABS(AB42)&gt;=1E6,"MB",IF(ABS(AB42)&gt;=1E3,"KB","bytes")))))="",""," "&amp;(IF(ABS(AB42)&gt;=1E12,"TB",IF(ABS(AB42)&gt;=1E9,"GB",IF(ABS(AB42)&gt;=1E6,"MB",IF(ABS(AB42)&gt;=1E3,"KB","bytes"))))))</f>
        <v>20.200 GB</v>
      </c>
      <c r="J42" s="4" t="s">
        <v>256</v>
      </c>
      <c r="K42" s="4" t="s">
        <v>297</v>
      </c>
      <c r="L42" s="4" t="s">
        <v>324</v>
      </c>
      <c r="U42" s="32">
        <f>0</f>
        <v>0</v>
      </c>
      <c r="V42" s="32">
        <f>0</f>
        <v>0</v>
      </c>
      <c r="W42" s="32">
        <f>(0)+(0)</f>
        <v>0</v>
      </c>
      <c r="X42" s="32">
        <f>0</f>
        <v>0</v>
      </c>
      <c r="Y42" s="32">
        <f>0</f>
        <v>0</v>
      </c>
      <c r="Z42" s="32">
        <f>(0)+(0)</f>
        <v>0</v>
      </c>
      <c r="AA42" s="32">
        <f>4*(TP1Size-1)/TP1Size*PF_Rows*HiddenSize*FP32Bytes*TotalLayers</f>
        <v>0.0</v>
      </c>
      <c r="AB42" s="32">
        <f>4*(TP8Size-1)/TP8Size*PF_Rows*HiddenSize*FP32Bytes*TotalLayers</f>
        <v>20199768064.0</v>
      </c>
    </row>
    <row r="43" spans="1:50">
      <c r="A43" s="4" t="s">
        <v>92</v>
      </c>
      <c r="B43" s="4" t="s">
        <v>325</v>
      </c>
      <c r="C43" s="4" t="s">
        <v>326</v>
      </c>
      <c r="D43" s="33" t="str">
        <f>TEXT(IF(ABS(U43)&gt;=1E12,U43/1E12,IF(ABS(U43)&gt;=1E9,U43/1E9,IF(ABS(U43)&gt;=1E6,U43/1E6,IF(ABS(U43)&gt;=1E3,U43/1E3,U43)))),"#,##0.000")&amp;IF((IF(ABS(U43)&gt;=1E12,"TB",IF(ABS(U43)&gt;=1E9,"GB",IF(ABS(U43)&gt;=1E6,"MB",IF(ABS(U43)&gt;=1E3,"KB","bytes")))))="",""," "&amp;(IF(ABS(U43)&gt;=1E12,"TB",IF(ABS(U43)&gt;=1E9,"GB",IF(ABS(U43)&gt;=1E6,"MB",IF(ABS(U43)&gt;=1E3,"KB","bytes"))))))</f>
        <v>135.538 MB</v>
      </c>
      <c r="E43" s="33" t="str">
        <f>TEXT(IF(ABS(V43)&gt;=1E15,V43/1E15,IF(ABS(V43)&gt;=1E12,V43/1E12,IF(ABS(V43)&gt;=1E9,V43/1E9,IF(ABS(V43)&gt;=1E6,V43/1E6,V43)))),"#,##0.000")&amp;IF((IF(ABS(V43)&gt;=1E15,"PFLOPs",IF(ABS(V43)&gt;=1E12,"TFLOPs",IF(ABS(V43)&gt;=1E9,"GFLOPs",IF(ABS(V43)&gt;=1E6,"MFLOPs","flops")))))="",""," "&amp;(IF(ABS(V43)&gt;=1E15,"PFLOPs",IF(ABS(V43)&gt;=1E12,"TFLOPs",IF(ABS(V43)&gt;=1E9,"GFLOPs",IF(ABS(V43)&gt;=1E6,"MFLOPs","flops"))))))</f>
        <v>702.798 GFLOPs</v>
      </c>
      <c r="F43" s="33" t="str">
        <f>TEXT(IF(ABS(AA43)&gt;=1E12,AA43/1E12,IF(ABS(AA43)&gt;=1E9,AA43/1E9,IF(ABS(AA43)&gt;=1E6,AA43/1E6,IF(ABS(AA43)&gt;=1E3,AA43/1E3,AA43)))),"#,##0.000")&amp;IF((IF(ABS(AA43)&gt;=1E12,"TB",IF(ABS(AA43)&gt;=1E9,"GB",IF(ABS(AA43)&gt;=1E6,"MB",IF(ABS(AA43)&gt;=1E3,"KB","bytes")))))="",""," "&amp;(IF(ABS(AA43)&gt;=1E12,"TB",IF(ABS(AA43)&gt;=1E9,"GB",IF(ABS(AA43)&gt;=1E6,"MB",IF(ABS(AA43)&gt;=1E3,"KB","bytes"))))))</f>
        <v>0.000 B</v>
      </c>
      <c r="G43" s="33" t="str">
        <f>TEXT(IF(ABS(X43)&gt;=1E12,X43/1E12,IF(ABS(X43)&gt;=1E9,X43/1E9,IF(ABS(X43)&gt;=1E6,X43/1E6,IF(ABS(X43)&gt;=1E3,X43/1E3,X43)))),"#,##0.000")&amp;IF((IF(ABS(X43)&gt;=1E12,"TB",IF(ABS(X43)&gt;=1E9,"GB",IF(ABS(X43)&gt;=1E6,"MB",IF(ABS(X43)&gt;=1E3,"KB","bytes")))))="",""," "&amp;(IF(ABS(X43)&gt;=1E12,"TB",IF(ABS(X43)&gt;=1E9,"GB",IF(ABS(X43)&gt;=1E6,"MB",IF(ABS(X43)&gt;=1E3,"KB","bytes"))))))</f>
        <v>135.538 MB</v>
      </c>
      <c r="H43" s="33" t="str">
        <f>TEXT(IF(ABS(Y43)&gt;=1E15,Y43/1E15,IF(ABS(Y43)&gt;=1E12,Y43/1E12,IF(ABS(Y43)&gt;=1E9,Y43/1E9,IF(ABS(Y43)&gt;=1E6,Y43/1E6,Y43)))),"#,##0.000")&amp;IF((IF(ABS(Y43)&gt;=1E15,"PFLOPs",IF(ABS(Y43)&gt;=1E12,"TFLOPs",IF(ABS(Y43)&gt;=1E9,"GFLOPs",IF(ABS(Y43)&gt;=1E6,"MFLOPs","flops")))))="",""," "&amp;(IF(ABS(Y43)&gt;=1E15,"PFLOPs",IF(ABS(Y43)&gt;=1E12,"TFLOPs",IF(ABS(Y43)&gt;=1E9,"GFLOPs",IF(ABS(Y43)&gt;=1E6,"MFLOPs","flops"))))))</f>
        <v>702.798 GFLOPs</v>
      </c>
      <c r="I43" s="33" t="str">
        <f>TEXT(IF(ABS(AB43)&gt;=1E12,AB43/1E12,IF(ABS(AB43)&gt;=1E9,AB43/1E9,IF(ABS(AB43)&gt;=1E6,AB43/1E6,IF(ABS(AB43)&gt;=1E3,AB43/1E3,AB43)))),"#,##0.000")&amp;IF((IF(ABS(AB43)&gt;=1E12,"TB",IF(ABS(AB43)&gt;=1E9,"GB",IF(ABS(AB43)&gt;=1E6,"MB",IF(ABS(AB43)&gt;=1E3,"KB","bytes")))))="",""," "&amp;(IF(ABS(AB43)&gt;=1E12,"TB",IF(ABS(AB43)&gt;=1E9,"GB",IF(ABS(AB43)&gt;=1E6,"MB",IF(ABS(AB43)&gt;=1E3,"KB","bytes"))))))</f>
        <v>0.000 B</v>
      </c>
      <c r="J43" s="4" t="s">
        <v>327</v>
      </c>
      <c r="K43" s="4" t="s">
        <v>328</v>
      </c>
      <c r="L43" s="4" t="s">
        <v>329</v>
      </c>
      <c r="U43" s="32">
        <f>(TotalLayers*2*(((2+HCSlots)*HCSlots)*HCSlots*HiddenSize+((2+HCSlots)*HCSlots)+3))*FP32Bytes+(HCSlots*HCSlots*HiddenSize+HCSlots+1)*FP32Bytes</f>
        <v>135537756</v>
      </c>
      <c r="V43" s="32">
        <f>TotalLayers*2*(2*PF_Rows*HCSlots*HiddenSize*((2+HCSlots)*HCSlots)+PF_Rows*(2*HCSlots*HiddenSize+1)+PF_Rows*HiddenSize*(2*HCSlots-1)+PF_Rows*HCSlots*HiddenSize*(2*HCSlots+1))+2*PF_Rows*HCSlots*HiddenSize*HCSlots+PF_Rows*(2*HCSlots*HiddenSize+1)+PF_Rows*HiddenSize*(2*HCSlots-1)</f>
        <v>702798290944</v>
      </c>
      <c r="W43" s="32">
        <f>(TotalLayers*2*((2+HCSlots)*HCSlots*HCSlots*HiddenSize*FP32Bytes+((2+HCSlots)*HCSlots+3)*FP32Bytes)+PF_Rows*TotalLayers*4*HCSlots*HiddenSize*BF16Bytes+(HCSlots*HCSlots*HiddenSize+HCSlots+1)*FP32Bytes+PF_Rows*HCSlots*HiddenSize*BF16Bytes)+(PF_Rows*TotalLayers*4*HCSlots*HiddenSize*BF16Bytes+PF_Rows*HiddenSize*BF16Bytes)</f>
        <v>92812878940.0</v>
      </c>
      <c r="X43" s="32">
        <f>(TotalLayers*2*(((2+HCSlots)*HCSlots)*HCSlots*HiddenSize+((2+HCSlots)*HCSlots)+3))*FP32Bytes+(HCSlots*HCSlots*HiddenSize+HCSlots+1)*FP32Bytes</f>
        <v>135537756</v>
      </c>
      <c r="Y43" s="32">
        <f>TotalLayers*2*(2*PF_Rows*HCSlots*HiddenSize*((2+HCSlots)*HCSlots)+PF_Rows*(2*HCSlots*HiddenSize+1)+PF_Rows*HiddenSize*(2*HCSlots-1)+PF_Rows*HCSlots*HiddenSize*(2*HCSlots+1))+2*PF_Rows*HCSlots*HiddenSize*HCSlots+PF_Rows*(2*HCSlots*HiddenSize+1)+PF_Rows*HiddenSize*(2*HCSlots-1)</f>
        <v>702798290944</v>
      </c>
      <c r="Z43" s="32">
        <f>(TotalLayers*2*((2+HCSlots)*HCSlots*HCSlots*HiddenSize*FP32Bytes+((2+HCSlots)*HCSlots+3)*FP32Bytes)+PF_Rows*TotalLayers*4*HCSlots*HiddenSize*BF16Bytes+(HCSlots*HCSlots*HiddenSize+HCSlots+1)*FP32Bytes+PF_Rows*HCSlots*HiddenSize*BF16Bytes)+(PF_Rows*TotalLayers*4*HCSlots*HiddenSize*BF16Bytes+PF_Rows*HiddenSize*BF16Bytes)</f>
        <v>92812878940.0</v>
      </c>
      <c r="AA43" s="32">
        <f>0</f>
        <v>0</v>
      </c>
      <c r="AB43" s="32">
        <f>0</f>
        <v>0</v>
      </c>
    </row>
    <row r="44" spans="1:50">
      <c r="A44" s="4" t="s">
        <v>249</v>
      </c>
      <c r="B44" s="4" t="s">
        <v>249</v>
      </c>
      <c r="C44" s="4" t="s">
        <v>330</v>
      </c>
      <c r="D44" s="33" t="str">
        <f>TEXT(IF(ABS(U44)&gt;=1E12,U44/1E12,IF(ABS(U44)&gt;=1E9,U44/1E9,IF(ABS(U44)&gt;=1E6,U44/1E6,IF(ABS(U44)&gt;=1E3,U44/1E3,U44)))),"#,##0.000")&amp;IF((IF(ABS(U44)&gt;=1E12,"TB",IF(ABS(U44)&gt;=1E9,"GB",IF(ABS(U44)&gt;=1E6,"MB",IF(ABS(U44)&gt;=1E3,"KB","bytes")))))="",""," "&amp;(IF(ABS(U44)&gt;=1E12,"TB",IF(ABS(U44)&gt;=1E9,"GB",IF(ABS(U44)&gt;=1E6,"MB",IF(ABS(U44)&gt;=1E3,"KB","bytes"))))))</f>
        <v>1.701 MB</v>
      </c>
      <c r="E44" s="33" t="str">
        <f>TEXT(IF(ABS(V44)&gt;=1E15,V44/1E15,IF(ABS(V44)&gt;=1E12,V44/1E12,IF(ABS(V44)&gt;=1E9,V44/1E9,IF(ABS(V44)&gt;=1E6,V44/1E6,V44)))),"#,##0.000")&amp;IF((IF(ABS(V44)&gt;=1E15,"PFLOPs",IF(ABS(V44)&gt;=1E12,"TFLOPs",IF(ABS(V44)&gt;=1E9,"GFLOPs",IF(ABS(V44)&gt;=1E6,"MFLOPs","flops")))))="",""," "&amp;(IF(ABS(V44)&gt;=1E15,"PFLOPs",IF(ABS(V44)&gt;=1E12,"TFLOPs",IF(ABS(V44)&gt;=1E9,"GFLOPs",IF(ABS(V44)&gt;=1E6,"MFLOPs","flops"))))))</f>
        <v>11.678 GFLOPs</v>
      </c>
      <c r="F44" s="33" t="str">
        <f>TEXT(IF(ABS(AA44)&gt;=1E12,AA44/1E12,IF(ABS(AA44)&gt;=1E9,AA44/1E9,IF(ABS(AA44)&gt;=1E6,AA44/1E6,IF(ABS(AA44)&gt;=1E3,AA44/1E3,AA44)))),"#,##0.000")&amp;IF((IF(ABS(AA44)&gt;=1E12,"TB",IF(ABS(AA44)&gt;=1E9,"GB",IF(ABS(AA44)&gt;=1E6,"MB",IF(ABS(AA44)&gt;=1E3,"KB","bytes")))))="",""," "&amp;(IF(ABS(AA44)&gt;=1E12,"TB",IF(ABS(AA44)&gt;=1E9,"GB",IF(ABS(AA44)&gt;=1E6,"MB",IF(ABS(AA44)&gt;=1E3,"KB","bytes"))))))</f>
        <v>0.000 B</v>
      </c>
      <c r="G44" s="33" t="str">
        <f>TEXT(IF(ABS(X44)&gt;=1E12,X44/1E12,IF(ABS(X44)&gt;=1E9,X44/1E9,IF(ABS(X44)&gt;=1E6,X44/1E6,IF(ABS(X44)&gt;=1E3,X44/1E3,X44)))),"#,##0.000")&amp;IF((IF(ABS(X44)&gt;=1E12,"TB",IF(ABS(X44)&gt;=1E9,"GB",IF(ABS(X44)&gt;=1E6,"MB",IF(ABS(X44)&gt;=1E3,"KB","bytes")))))="",""," "&amp;(IF(ABS(X44)&gt;=1E12,"TB",IF(ABS(X44)&gt;=1E9,"GB",IF(ABS(X44)&gt;=1E6,"MB",IF(ABS(X44)&gt;=1E3,"KB","bytes"))))))</f>
        <v>1.691 MB</v>
      </c>
      <c r="H44" s="33" t="str">
        <f>TEXT(IF(ABS(Y44)&gt;=1E15,Y44/1E15,IF(ABS(Y44)&gt;=1E12,Y44/1E12,IF(ABS(Y44)&gt;=1E9,Y44/1E9,IF(ABS(Y44)&gt;=1E6,Y44/1E6,Y44)))),"#,##0.000")&amp;IF((IF(ABS(Y44)&gt;=1E15,"PFLOPs",IF(ABS(Y44)&gt;=1E12,"TFLOPs",IF(ABS(Y44)&gt;=1E9,"GFLOPs",IF(ABS(Y44)&gt;=1E6,"MFLOPs","flops")))))="",""," "&amp;(IF(ABS(Y44)&gt;=1E15,"PFLOPs",IF(ABS(Y44)&gt;=1E12,"TFLOPs",IF(ABS(Y44)&gt;=1E9,"GFLOPs",IF(ABS(Y44)&gt;=1E6,"MFLOPs","flops"))))))</f>
        <v>11.678 GFLOPs</v>
      </c>
      <c r="I44" s="33" t="str">
        <f>TEXT(IF(ABS(AB44)&gt;=1E12,AB44/1E12,IF(ABS(AB44)&gt;=1E9,AB44/1E9,IF(ABS(AB44)&gt;=1E6,AB44/1E6,IF(ABS(AB44)&gt;=1E3,AB44/1E3,AB44)))),"#,##0.000")&amp;IF((IF(ABS(AB44)&gt;=1E12,"TB",IF(ABS(AB44)&gt;=1E9,"GB",IF(ABS(AB44)&gt;=1E6,"MB",IF(ABS(AB44)&gt;=1E3,"KB","bytes")))))="",""," "&amp;(IF(ABS(AB44)&gt;=1E12,"TB",IF(ABS(AB44)&gt;=1E9,"GB",IF(ABS(AB44)&gt;=1E6,"MB",IF(ABS(AB44)&gt;=1E3,"KB","bytes"))))))</f>
        <v>0.000 B</v>
      </c>
      <c r="J44" s="4" t="s">
        <v>331</v>
      </c>
      <c r="K44" s="4" t="s">
        <v>332</v>
      </c>
      <c r="L44" s="4" t="s">
        <v>333</v>
      </c>
      <c r="U44" s="32">
        <f>(TotalLayers*(2*HiddenSize+QLoraRank+HeadDim+TP1LocalHeads))*FP32Bytes+(HiddenSize)*FP32Bytes</f>
        <v>1700608</v>
      </c>
      <c r="V44" s="32">
        <f>PF_Rows*TotalLayers*2*(4*HiddenSize+1)+PF_Rows*(4*HiddenSize+1)</f>
        <v>11677655040</v>
      </c>
      <c r="W44" s="32">
        <f>(TotalLayers*(2*HiddenSize+QLoraRank+HeadDim+TP1LocalHeads)*FP32Bytes+HiddenSize*FP32Bytes+PF_Rows*TotalLayers*2*HiddenSize*BF16Bytes+PF_Rows*HiddenSize*BF16Bytes)+(PF_Rows*TotalLayers*2*HiddenSize*BF16Bytes+PF_Rows*HiddenSize*BF16Bytes)</f>
        <v>11678642944</v>
      </c>
      <c r="X44" s="32">
        <f>(TotalLayers*(2*HiddenSize+QLoraRank+HeadDim+TP8LocalHeads))*FP32Bytes+(HiddenSize)*FP32Bytes</f>
        <v>1690976</v>
      </c>
      <c r="Y44" s="32">
        <f>PF_Rows*TotalLayers*2*(4*HiddenSize+1)+PF_Rows*(4*HiddenSize+1)</f>
        <v>11677655040</v>
      </c>
      <c r="Z44" s="32">
        <f>(TotalLayers*(2*HiddenSize+QLoraRank+HeadDim+TP8LocalHeads)*FP32Bytes+HiddenSize*FP32Bytes+PF_Rows*TotalLayers*2*HiddenSize*BF16Bytes+PF_Rows*HiddenSize*BF16Bytes)+(PF_Rows*TotalLayers*2*HiddenSize*BF16Bytes+PF_Rows*HiddenSize*BF16Bytes)</f>
        <v>11678633312</v>
      </c>
      <c r="AA44" s="32">
        <f>0</f>
        <v>0</v>
      </c>
      <c r="AB44" s="32">
        <f>0</f>
        <v>0</v>
      </c>
    </row>
    <row r="45" spans="1:50">
      <c r="A45" s="4" t="s">
        <v>254</v>
      </c>
      <c r="B45" s="4" t="s">
        <v>254</v>
      </c>
      <c r="C45" s="4" t="s">
        <v>334</v>
      </c>
      <c r="D45" s="33" t="str">
        <f>TEXT(IF(ABS(U45)&gt;=1E12,U45/1E12,IF(ABS(U45)&gt;=1E9,U45/1E9,IF(ABS(U45)&gt;=1E6,U45/1E6,IF(ABS(U45)&gt;=1E3,U45/1E3,U45)))),"#,##0.000")&amp;IF((IF(ABS(U45)&gt;=1E12,"TB",IF(ABS(U45)&gt;=1E9,"GB",IF(ABS(U45)&gt;=1E6,"MB",IF(ABS(U45)&gt;=1E3,"KB","bytes")))))="",""," "&amp;(IF(ABS(U45)&gt;=1E12,"TB",IF(ABS(U45)&gt;=1E9,"GB",IF(ABS(U45)&gt;=1E6,"MB",IF(ABS(U45)&gt;=1E3,"KB","bytes"))))))</f>
        <v>0.000 B</v>
      </c>
      <c r="E45" s="33" t="str">
        <f>TEXT(IF(ABS(V45)&gt;=1E15,V45/1E15,IF(ABS(V45)&gt;=1E12,V45/1E12,IF(ABS(V45)&gt;=1E9,V45/1E9,IF(ABS(V45)&gt;=1E6,V45/1E6,V45)))),"#,##0.000")&amp;IF((IF(ABS(V45)&gt;=1E15,"PFLOPs",IF(ABS(V45)&gt;=1E12,"TFLOPs",IF(ABS(V45)&gt;=1E9,"GFLOPs",IF(ABS(V45)&gt;=1E6,"MFLOPs","flops")))))="",""," "&amp;(IF(ABS(V45)&gt;=1E15,"PFLOPs",IF(ABS(V45)&gt;=1E12,"TFLOPs",IF(ABS(V45)&gt;=1E9,"GFLOPs",IF(ABS(V45)&gt;=1E6,"MFLOPs","flops"))))))</f>
        <v>0.000 FLOPs</v>
      </c>
      <c r="F45" s="33" t="str">
        <f>TEXT(IF(ABS(AA45)&gt;=1E12,AA45/1E12,IF(ABS(AA45)&gt;=1E9,AA45/1E9,IF(ABS(AA45)&gt;=1E6,AA45/1E6,IF(ABS(AA45)&gt;=1E3,AA45/1E3,AA45)))),"#,##0.000")&amp;IF((IF(ABS(AA45)&gt;=1E12,"TB",IF(ABS(AA45)&gt;=1E9,"GB",IF(ABS(AA45)&gt;=1E6,"MB",IF(ABS(AA45)&gt;=1E3,"KB","bytes")))))="",""," "&amp;(IF(ABS(AA45)&gt;=1E12,"TB",IF(ABS(AA45)&gt;=1E9,"GB",IF(ABS(AA45)&gt;=1E6,"MB",IF(ABS(AA45)&gt;=1E3,"KB","bytes"))))))</f>
        <v>0.000 B</v>
      </c>
      <c r="G45" s="33" t="str">
        <f>TEXT(IF(ABS(X45)&gt;=1E12,X45/1E12,IF(ABS(X45)&gt;=1E9,X45/1E9,IF(ABS(X45)&gt;=1E6,X45/1E6,IF(ABS(X45)&gt;=1E3,X45/1E3,X45)))),"#,##0.000")&amp;IF((IF(ABS(X45)&gt;=1E12,"TB",IF(ABS(X45)&gt;=1E9,"GB",IF(ABS(X45)&gt;=1E6,"MB",IF(ABS(X45)&gt;=1E3,"KB","bytes")))))="",""," "&amp;(IF(ABS(X45)&gt;=1E12,"TB",IF(ABS(X45)&gt;=1E9,"GB",IF(ABS(X45)&gt;=1E6,"MB",IF(ABS(X45)&gt;=1E3,"KB","bytes"))))))</f>
        <v>0.000 B</v>
      </c>
      <c r="H45" s="33" t="str">
        <f>TEXT(IF(ABS(Y45)&gt;=1E15,Y45/1E15,IF(ABS(Y45)&gt;=1E12,Y45/1E12,IF(ABS(Y45)&gt;=1E9,Y45/1E9,IF(ABS(Y45)&gt;=1E6,Y45/1E6,Y45)))),"#,##0.000")&amp;IF((IF(ABS(Y45)&gt;=1E15,"PFLOPs",IF(ABS(Y45)&gt;=1E12,"TFLOPs",IF(ABS(Y45)&gt;=1E9,"GFLOPs",IF(ABS(Y45)&gt;=1E6,"MFLOPs","flops")))))="",""," "&amp;(IF(ABS(Y45)&gt;=1E15,"PFLOPs",IF(ABS(Y45)&gt;=1E12,"TFLOPs",IF(ABS(Y45)&gt;=1E9,"GFLOPs",IF(ABS(Y45)&gt;=1E6,"MFLOPs","flops"))))))</f>
        <v>0.000 FLOPs</v>
      </c>
      <c r="I45" s="33" t="str">
        <f>TEXT(IF(ABS(AB45)&gt;=1E12,AB45/1E12,IF(ABS(AB45)&gt;=1E9,AB45/1E9,IF(ABS(AB45)&gt;=1E6,AB45/1E6,IF(ABS(AB45)&gt;=1E3,AB45/1E3,AB45)))),"#,##0.000")&amp;IF((IF(ABS(AB45)&gt;=1E12,"TB",IF(ABS(AB45)&gt;=1E9,"GB",IF(ABS(AB45)&gt;=1E6,"MB",IF(ABS(AB45)&gt;=1E3,"KB","bytes")))))="",""," "&amp;(IF(ABS(AB45)&gt;=1E12,"TB",IF(ABS(AB45)&gt;=1E9,"GB",IF(ABS(AB45)&gt;=1E6,"MB",IF(ABS(AB45)&gt;=1E3,"KB","bytes"))))))</f>
        <v>0.000 B</v>
      </c>
      <c r="J45" s="4" t="s">
        <v>256</v>
      </c>
      <c r="K45" s="4" t="s">
        <v>257</v>
      </c>
      <c r="L45" s="4" t="s">
        <v>335</v>
      </c>
      <c r="U45" s="32">
        <f>0</f>
        <v>0</v>
      </c>
      <c r="V45" s="32">
        <f>0</f>
        <v>0</v>
      </c>
      <c r="W45" s="32">
        <f>(0)+(0)</f>
        <v>0</v>
      </c>
      <c r="X45" s="32">
        <f>0</f>
        <v>0</v>
      </c>
      <c r="Y45" s="32">
        <f>0</f>
        <v>0</v>
      </c>
      <c r="Z45" s="32">
        <f>(0)+(0)</f>
        <v>0</v>
      </c>
      <c r="AA45" s="32">
        <f>0</f>
        <v>0</v>
      </c>
      <c r="AB45" s="32">
        <f>0</f>
        <v>0</v>
      </c>
    </row>
    <row r="46" spans="1:50">
      <c r="A46" s="4" t="s">
        <v>245</v>
      </c>
      <c r="B46" s="4" t="s">
        <v>245</v>
      </c>
      <c r="C46" s="4" t="s">
        <v>336</v>
      </c>
      <c r="D46" s="33" t="str">
        <f>TEXT(IF(ABS(U46)&gt;=1E12,U46/1E12,IF(ABS(U46)&gt;=1E9,U46/1E9,IF(ABS(U46)&gt;=1E6,U46/1E6,IF(ABS(U46)&gt;=1E3,U46/1E3,U46)))),"#,##0.000")&amp;IF((IF(ABS(U46)&gt;=1E12,"TB",IF(ABS(U46)&gt;=1E9,"GB",IF(ABS(U46)&gt;=1E6,"MB",IF(ABS(U46)&gt;=1E3,"KB","bytes")))))="",""," "&amp;(IF(ABS(U46)&gt;=1E12,"TB",IF(ABS(U46)&gt;=1E9,"GB",IF(ABS(U46)&gt;=1E6,"MB",IF(ABS(U46)&gt;=1E3,"KB","bytes"))))))</f>
        <v>2.118 GB</v>
      </c>
      <c r="E46" s="33" t="str">
        <f>TEXT(IF(ABS(V46)&gt;=1E15,V46/1E15,IF(ABS(V46)&gt;=1E12,V46/1E12,IF(ABS(V46)&gt;=1E9,V46/1E9,IF(ABS(V46)&gt;=1E6,V46/1E6,V46)))),"#,##0.000")&amp;IF((IF(ABS(V46)&gt;=1E15,"PFLOPs",IF(ABS(V46)&gt;=1E12,"TFLOPs",IF(ABS(V46)&gt;=1E9,"GFLOPs",IF(ABS(V46)&gt;=1E6,"MFLOPs","flops")))))="",""," "&amp;(IF(ABS(V46)&gt;=1E15,"PFLOPs",IF(ABS(V46)&gt;=1E12,"TFLOPs",IF(ABS(V46)&gt;=1E9,"GFLOPs",IF(ABS(V46)&gt;=1E6,"MFLOPs","flops"))))))</f>
        <v>1.059 GFLOPs</v>
      </c>
      <c r="F46" s="33" t="str">
        <f>TEXT(IF(ABS(AA46)&gt;=1E12,AA46/1E12,IF(ABS(AA46)&gt;=1E9,AA46/1E9,IF(ABS(AA46)&gt;=1E6,AA46/1E6,IF(ABS(AA46)&gt;=1E3,AA46/1E3,AA46)))),"#,##0.000")&amp;IF((IF(ABS(AA46)&gt;=1E12,"TB",IF(ABS(AA46)&gt;=1E9,"GB",IF(ABS(AA46)&gt;=1E6,"MB",IF(ABS(AA46)&gt;=1E3,"KB","bytes")))))="",""," "&amp;(IF(ABS(AA46)&gt;=1E12,"TB",IF(ABS(AA46)&gt;=1E9,"GB",IF(ABS(AA46)&gt;=1E6,"MB",IF(ABS(AA46)&gt;=1E3,"KB","bytes"))))))</f>
        <v>0.000 B</v>
      </c>
      <c r="G46" s="33" t="str">
        <f>TEXT(IF(ABS(X46)&gt;=1E12,X46/1E12,IF(ABS(X46)&gt;=1E9,X46/1E9,IF(ABS(X46)&gt;=1E6,X46/1E6,IF(ABS(X46)&gt;=1E3,X46/1E3,X46)))),"#,##0.000")&amp;IF((IF(ABS(X46)&gt;=1E12,"TB",IF(ABS(X46)&gt;=1E9,"GB",IF(ABS(X46)&gt;=1E6,"MB",IF(ABS(X46)&gt;=1E3,"KB","bytes")))))="",""," "&amp;(IF(ABS(X46)&gt;=1E12,"TB",IF(ABS(X46)&gt;=1E9,"GB",IF(ABS(X46)&gt;=1E6,"MB",IF(ABS(X46)&gt;=1E3,"KB","bytes"))))))</f>
        <v>264.765 MB</v>
      </c>
      <c r="H46" s="33" t="str">
        <f>TEXT(IF(ABS(Y46)&gt;=1E15,Y46/1E15,IF(ABS(Y46)&gt;=1E12,Y46/1E12,IF(ABS(Y46)&gt;=1E9,Y46/1E9,IF(ABS(Y46)&gt;=1E6,Y46/1E6,Y46)))),"#,##0.000")&amp;IF((IF(ABS(Y46)&gt;=1E15,"PFLOPs",IF(ABS(Y46)&gt;=1E12,"TFLOPs",IF(ABS(Y46)&gt;=1E9,"GFLOPs",IF(ABS(Y46)&gt;=1E6,"MFLOPs","flops")))))="",""," "&amp;(IF(ABS(Y46)&gt;=1E15,"PFLOPs",IF(ABS(Y46)&gt;=1E12,"TFLOPs",IF(ABS(Y46)&gt;=1E9,"GFLOPs",IF(ABS(Y46)&gt;=1E6,"MFLOPs","flops"))))))</f>
        <v>132.383 MFLOPs</v>
      </c>
      <c r="I46" s="33" t="str">
        <f>TEXT(IF(ABS(AB46)&gt;=1E12,AB46/1E12,IF(ABS(AB46)&gt;=1E9,AB46/1E9,IF(ABS(AB46)&gt;=1E6,AB46/1E6,IF(ABS(AB46)&gt;=1E3,AB46/1E3,AB46)))),"#,##0.000")&amp;IF((IF(ABS(AB46)&gt;=1E12,"TB",IF(ABS(AB46)&gt;=1E9,"GB",IF(ABS(AB46)&gt;=1E6,"MB",IF(ABS(AB46)&gt;=1E3,"KB","bytes")))))="",""," "&amp;(IF(ABS(AB46)&gt;=1E12,"TB",IF(ABS(AB46)&gt;=1E9,"GB",IF(ABS(AB46)&gt;=1E6,"MB",IF(ABS(AB46)&gt;=1E3,"KB","bytes"))))))</f>
        <v>904.960 KB</v>
      </c>
      <c r="J46" s="4" t="s">
        <v>337</v>
      </c>
      <c r="K46" s="4" t="s">
        <v>248</v>
      </c>
      <c r="L46" s="4" t="s">
        <v>338</v>
      </c>
      <c r="U46" s="32">
        <f>TP1LocalVocab*HiddenSize*FP32Bytes</f>
        <v>2118123520.0</v>
      </c>
      <c r="V46" s="32">
        <f>2*PrefillBatch*HiddenSize*TP1LocalVocab</f>
        <v>1059061760.0</v>
      </c>
      <c r="W46" s="32">
        <f>(TP1LocalVocab*HiddenSize*FP32Bytes+PrefillBatch*HiddenSize*FP32Bytes)+(PrefillBatch*TP1LocalVocab*FP32Bytes)</f>
        <v>2118657024.0</v>
      </c>
      <c r="X46" s="32">
        <f>TP8LocalVocab*HiddenSize*FP32Bytes</f>
        <v>264765440.0</v>
      </c>
      <c r="Y46" s="32">
        <f>2*PrefillBatch*HiddenSize*TP8LocalVocab</f>
        <v>132382720.0</v>
      </c>
      <c r="Z46" s="32">
        <f>(TP8LocalVocab*HiddenSize*FP32Bytes+PrefillBatch*HiddenSize*FP32Bytes)+(PrefillBatch*TP8LocalVocab*FP32Bytes)</f>
        <v>264846464.0</v>
      </c>
      <c r="AA46" s="32">
        <f>2*(TP1Size-1)*PrefillBatch*TP1LocalVocab*FP32Bytes</f>
        <v>0.0</v>
      </c>
      <c r="AB46" s="32">
        <f>2*(TP8Size-1)*PrefillBatch*TP8LocalVocab*FP32Bytes</f>
        <v>904960.0</v>
      </c>
    </row>
    <row r="48" spans="1:50" hidden="1">
      <c r="AO48" s="32">
        <f>(0)+(TotalLayers*2*(2*PF_Rows*HCSlots*HiddenSize*((2+HCSlots)*HCSlots)+PF_Rows*(2*HCSlots*HiddenSize+1)+PF_Rows*HiddenSize*(2*HCSlots-1)+PF_Rows*HCSlots*HiddenSize*(2*HCSlots+1))+2*PF_Rows*HCSlots*HiddenSize*HCSlots+PF_Rows*(2*HCSlots*HiddenSize+1)+PF_Rows*HiddenSize*(2*HCSlots-1))+(PF_Rows*TotalLayers*2*(4*HiddenSize+1)+PF_Rows*(4*HiddenSize+1))+(0)+(2*PrefillBatch*HiddenSize*TP1LocalVocab)</f>
        <v>715535007744.0</v>
      </c>
      <c r="AP48" s="32">
        <f>(0)+(TotalLayers*2*(2*PF_Rows*HCSlots*HiddenSize*((2+HCSlots)*HCSlots)+PF_Rows*(2*HCSlots*HiddenSize+1)+PF_Rows*HiddenSize*(2*HCSlots-1)+PF_Rows*HCSlots*HiddenSize*(2*HCSlots+1))+2*PF_Rows*HCSlots*HiddenSize*HCSlots+PF_Rows*(2*HCSlots*HiddenSize+1)+PF_Rows*HiddenSize*(2*HCSlots-1))+(PF_Rows*TotalLayers*2*(4*HiddenSize+1)+PF_Rows*(4*HiddenSize+1))+(0)+(2*PrefillBatch*HiddenSize*TP8LocalVocab)</f>
        <v>714608328704.0</v>
      </c>
      <c r="AQ48" s="32">
        <f>((PF_Rows*HiddenSize*BF16Bytes)+(PF_Rows*HiddenSize*BF16Bytes))+((TotalLayers*2*((2+HCSlots)*HCSlots*HCSlots*HiddenSize*FP32Bytes+((2+HCSlots)*HCSlots+3)*FP32Bytes)+PF_Rows*TotalLayers*4*HCSlots*HiddenSize*BF16Bytes+(HCSlots*HCSlots*HiddenSize+HCSlots+1)*FP32Bytes+PF_Rows*HCSlots*HiddenSize*BF16Bytes)+(PF_Rows*TotalLayers*4*HCSlots*HiddenSize*BF16Bytes+PF_Rows*HiddenSize*BF16Bytes))+((TotalLayers*(2*HiddenSize+QLoraRank+HeadDim+TP1LocalHeads)*FP32Bytes+HiddenSize*FP32Bytes+PF_Rows*TotalLayers*2*HiddenSize*BF16Bytes+PF_Rows*HiddenSize*BF16Bytes)+(PF_Rows*TotalLayers*2*HiddenSize*BF16Bytes+PF_Rows*HiddenSize*BF16Bytes))+((0)+(0))+((TP1LocalVocab*HiddenSize*FP32Bytes+PrefillBatch*HiddenSize*FP32Bytes)+(PrefillBatch*TP1LocalVocab*FP32Bytes))</f>
        <v>106744396636.0</v>
      </c>
      <c r="AR48" s="32">
        <f>((PF_Rows*HiddenSize*BF16Bytes)+(PF_Rows*HiddenSize*BF16Bytes))+((TotalLayers*2*((2+HCSlots)*HCSlots*HCSlots*HiddenSize*FP32Bytes+((2+HCSlots)*HCSlots+3)*FP32Bytes)+PF_Rows*TotalLayers*4*HCSlots*HiddenSize*BF16Bytes+(HCSlots*HCSlots*HiddenSize+HCSlots+1)*FP32Bytes+PF_Rows*HCSlots*HiddenSize*BF16Bytes)+(PF_Rows*TotalLayers*4*HCSlots*HiddenSize*BF16Bytes+PF_Rows*HiddenSize*BF16Bytes))+((TotalLayers*(2*HiddenSize+QLoraRank+HeadDim+TP8LocalHeads)*FP32Bytes+HiddenSize*FP32Bytes+PF_Rows*TotalLayers*2*HiddenSize*BF16Bytes+PF_Rows*HiddenSize*BF16Bytes)+(PF_Rows*TotalLayers*2*HiddenSize*BF16Bytes+PF_Rows*HiddenSize*BF16Bytes))+((0)+(0))+((TP8LocalVocab*HiddenSize*FP32Bytes+PrefillBatch*HiddenSize*FP32Bytes)+(PrefillBatch*TP8LocalVocab*FP32Bytes))</f>
        <v>104890576444.0</v>
      </c>
      <c r="AS48" s="32">
        <f>(4*(TP1Size-1)/TP1Size*PF_Rows*HiddenSize*BF16Bytes)+(0)+(0)+(0)+(0)+(0)+(0)+(0)+(0)+(0)+(0)+(0)+(0)+(0)+(0)+(0)+(2*(TP1Size-1)*PrefillBatch*TP1LocalVocab*FP32Bytes)+(4*(TP1Size-1)/TP1Size*PF_Rows*HiddenSize*FP32Bytes*TotalLayers)+(4*(TP1Size-1)/TP1Size*PF_Rows*HiddenSize*FP32Bytes*TotalLayers)</f>
        <v>0.0</v>
      </c>
      <c r="AT48" s="32">
        <f>(4*(TP8Size-1)/TP8Size*PF_Rows*HiddenSize*BF16Bytes)+(0)+(0)+(0)+(0)+(0)+(0)+(0)+(0)+(0)+(0)+(0)+(0)+(0)+(0)+(0)+(2*(TP8Size-1)*PrefillBatch*TP8LocalVocab*FP32Bytes)+(4*(TP8Size-1)/TP8Size*PF_Rows*HiddenSize*FP32Bytes*TotalLayers)+(4*(TP8Size-1)/TP8Size*PF_Rows*HiddenSize*FP32Bytes*TotalLayers)</f>
        <v>40635322112.0</v>
      </c>
      <c r="AU48" s="32">
        <f>'Prefill_8K'!$AF$13/'Prefill_8K'!$AG$13</f>
        <v>347.75853858634815</v>
      </c>
      <c r="AV48" s="32">
        <f>'Prefill_8K'!$AI$13/'Prefill_8K'!$AJ$13</f>
        <v>150.68199584276348</v>
      </c>
      <c r="AW48" s="32">
        <f>'Prefill_8K'!$AG$13/(PrefillTargetMs/1000)/1E9</f>
        <v>656.770882012</v>
      </c>
      <c r="AX48" s="32">
        <f>'Prefill_8K'!$AJ$13/(PrefillTargetMs/1000)/1E9</f>
        <v>369.33788006</v>
      </c>
    </row>
    <row r="49" spans="51:54" hidden="1">
      <c r="AY49" s="32">
        <f>(TotalLayers*(HiddenSize*QLoraRank+QLoraRank*TP1LocalHeads*HeadDim+HiddenSize*HeadDim+TP1LocalHeads*HeadDim*OLoraRank+TP1LocalOGroups*OLoraRank*HiddenSize))+(ShortLayers*(2*HiddenSize*(2*HeadDim)+ShortRatio*2*HeadDim+HeadDim))+(LongLayers*(2*HiddenSize*HeadDim+LongRatio*HeadDim+HeadDim))+(ShortLayers*(QLoraRank*TP1LocalIndexHeads*IndexHeadDim+HiddenSize*TP1LocalIndexHeads))+(ShortLayers*(2*HiddenSize*(2*IndexHeadDim)+ShortRatio*2*IndexHeadDim+IndexHeadDim))</f>
        <v>5086249088.0</v>
      </c>
      <c r="AZ49" s="32">
        <f>(TotalLayers*(HiddenSize*QLoraRank+QLoraRank*TP8LocalHeads*HeadDim+HiddenSize*HeadDim+TP8LocalHeads*HeadDim*OLoraRank+TP8LocalOGroups*OLoraRank*HiddenSize))+(ShortLayers*(2*HiddenSize*(2*HeadDim)+ShortRatio*2*HeadDim+HeadDim))+(LongLayers*(2*HiddenSize*HeadDim+LongRatio*HeadDim+HeadDim))+(ShortLayers*(QLoraRank*TP8LocalIndexHeads*IndexHeadDim+HiddenSize*TP8LocalIndexHeads))+(ShortLayers*(2*HiddenSize*(2*IndexHeadDim)+ShortRatio*2*IndexHeadDim+IndexHeadDim))</f>
        <v>1139835008.0</v>
      </c>
      <c r="BA49" s="32">
        <f>(TotalLayers*(((HiddenSize)*(QLoraRank)*FP8Bytes+ROUNDUP((HiddenSize)/FP8Block,0)*ROUNDUP((QLoraRank)/FP8Block,0)*ScaleBytes)+((QLoraRank)*(TP1LocalHeads*HeadDim)*FP8Bytes+ROUNDUP((QLoraRank)/FP8Block,0)*ROUNDUP((TP1LocalHeads*HeadDim)/FP8Block,0)*ScaleBytes)+((HiddenSize)*(HeadDim)*FP8Bytes+ROUNDUP((HiddenSize)/FP8Block,0)*ROUNDUP((HeadDim)/FP8Block,0)*ScaleBytes)+TP1LocalHeads*HeadDim*OLoraRank*BF16Bytes+((TP1LocalOGroups*OLoraRank)*(HiddenSize)*FP8Bytes+ROUNDUP((TP1LocalOGroups*OLoraRank)/FP8Block,0)*ROUNDUP((HiddenSize)/FP8Block,0)*ScaleBytes)))+(ShortLayers*(2*HiddenSize*(2*HeadDim)*FP32Bytes+ShortRatio*2*HeadDim*FP32Bytes+HeadDim*FP32Bytes))+(LongLayers*(2*HiddenSize*HeadDim*FP32Bytes+LongRatio*HeadDim*FP32Bytes+HeadDim*FP32Bytes))+(ShortLayers*(((QLoraRank)*(TP1LocalIndexHeads*IndexHeadDim)*FP8Bytes+ROUNDUP((QLoraRank)/FP8Block,0)*ROUNDUP((TP1LocalIndexHeads*IndexHeadDim)/FP8Block,0)*ScaleBytes)+HiddenSize*TP1LocalIndexHeads*BF16Bytes))+(ShortLayers*(2*HiddenSize*(2*IndexHeadDim)*FP32Bytes+ShortRatio*2*IndexHeadDim*FP32Bytes+IndexHeadDim*FP32Bytes))</f>
        <v>7451384960</v>
      </c>
      <c r="BB49" s="32">
        <f>(TotalLayers*(((HiddenSize)*(QLoraRank)*FP8Bytes+ROUNDUP((HiddenSize)/FP8Block,0)*ROUNDUP((QLoraRank)/FP8Block,0)*ScaleBytes)+((QLoraRank)*(TP8LocalHeads*HeadDim)*FP8Bytes+ROUNDUP((QLoraRank)/FP8Block,0)*ROUNDUP((TP8LocalHeads*HeadDim)/FP8Block,0)*ScaleBytes)+((HiddenSize)*(HeadDim)*FP8Bytes+ROUNDUP((HiddenSize)/FP8Block,0)*ROUNDUP((HeadDim)/FP8Block,0)*ScaleBytes)+TP8LocalHeads*HeadDim*OLoraRank*BF16Bytes+((TP8LocalOGroups*OLoraRank)*(HiddenSize)*FP8Bytes+ROUNDUP((TP8LocalOGroups*OLoraRank)/FP8Block,0)*ROUNDUP((HiddenSize)/FP8Block,0)*ScaleBytes)))+(ShortLayers*(2*HiddenSize*(2*HeadDim)*FP32Bytes+ShortRatio*2*HeadDim*FP32Bytes+HeadDim*FP32Bytes))+(LongLayers*(2*HiddenSize*HeadDim*FP32Bytes+LongRatio*HeadDim*FP32Bytes+HeadDim*FP32Bytes))+(ShortLayers*(((QLoraRank)*(TP8LocalIndexHeads*IndexHeadDim)*FP8Bytes+ROUNDUP((QLoraRank)/FP8Block,0)*ROUNDUP((TP8LocalIndexHeads*IndexHeadDim)/FP8Block,0)*ScaleBytes)+HiddenSize*TP8LocalIndexHeads*BF16Bytes))+(ShortLayers*(2*HiddenSize*(2*IndexHeadDim)*FP32Bytes+ShortRatio*2*IndexHeadDim*FP32Bytes+IndexHeadDim*FP32Bytes))</f>
        <v>2237504960</v>
      </c>
    </row>
    <row r="50" spans="51:54">
      <c r="AY50" s="32">
        <f>(TotalLayers*TP1LocalExperts*3*HiddenSize*ExpertInter)+(TotalLayers*SharedExperts*3*HiddenSize*ExpertInter)+(TotalLayers*RoutedExperts*HiddenSize+(TotalLayers-ActiveHashLayers)*RoutedExperts+ActiveHashLayers*VocabSize*ActivatedExperts)</f>
        <v>278154947072.0</v>
      </c>
      <c r="AZ50" s="32">
        <f>(TotalLayers*TP8LocalExperts*3*HiddenSize*ExpertInter)+(TotalLayers*SharedExperts*3*HiddenSize*ExpertInter)+(TotalLayers*RoutedExperts*HiddenSize+(TotalLayers-ActiveHashLayers)*RoutedExperts+ActiveHashLayers*VocabSize*ActivatedExperts)</f>
        <v>35757730304.0</v>
      </c>
      <c r="BA50" s="32">
        <f>(TotalLayers*TP1LocalExperts*(3*HiddenSize*ExpertInter*FP4Bytes+3*HiddenSize*ExpertInter/FP4Block*ScaleBytes))+(TotalLayers*SharedExperts*(2*((HiddenSize)*(ExpertInter)*FP8Bytes+ROUNDUP((HiddenSize)/FP8Block,0)*ROUNDUP((ExpertInter)/FP8Block,0)*ScaleBytes)+((ExpertInter)*(HiddenSize)*FP8Bytes+ROUNDUP((ExpertInter)/FP8Block,0)*ROUNDUP((HiddenSize)/FP8Block,0)*ScaleBytes)))+(TotalLayers*RoutedExperts*HiddenSize*BF16Bytes+(TotalLayers-ActiveHashLayers)*RoutedExperts*FP32Bytes+ActiveHashLayers*VocabSize*ActivatedExperts*INT32Bytes)</f>
        <v>148351461888.0</v>
      </c>
      <c r="BB50" s="32">
        <f>(TotalLayers*TP8LocalExperts*(3*HiddenSize*ExpertInter*FP4Bytes+3*HiddenSize*ExpertInter/FP4Block*ScaleBytes))+(TotalLayers*SharedExperts*(2*((HiddenSize)*(ExpertInter)*FP8Bytes+ROUNDUP((HiddenSize)/FP8Block,0)*ROUNDUP((ExpertInter)/FP8Block,0)*ScaleBytes)+((ExpertInter)*(HiddenSize)*FP8Bytes+ROUNDUP((ExpertInter)/FP8Block,0)*ROUNDUP((HiddenSize)/FP8Block,0)*ScaleBytes)))+(TotalLayers*RoutedExperts*HiddenSize*BF16Bytes+(TotalLayers-ActiveHashLayers)*RoutedExperts*FP32Bytes+ActiveHashLayers*VocabSize*ActivatedExperts*INT32Bytes)</f>
        <v>19577940480.0</v>
      </c>
    </row>
    <row r="51" spans="51:54">
      <c r="AY51" s="32">
        <f>(TP1LocalVocab*HiddenSize)+(TP1LocalVocab*HiddenSize)+(TotalLayers*2*(((2+HCSlots)*HCSlots)*HCSlots*HiddenSize+((2+HCSlots)*HCSlots)+3))+(TotalLayers*(2*HiddenSize+QLoraRank+HeadDim+TP1LocalHeads))+(HCSlots*HCSlots*HiddenSize+HCSlots+1)+(HiddenSize)</f>
        <v>1093371351.0</v>
      </c>
      <c r="AZ51" s="32">
        <f>(TP8LocalVocab*HiddenSize)+(TP8LocalVocab*HiddenSize)+(TotalLayers*2*(((2+HCSlots)*HCSlots)*HCSlots*HiddenSize+((2+HCSlots)*HCSlots)+3))+(TotalLayers*(2*HiddenSize+QLoraRank+HeadDim+TP8LocalHeads))+(HCSlots*HCSlots*HiddenSize+HCSlots+1)+(HiddenSize)</f>
        <v>166689903.0</v>
      </c>
      <c r="BA51" s="32">
        <f>(TP1LocalVocab*HiddenSize*BF16Bytes)+(TP1LocalVocab*HiddenSize*FP32Bytes)+((TotalLayers*2*(((2+HCSlots)*HCSlots)*HCSlots*HiddenSize+((2+HCSlots)*HCSlots)+3))*FP32Bytes)+((TotalLayers*(2*HiddenSize+QLoraRank+HeadDim+TP1LocalHeads))*FP32Bytes)+((HCSlots*HCSlots*HiddenSize+HCSlots+1)*FP32Bytes)+((HiddenSize)*FP32Bytes)</f>
        <v>3314423644.0</v>
      </c>
      <c r="BB51" s="32">
        <f>(TP8LocalVocab*HiddenSize*BF16Bytes)+(TP8LocalVocab*HiddenSize*FP32Bytes)+((TotalLayers*2*(((2+HCSlots)*HCSlots)*HCSlots*HiddenSize+((2+HCSlots)*HCSlots)+3))*FP32Bytes)+((TotalLayers*(2*HiddenSize+QLoraRank+HeadDim+TP8LocalHeads))*FP32Bytes)+((HCSlots*HCSlots*HiddenSize+HCSlots+1)*FP32Bytes)+((HiddenSize)*FP32Bytes)</f>
        <v>534376892.0</v>
      </c>
    </row>
    <row r="52" spans="51:54">
      <c r="AY52" s="32">
        <f>(TotalLayers*(HiddenSize*QLoraRank+QLoraRank*TP1LocalHeads*HeadDim+HiddenSize*HeadDim+TP1LocalHeads*HeadDim*OLoraRank+TP1LocalOGroups*OLoraRank*HiddenSize))+(ShortLayers*(2*HiddenSize*(2*HeadDim)+ShortRatio*2*HeadDim+HeadDim))+(LongLayers*(2*HiddenSize*HeadDim+LongRatio*HeadDim+HeadDim))+(ShortLayers*(QLoraRank*TP1LocalIndexHeads*IndexHeadDim+HiddenSize*TP1LocalIndexHeads))+(ShortLayers*(2*HiddenSize*(2*IndexHeadDim)+ShortRatio*2*IndexHeadDim+IndexHeadDim))+(TotalLayers*TP1LocalExperts*3*HiddenSize*ExpertInter)+(TotalLayers*SharedExperts*3*HiddenSize*ExpertInter)+(TotalLayers*RoutedExperts*HiddenSize+(TotalLayers-ActiveHashLayers)*RoutedExperts+ActiveHashLayers*VocabSize*ActivatedExperts)+(TP1LocalVocab*HiddenSize)+(TP1LocalVocab*HiddenSize)+(TotalLayers*2*(((2+HCSlots)*HCSlots)*HCSlots*HiddenSize+((2+HCSlots)*HCSlots)+3))+(TotalLayers*(2*HiddenSize+QLoraRank+HeadDim+TP1LocalHeads))+(HCSlots*HCSlots*HiddenSize+HCSlots+1)+(HiddenSize)</f>
        <v>284334567511.0</v>
      </c>
      <c r="AZ52" s="32">
        <f>(TotalLayers*(HiddenSize*QLoraRank+QLoraRank*TP8LocalHeads*HeadDim+HiddenSize*HeadDim+TP8LocalHeads*HeadDim*OLoraRank+TP8LocalOGroups*OLoraRank*HiddenSize))+(ShortLayers*(2*HiddenSize*(2*HeadDim)+ShortRatio*2*HeadDim+HeadDim))+(LongLayers*(2*HiddenSize*HeadDim+LongRatio*HeadDim+HeadDim))+(ShortLayers*(QLoraRank*TP8LocalIndexHeads*IndexHeadDim+HiddenSize*TP8LocalIndexHeads))+(ShortLayers*(2*HiddenSize*(2*IndexHeadDim)+ShortRatio*2*IndexHeadDim+IndexHeadDim))+(TotalLayers*TP8LocalExperts*3*HiddenSize*ExpertInter)+(TotalLayers*SharedExperts*3*HiddenSize*ExpertInter)+(TotalLayers*RoutedExperts*HiddenSize+(TotalLayers-ActiveHashLayers)*RoutedExperts+ActiveHashLayers*VocabSize*ActivatedExperts)+(TP8LocalVocab*HiddenSize)+(TP8LocalVocab*HiddenSize)+(TotalLayers*2*(((2+HCSlots)*HCSlots)*HCSlots*HiddenSize+((2+HCSlots)*HCSlots)+3))+(TotalLayers*(2*HiddenSize+QLoraRank+HeadDim+TP8LocalHeads))+(HCSlots*HCSlots*HiddenSize+HCSlots+1)+(HiddenSize)</f>
        <v>37064255215.0</v>
      </c>
      <c r="BA52" s="32">
        <f>(TotalLayers*(((HiddenSize)*(QLoraRank)*FP8Bytes+ROUNDUP((HiddenSize)/FP8Block,0)*ROUNDUP((QLoraRank)/FP8Block,0)*ScaleBytes)+((QLoraRank)*(TP1LocalHeads*HeadDim)*FP8Bytes+ROUNDUP((QLoraRank)/FP8Block,0)*ROUNDUP((TP1LocalHeads*HeadDim)/FP8Block,0)*ScaleBytes)+((HiddenSize)*(HeadDim)*FP8Bytes+ROUNDUP((HiddenSize)/FP8Block,0)*ROUNDUP((HeadDim)/FP8Block,0)*ScaleBytes)+TP1LocalHeads*HeadDim*OLoraRank*BF16Bytes+((TP1LocalOGroups*OLoraRank)*(HiddenSize)*FP8Bytes+ROUNDUP((TP1LocalOGroups*OLoraRank)/FP8Block,0)*ROUNDUP((HiddenSize)/FP8Block,0)*ScaleBytes)))+(ShortLayers*(2*HiddenSize*(2*HeadDim)*FP32Bytes+ShortRatio*2*HeadDim*FP32Bytes+HeadDim*FP32Bytes))+(LongLayers*(2*HiddenSize*HeadDim*FP32Bytes+LongRatio*HeadDim*FP32Bytes+HeadDim*FP32Bytes))+(ShortLayers*(((QLoraRank)*(TP1LocalIndexHeads*IndexHeadDim)*FP8Bytes+ROUNDUP((QLoraRank)/FP8Block,0)*ROUNDUP((TP1LocalIndexHeads*IndexHeadDim)/FP8Block,0)*ScaleBytes)+HiddenSize*TP1LocalIndexHeads*BF16Bytes))+(ShortLayers*(2*HiddenSize*(2*IndexHeadDim)*FP32Bytes+ShortRatio*2*IndexHeadDim*FP32Bytes+IndexHeadDim*FP32Bytes))+(TotalLayers*TP1LocalExperts*(3*HiddenSize*ExpertInter*FP4Bytes+3*HiddenSize*ExpertInter/FP4Block*ScaleBytes))+(TotalLayers*SharedExperts*(2*((HiddenSize)*(ExpertInter)*FP8Bytes+ROUNDUP((HiddenSize)/FP8Block,0)*ROUNDUP((ExpertInter)/FP8Block,0)*ScaleBytes)+((ExpertInter)*(HiddenSize)*FP8Bytes+ROUNDUP((ExpertInter)/FP8Block,0)*ROUNDUP((HiddenSize)/FP8Block,0)*ScaleBytes)))+(TotalLayers*RoutedExperts*HiddenSize*BF16Bytes+(TotalLayers-ActiveHashLayers)*RoutedExperts*FP32Bytes+ActiveHashLayers*VocabSize*ActivatedExperts*INT32Bytes)+(TP1LocalVocab*HiddenSize*BF16Bytes)+(TP1LocalVocab*HiddenSize*FP32Bytes)+((TotalLayers*2*(((2+HCSlots)*HCSlots)*HCSlots*HiddenSize+((2+HCSlots)*HCSlots)+3))*FP32Bytes)+((TotalLayers*(2*HiddenSize+QLoraRank+HeadDim+TP1LocalHeads))*FP32Bytes)+((HCSlots*HCSlots*HiddenSize+HCSlots+1)*FP32Bytes)+((HiddenSize)*FP32Bytes)</f>
        <v>159117270492.0</v>
      </c>
      <c r="BB52" s="32">
        <f>(TotalLayers*(((HiddenSize)*(QLoraRank)*FP8Bytes+ROUNDUP((HiddenSize)/FP8Block,0)*ROUNDUP((QLoraRank)/FP8Block,0)*ScaleBytes)+((QLoraRank)*(TP8LocalHeads*HeadDim)*FP8Bytes+ROUNDUP((QLoraRank)/FP8Block,0)*ROUNDUP((TP8LocalHeads*HeadDim)/FP8Block,0)*ScaleBytes)+((HiddenSize)*(HeadDim)*FP8Bytes+ROUNDUP((HiddenSize)/FP8Block,0)*ROUNDUP((HeadDim)/FP8Block,0)*ScaleBytes)+TP8LocalHeads*HeadDim*OLoraRank*BF16Bytes+((TP8LocalOGroups*OLoraRank)*(HiddenSize)*FP8Bytes+ROUNDUP((TP8LocalOGroups*OLoraRank)/FP8Block,0)*ROUNDUP((HiddenSize)/FP8Block,0)*ScaleBytes)))+(ShortLayers*(2*HiddenSize*(2*HeadDim)*FP32Bytes+ShortRatio*2*HeadDim*FP32Bytes+HeadDim*FP32Bytes))+(LongLayers*(2*HiddenSize*HeadDim*FP32Bytes+LongRatio*HeadDim*FP32Bytes+HeadDim*FP32Bytes))+(ShortLayers*(((QLoraRank)*(TP8LocalIndexHeads*IndexHeadDim)*FP8Bytes+ROUNDUP((QLoraRank)/FP8Block,0)*ROUNDUP((TP8LocalIndexHeads*IndexHeadDim)/FP8Block,0)*ScaleBytes)+HiddenSize*TP8LocalIndexHeads*BF16Bytes))+(ShortLayers*(2*HiddenSize*(2*IndexHeadDim)*FP32Bytes+ShortRatio*2*IndexHeadDim*FP32Bytes+IndexHeadDim*FP32Bytes))+(TotalLayers*TP8LocalExperts*(3*HiddenSize*ExpertInter*FP4Bytes+3*HiddenSize*ExpertInter/FP4Block*ScaleBytes))+(TotalLayers*SharedExperts*(2*((HiddenSize)*(ExpertInter)*FP8Bytes+ROUNDUP((HiddenSize)/FP8Block,0)*ROUNDUP((ExpertInter)/FP8Block,0)*ScaleBytes)+((ExpertInter)*(HiddenSize)*FP8Bytes+ROUNDUP((ExpertInter)/FP8Block,0)*ROUNDUP((HiddenSize)/FP8Block,0)*ScaleBytes)))+(TotalLayers*RoutedExperts*HiddenSize*BF16Bytes+(TotalLayers-ActiveHashLayers)*RoutedExperts*FP32Bytes+ActiveHashLayers*VocabSize*ActivatedExperts*INT32Bytes)+(TP8LocalVocab*HiddenSize*BF16Bytes)+(TP8LocalVocab*HiddenSize*FP32Bytes)+((TotalLayers*2*(((2+HCSlots)*HCSlots)*HCSlots*HiddenSize+((2+HCSlots)*HCSlots)+3))*FP32Bytes)+((TotalLayers*(2*HiddenSize+QLoraRank+HeadDim+TP8LocalHeads))*FP32Bytes)+((HCSlots*HCSlots*HiddenSize+HCSlots+1)*FP32Bytes)+((HiddenSize)*FP32Bytes)</f>
        <v>22349822332.0</v>
      </c>
    </row>
  </sheetData>
  <mergeCells count="2">
    <mergeCell ref="A11:J11"/>
    <mergeCell ref="A22:L22"/>
  </mergeCells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BB52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15.7109375" customWidth="1"/>
    <col min="2" max="2" width="34.7109375" customWidth="1"/>
    <col min="3" max="3" width="27.7109375" customWidth="1"/>
    <col min="4" max="9" width="16.7109375" customWidth="1"/>
    <col min="10" max="11" width="34.7109375" customWidth="1"/>
    <col min="12" max="12" width="66.7109375" customWidth="1"/>
    <col min="21" max="28" width="0" hidden="1" customWidth="1"/>
    <col min="31" max="38" width="0" hidden="1" customWidth="1"/>
    <col min="41" max="54" width="0" hidden="1" customWidth="1"/>
  </cols>
  <sheetData>
    <row r="1" spans="1:38">
      <c r="A1" s="1" t="s">
        <v>339</v>
      </c>
    </row>
    <row r="2" spans="1:38">
      <c r="A2" s="2" t="s">
        <v>203</v>
      </c>
    </row>
    <row r="3" spans="1:38" hidden="1">
      <c r="A3" s="3" t="s">
        <v>204</v>
      </c>
      <c r="B3" s="3" t="s">
        <v>5</v>
      </c>
      <c r="C3" s="3" t="s">
        <v>205</v>
      </c>
      <c r="D3" s="3" t="s">
        <v>6</v>
      </c>
    </row>
    <row r="4" spans="1:38" ht="54" hidden="1" customHeight="1">
      <c r="A4" s="4" t="s">
        <v>206</v>
      </c>
      <c r="B4" s="27">
        <f>DecodeBatch*DecodeTokens</f>
        <v>1</v>
      </c>
      <c r="C4" s="4" t="s">
        <v>207</v>
      </c>
      <c r="D4" s="4" t="s">
        <v>208</v>
      </c>
    </row>
    <row r="5" spans="1:38" ht="54" hidden="1" customHeight="1">
      <c r="A5" s="4" t="s">
        <v>340</v>
      </c>
      <c r="B5" s="28">
        <f>DecodeTokens*MIN(WindowSize,DecodeContext)</f>
        <v>128</v>
      </c>
      <c r="C5" s="4" t="s">
        <v>210</v>
      </c>
      <c r="D5" s="4" t="s">
        <v>341</v>
      </c>
    </row>
    <row r="6" spans="1:38" ht="54" hidden="1" customHeight="1">
      <c r="A6" s="4" t="s">
        <v>342</v>
      </c>
      <c r="B6" s="28">
        <f>DecodeTokens*MIN(IndexTopK,INT(DecodeContext/ShortRatio))</f>
        <v>512</v>
      </c>
      <c r="C6" s="4" t="s">
        <v>210</v>
      </c>
      <c r="D6" s="4" t="s">
        <v>343</v>
      </c>
    </row>
    <row r="7" spans="1:38" ht="54" hidden="1" customHeight="1">
      <c r="A7" s="4" t="s">
        <v>344</v>
      </c>
      <c r="B7" s="28">
        <f>DecodeTokens*INT(DecodeContext/LongRatio)</f>
        <v>8192</v>
      </c>
      <c r="C7" s="4" t="s">
        <v>210</v>
      </c>
      <c r="D7" s="4" t="s">
        <v>345</v>
      </c>
    </row>
    <row r="8" spans="1:38" ht="54" hidden="1" customHeight="1">
      <c r="A8" s="4" t="s">
        <v>346</v>
      </c>
      <c r="B8" s="28">
        <f>DecodeTokens*INT(DecodeContext/ShortRatio)</f>
        <v>262144</v>
      </c>
      <c r="C8" s="4" t="s">
        <v>210</v>
      </c>
      <c r="D8" s="4" t="s">
        <v>347</v>
      </c>
    </row>
    <row r="9" spans="1:38" ht="54" hidden="1" customHeight="1">
      <c r="A9" s="4" t="s">
        <v>218</v>
      </c>
      <c r="B9" s="29">
        <f>1-(1-ActivatedExperts/RoutedExperts)^DC_Rows</f>
        <v>0.0234375</v>
      </c>
      <c r="C9" s="4" t="s">
        <v>219</v>
      </c>
      <c r="D9" s="4" t="s">
        <v>220</v>
      </c>
    </row>
    <row r="11" spans="1:38">
      <c r="A11" s="30" t="s">
        <v>221</v>
      </c>
      <c r="B11" s="30"/>
      <c r="C11" s="30"/>
      <c r="D11" s="30"/>
      <c r="E11" s="30"/>
      <c r="F11" s="30"/>
      <c r="G11" s="30"/>
      <c r="H11" s="30"/>
      <c r="I11" s="30"/>
      <c r="J11" s="30"/>
    </row>
    <row r="12" spans="1:38">
      <c r="A12" t="s">
        <v>222</v>
      </c>
      <c r="B12" t="s">
        <v>223</v>
      </c>
      <c r="C12" t="s">
        <v>224</v>
      </c>
      <c r="D12" t="s">
        <v>225</v>
      </c>
      <c r="E12" t="s">
        <v>226</v>
      </c>
      <c r="F12" t="s">
        <v>227</v>
      </c>
      <c r="G12" t="s">
        <v>228</v>
      </c>
      <c r="H12" t="s">
        <v>229</v>
      </c>
      <c r="I12" t="s">
        <v>230</v>
      </c>
      <c r="J12" t="s">
        <v>231</v>
      </c>
    </row>
    <row r="13" spans="1:38">
      <c r="A13" s="31" t="s">
        <v>232</v>
      </c>
      <c r="B13" s="31" t="str">
        <f>TEXT(IF(ABS(AE13)&gt;=1E12,AE13/1E12,IF(ABS(AE13)&gt;=1E9,AE13/1E9,IF(ABS(AE13)&gt;=1E6,AE13/1E6,IF(ABS(AE13)&gt;=1E3,AE13/1E3,AE13)))),"#,##0.000")&amp;IF((IF(ABS(AE13)&gt;=1E12,"TB",IF(ABS(AE13)&gt;=1E9,"GB",IF(ABS(AE13)&gt;=1E6,"MB",IF(ABS(AE13)&gt;=1E3,"KB","bytes")))))="",""," "&amp;(IF(ABS(AE13)&gt;=1E12,"TB",IF(ABS(AE13)&gt;=1E9,"GB",IF(ABS(AE13)&gt;=1E6,"MB",IF(ABS(AE13)&gt;=1E3,"KB","bytes"))))))</f>
        <v>166.349 GB</v>
      </c>
      <c r="C13" s="31" t="str">
        <f>TEXT(IF(ABS(AF13)&gt;=1E15,AF13/1E15,IF(ABS(AF13)&gt;=1E12,AF13/1E12,IF(ABS(AF13)&gt;=1E9,AF13/1E9,IF(ABS(AF13)&gt;=1E6,AF13/1E6,AF13)))),"#,##0.000")&amp;IF((IF(ABS(AF13)&gt;=1E15,"PFLOPs",IF(ABS(AF13)&gt;=1E12,"TFLOPs",IF(ABS(AF13)&gt;=1E9,"GFLOPs",IF(ABS(AF13)&gt;=1E6,"MFLOPs","flops")))))="",""," "&amp;(IF(ABS(AF13)&gt;=1E15,"PFLOPs",IF(ABS(AF13)&gt;=1E12,"TFLOPs",IF(ABS(AF13)&gt;=1E9,"GFLOPs",IF(ABS(AF13)&gt;=1E6,"MFLOPs","flops"))))))</f>
        <v>140.356 GFLOPs</v>
      </c>
      <c r="D13" s="31" t="str">
        <f>TEXT(IF(ABS(AK13)&gt;=1E12,AK13/1E12,IF(ABS(AK13)&gt;=1E9,AK13/1E9,IF(ABS(AK13)&gt;=1E6,AK13/1E6,IF(ABS(AK13)&gt;=1E3,AK13/1E3,AK13)))),"#,##0.000")&amp;IF((IF(ABS(AK13)&gt;=1E12,"TB",IF(ABS(AK13)&gt;=1E9,"GB",IF(ABS(AK13)&gt;=1E6,"MB",IF(ABS(AK13)&gt;=1E3,"KB","bytes")))))="",""," "&amp;(IF(ABS(AK13)&gt;=1E12,"TB",IF(ABS(AK13)&gt;=1E9,"GB",IF(ABS(AK13)&gt;=1E6,"MB",IF(ABS(AK13)&gt;=1E3,"KB","bytes"))))))</f>
        <v>0.000 B</v>
      </c>
      <c r="E13" s="31" t="str">
        <f>TEXT(IF(ABS(AH13)&gt;=1E12,AH13/1E12,IF(ABS(AH13)&gt;=1E9,AH13/1E9,IF(ABS(AH13)&gt;=1E6,AH13/1E6,IF(ABS(AH13)&gt;=1E3,AH13/1E3,AH13)))),"#,##0.000")&amp;IF((IF(ABS(AH13)&gt;=1E12,"TB",IF(ABS(AH13)&gt;=1E9,"GB",IF(ABS(AH13)&gt;=1E6,"MB",IF(ABS(AH13)&gt;=1E3,"KB","bytes")))))="",""," "&amp;(IF(ABS(AH13)&gt;=1E12,"TB",IF(ABS(AH13)&gt;=1E9,"GB",IF(ABS(AH13)&gt;=1E6,"MB",IF(ABS(AH13)&gt;=1E3,"KB","bytes"))))))</f>
        <v>29.582 GB</v>
      </c>
      <c r="F13" s="31" t="str">
        <f>TEXT(IF(ABS(AI13)&gt;=1E15,AI13/1E15,IF(ABS(AI13)&gt;=1E12,AI13/1E12,IF(ABS(AI13)&gt;=1E9,AI13/1E9,IF(ABS(AI13)&gt;=1E6,AI13/1E6,AI13)))),"#,##0.000")&amp;IF((IF(ABS(AI13)&gt;=1E15,"PFLOPs",IF(ABS(AI13)&gt;=1E12,"TFLOPs",IF(ABS(AI13)&gt;=1E9,"GFLOPs",IF(ABS(AI13)&gt;=1E6,"MFLOPs","flops")))))="",""," "&amp;(IF(ABS(AI13)&gt;=1E15,"PFLOPs",IF(ABS(AI13)&gt;=1E12,"TFLOPs",IF(ABS(AI13)&gt;=1E9,"GFLOPs",IF(ABS(AI13)&gt;=1E6,"MFLOPs","flops"))))))</f>
        <v>23.550 GFLOPs</v>
      </c>
      <c r="G13" s="31" t="str">
        <f>TEXT(IF(ABS(AL13)&gt;=1E12,AL13/1E12,IF(ABS(AL13)&gt;=1E9,AL13/1E9,IF(ABS(AL13)&gt;=1E6,AL13/1E6,IF(ABS(AL13)&gt;=1E3,AL13/1E3,AL13)))),"#,##0.000")&amp;IF((IF(ABS(AL13)&gt;=1E12,"TB",IF(ABS(AL13)&gt;=1E9,"GB",IF(ABS(AL13)&gt;=1E6,"MB",IF(ABS(AL13)&gt;=1E3,"KB","bytes")))))="",""," "&amp;(IF(ABS(AL13)&gt;=1E12,"TB",IF(ABS(AL13)&gt;=1E9,"GB",IF(ABS(AL13)&gt;=1E6,"MB",IF(ABS(AL13)&gt;=1E3,"KB","bytes"))))))</f>
        <v>5.865 MB</v>
      </c>
      <c r="H13" s="4" t="s">
        <v>234</v>
      </c>
      <c r="I13" s="4" t="s">
        <v>235</v>
      </c>
      <c r="J13" s="4" t="s">
        <v>233</v>
      </c>
      <c r="AE13" s="32">
        <f>((TP1LocalVocab*HiddenSize*BF16Bytes)+(TotalLayers*(((HiddenSize)*(QLoraRank)*FP8Bytes+ROUNDUP((HiddenSize)/FP8Block,0)*ROUNDUP((QLoraRank)/FP8Block,0)*ScaleBytes)+((QLoraRank)*(TP1LocalHeads*HeadDim)*FP8Bytes+ROUNDUP((QLoraRank)/FP8Block,0)*ROUNDUP((TP1LocalHeads*HeadDim)/FP8Block,0)*ScaleBytes)+((HiddenSize)*(HeadDim)*FP8Bytes+ROUNDUP((HiddenSize)/FP8Block,0)*ROUNDUP((HeadDim)/FP8Block,0)*ScaleBytes)+TP1LocalHeads*HeadDim*OLoraRank*BF16Bytes+((TP1LocalOGroups*OLoraRank)*(HiddenSize)*FP8Bytes+ROUNDUP((TP1LocalOGroups*OLoraRank)/FP8Block,0)*ROUNDUP((HiddenSize)/FP8Block,0)*ScaleBytes)))+(0)+(0)+(0)+(ShortLayers*(((QLoraRank)*(TP1LocalIndexHeads*IndexHeadDim)*FP8Bytes+ROUNDUP((QLoraRank)/FP8Block,0)*ROUNDUP((TP1LocalIndexHeads*IndexHeadDim)/FP8Block,0)*ScaleBytes)+HiddenSize*TP1LocalIndexHeads*BF16Bytes))+(0)+(ShortLayers*(2*HiddenSize*(2*HeadDim)*FP32Bytes+ShortRatio*2*HeadDim*FP32Bytes+HeadDim*FP32Bytes))+(LongLayers*(2*HiddenSize*HeadDim*FP32Bytes+LongRatio*HeadDim*FP32Bytes+HeadDim*FP32Bytes))+(ShortLayers*(2*HiddenSize*(2*IndexHeadDim)*FP32Bytes+ShortRatio*2*IndexHeadDim*FP32Bytes+IndexHeadDim*FP32Bytes))+(TotalLayers*RoutedExperts*HiddenSize*BF16Bytes+(TotalLayers-ActiveHashLayers)*RoutedExperts*FP32Bytes+ActiveHashLayers*VocabSize*ActivatedExperts*INT32Bytes)+(TotalLayers*TP1LocalExperts*(3*HiddenSize*ExpertInter*FP4Bytes+3*HiddenSize*ExpertInter/FP4Block*ScaleBytes))+(TotalLayers*SharedExperts*(2*((HiddenSize)*(ExpertInter)*FP8Bytes+ROUNDUP((HiddenSize)/FP8Block,0)*ROUNDUP((ExpertInter)/FP8Block,0)*ScaleBytes)+((ExpertInter)*(HiddenSize)*FP8Bytes+ROUNDUP((ExpertInter)/FP8Block,0)*ROUNDUP((HiddenSize)/FP8Block,0)*ScaleBytes)))+((TotalLayers*2*(((2+HCSlots)*HCSlots)*HCSlots*HiddenSize+((2+HCSlots)*HCSlots)+3))*FP32Bytes+(HCSlots*HCSlots*HiddenSize+HCSlots+1)*FP32Bytes)+((TotalLayers*(2*HiddenSize+QLoraRank+HeadDim+TP1LocalHeads))*FP32Bytes+(HiddenSize)*FP32Bytes)+(0)+(TP1LocalVocab*HiddenSize*FP32Bytes)+(0)+(0))+(DecodeBatch*(HeadDim*BF16Bytes*(WindowLayers*WindowSize+ShortLayers*(WindowSize+INT(MaxContext/ShortRatio))+LongLayers*(WindowSize+INT(MaxContext/LongRatio)))+ShortLayers*INT(MaxContext/ShortRatio)*IndexHeadDim*BF16Bytes)+DecodeBatch*FP32Bytes*(ShortLayers*2*(2*ShortRatio)*(2*HeadDim)+LongLayers*2*LongRatio*HeadDim+ShortLayers*2*(2*ShortRatio)*(2*IndexHeadDim)))</f>
        <v>166349315548.0</v>
      </c>
      <c r="AF13" s="32">
        <f>(0)+(DC_Rows*TotalLayers*2*(HiddenSize*QLoraRank+QLoraRank*TP1LocalHeads*HeadDim+HiddenSize*HeadDim+TP1LocalHeads*HeadDim*OLoraRank+TP1LocalOGroups*OLoraRank*HiddenSize))+(4*DecodeBatch*TP1KernelLocalHeads*HeadDim*(WindowLayers*DC_RawPairs))+(4*DecodeBatch*TP1KernelLocalHeads*HeadDim*(ShortLayers*(DC_RawPairs+DC_ShortPairs)))+(4*DecodeBatch*TP1KernelLocalHeads*HeadDim*(LongLayers*(DC_RawPairs+DC_LongPairs)))+(2*DC_Rows*ShortLayers*(QLoraRank*TP1LocalIndexHeads*IndexHeadDim+HiddenSize*TP1LocalIndexHeads))+(2*DecodeBatch*ShortLayers*TP1LocalIndexHeads*IndexHeadDim*DC_IndexPairs)+(DC_Rows*ShortLayers*8*HiddenSize*HeadDim)+(DC_Rows*LongLayers*4*HiddenSize*HeadDim)+(DC_Rows*ShortLayers*8*HiddenSize*IndexHeadDim)+(2*DC_Rows*TotalLayers*HiddenSize*RoutedExperts)+(DC_Rows*TotalLayers*(ActivatedExperts/TP1Size)*6*HiddenSize*ExpertInter)+(DC_Rows*TotalLayers*SharedExperts*6*HiddenSize*ExpertInter)+(TotalLayers*2*(2*DC_Rows*HCSlots*HiddenSize*((2+HCSlots)*HCSlots)+DC_Rows*(2*HCSlots*HiddenSize+1)+DC_Rows*HiddenSize*(2*HCSlots-1)+DC_Rows*HCSlots*HiddenSize*(2*HCSlots+1))+2*DC_Rows*HCSlots*HiddenSize*HCSlots+DC_Rows*(2*HCSlots*HiddenSize+1)+DC_Rows*HiddenSize*(2*HCSlots-1))+(DC_Rows*TotalLayers*2*(4*HiddenSize+1)+DC_Rows*(4*HiddenSize+1))+(0)+(2*DC_Rows*HiddenSize*TP1LocalVocab)+(0)+(0)</f>
        <v>140355752110.0</v>
      </c>
      <c r="AG13" s="32">
        <f>((DC_Rows*HiddenSize*BF16Bytes)+(DC_Rows*HiddenSize*BF16Bytes))+((TotalLayers*(((HiddenSize)*(QLoraRank)*FP8Bytes+ROUNDUP((HiddenSize)/FP8Block,0)*ROUNDUP((QLoraRank)/FP8Block,0)*ScaleBytes)+((QLoraRank)*(TP1LocalHeads*HeadDim)*FP8Bytes+ROUNDUP((QLoraRank)/FP8Block,0)*ROUNDUP((TP1LocalHeads*HeadDim)/FP8Block,0)*ScaleBytes)+((HiddenSize)*(HeadDim)*FP8Bytes+ROUNDUP((HiddenSize)/FP8Block,0)*ROUNDUP((HeadDim)/FP8Block,0)*ScaleBytes)+TP1LocalHeads*HeadDim*OLoraRank*BF16Bytes+((TP1LocalOGroups*OLoraRank)*(HiddenSize)*FP8Bytes+ROUNDUP((TP1LocalOGroups*OLoraRank)/FP8Block,0)*ROUNDUP((HiddenSize)/FP8Block,0)*ScaleBytes))+DC_Rows*TotalLayers*(2*HiddenSize*BF16Bytes+QLoraRank*BF16Bytes+TP1KernelLocalHeads*HeadDim*BF16Bytes+TP1LocalOGroups*OLoraRank*BF16Bytes))+(DC_Rows*TotalLayers*(QLoraRank+TP1KernelLocalHeads*HeadDim+HeadDim+TP1LocalOGroups*OLoraRank+HiddenSize)*BF16Bytes))+((DC_Rows*WindowLayers*TP1KernelLocalHeads*HeadDim*BF16Bytes+DecodeBatch*(WindowLayers*DC_RawPairs)*HeadDim*BF16Bytes)+(DC_Rows*WindowLayers*TP1KernelLocalHeads*HeadDim*BF16Bytes))+((DC_Rows*ShortLayers*TP1KernelLocalHeads*HeadDim*BF16Bytes+DecodeBatch*(ShortLayers*(DC_RawPairs+DC_ShortPairs))*HeadDim*BF16Bytes)+(DC_Rows*ShortLayers*TP1KernelLocalHeads*HeadDim*BF16Bytes))+((DC_Rows*LongLayers*TP1KernelLocalHeads*HeadDim*BF16Bytes+DecodeBatch*(LongLayers*(DC_RawPairs+DC_LongPairs))*HeadDim*BF16Bytes)+(DC_Rows*LongLayers*TP1KernelLocalHeads*HeadDim*BF16Bytes))+((ShortLayers*(((QLoraRank)*(TP1LocalIndexHeads*IndexHeadDim)*FP8Bytes+ROUNDUP((QLoraRank)/FP8Block,0)*ROUNDUP((TP1LocalIndexHeads*IndexHeadDim)/FP8Block,0)*ScaleBytes)+HiddenSize*TP1LocalIndexHeads*BF16Bytes)+DC_Rows*ShortLayers*(QLoraRank+HiddenSize)*BF16Bytes)+(DC_Rows*ShortLayers*TP1LocalIndexHeads*(IndexHeadDim+1)*BF16Bytes))+((DecodeBatch*ShortLayers*DC_IndexPairs*(IndexHeadDim*BF16Bytes+TP1LocalIndexHeads*BF16Bytes))+(DecodeBatch*ShortLayers*DC_IndexPairs*(TP1LocalIndexHeads*BF16Bytes+FP32Bytes)))+((ShortLayers*(2*HiddenSize*(2*HeadDim)*FP32Bytes+ShortRatio*2*HeadDim*FP32Bytes+HeadDim*FP32Bytes)+DC_Rows*ShortLayers*HiddenSize*FP32Bytes)+(DC_Rows*ShortLayers*4*HeadDim*FP32Bytes))+((LongLayers*(2*HiddenSize*HeadDim*FP32Bytes+LongRatio*HeadDim*FP32Bytes+HeadDim*FP32Bytes)+DC_Rows*LongLayers*HiddenSize*FP32Bytes)+(DC_Rows*LongLayers*2*HeadDim*FP32Bytes))+((ShortLayers*(2*HiddenSize*(2*IndexHeadDim)*FP32Bytes+ShortRatio*2*IndexHeadDim*FP32Bytes+IndexHeadDim*FP32Bytes)+DC_Rows*ShortLayers*HiddenSize*FP32Bytes)+(DC_Rows*ShortLayers*4*IndexHeadDim*FP32Bytes))+((TotalLayers*RoutedExperts*HiddenSize*BF16Bytes+(TotalLayers-ActiveHashLayers)*RoutedExperts*FP32Bytes+DC_Rows*TotalLayers*HiddenSize*BF16Bytes+DC_Rows*ActiveHashLayers*ActivatedExperts*INT32Bytes)+(DC_Rows*TotalLayers*RoutedExperts*FP32Bytes))+((TotalLayers*TP1LocalExperts*DC_ExpertActiveProbability*(3*HiddenSize*ExpertInter*FP4Bytes+3*HiddenSize*ExpertInter/FP4Block*ScaleBytes)+DC_Rows*TotalLayers*(ActivatedExperts/TP1Size)*HiddenSize*BF16Bytes)+(DC_Rows*TotalLayers*(ActivatedExperts/TP1Size)*HiddenSize*BF16Bytes))+((TotalLayers*SharedExperts*(2*((HiddenSize)*(ExpertInter)*FP8Bytes+ROUNDUP((HiddenSize)/FP8Block,0)*ROUNDUP((ExpertInter)/FP8Block,0)*ScaleBytes)+((ExpertInter)*(HiddenSize)*FP8Bytes+ROUNDUP((ExpertInter)/FP8Block,0)*ROUNDUP((HiddenSize)/FP8Block,0)*ScaleBytes))+DC_Rows*TotalLayers*SharedExperts*HiddenSize*BF16Bytes)+(DC_Rows*TotalLayers*SharedExperts*HiddenSize*BF16Bytes))+((TotalLayers*2*((2+HCSlots)*HCSlots*HCSlots*HiddenSize*FP32Bytes+((2+HCSlots)*HCSlots+3)*FP32Bytes)+DC_Rows*TotalLayers*4*HCSlots*HiddenSize*BF16Bytes+(HCSlots*HCSlots*HiddenSize+HCSlots+1)*FP32Bytes+DC_Rows*HCSlots*HiddenSize*BF16Bytes)+(DC_Rows*TotalLayers*4*HCSlots*HiddenSize*BF16Bytes+DC_Rows*HiddenSize*BF16Bytes))+((TotalLayers*(2*HiddenSize+QLoraRank+HeadDim+TP1LocalHeads)*FP32Bytes+HiddenSize*FP32Bytes+DC_Rows*TotalLayers*2*HiddenSize*BF16Bytes+DC_Rows*HiddenSize*BF16Bytes)+(DC_Rows*TotalLayers*2*HiddenSize*BF16Bytes+DC_Rows*HiddenSize*BF16Bytes))+((0)+(0))+((TP1LocalVocab*HiddenSize*FP32Bytes+DC_Rows*HiddenSize*FP32Bytes)+(DC_Rows*TP1LocalVocab*FP32Bytes))+((0)+(0))+((0)+(0))</f>
        <v>17387912356.0</v>
      </c>
      <c r="AH13" s="32">
        <f>((TP8LocalVocab*HiddenSize*BF16Bytes)+(TotalLayers*(((HiddenSize)*(QLoraRank)*FP8Bytes+ROUNDUP((HiddenSize)/FP8Block,0)*ROUNDUP((QLoraRank)/FP8Block,0)*ScaleBytes)+((QLoraRank)*(TP8LocalHeads*HeadDim)*FP8Bytes+ROUNDUP((QLoraRank)/FP8Block,0)*ROUNDUP((TP8LocalHeads*HeadDim)/FP8Block,0)*ScaleBytes)+((HiddenSize)*(HeadDim)*FP8Bytes+ROUNDUP((HiddenSize)/FP8Block,0)*ROUNDUP((HeadDim)/FP8Block,0)*ScaleBytes)+TP8LocalHeads*HeadDim*OLoraRank*BF16Bytes+((TP8LocalOGroups*OLoraRank)*(HiddenSize)*FP8Bytes+ROUNDUP((TP8LocalOGroups*OLoraRank)/FP8Block,0)*ROUNDUP((HiddenSize)/FP8Block,0)*ScaleBytes)))+(0)+(0)+(0)+(ShortLayers*(((QLoraRank)*(TP8LocalIndexHeads*IndexHeadDim)*FP8Bytes+ROUNDUP((QLoraRank)/FP8Block,0)*ROUNDUP((TP8LocalIndexHeads*IndexHeadDim)/FP8Block,0)*ScaleBytes)+HiddenSize*TP8LocalIndexHeads*BF16Bytes))+(0)+(ShortLayers*(2*HiddenSize*(2*HeadDim)*FP32Bytes+ShortRatio*2*HeadDim*FP32Bytes+HeadDim*FP32Bytes))+(LongLayers*(2*HiddenSize*HeadDim*FP32Bytes+LongRatio*HeadDim*FP32Bytes+HeadDim*FP32Bytes))+(ShortLayers*(2*HiddenSize*(2*IndexHeadDim)*FP32Bytes+ShortRatio*2*IndexHeadDim*FP32Bytes+IndexHeadDim*FP32Bytes))+(TotalLayers*RoutedExperts*HiddenSize*BF16Bytes+(TotalLayers-ActiveHashLayers)*RoutedExperts*FP32Bytes+ActiveHashLayers*VocabSize*ActivatedExperts*INT32Bytes)+(TotalLayers*TP8LocalExperts*(3*HiddenSize*ExpertInter*FP4Bytes+3*HiddenSize*ExpertInter/FP4Block*ScaleBytes))+(TotalLayers*SharedExperts*(2*((HiddenSize)*(ExpertInter)*FP8Bytes+ROUNDUP((HiddenSize)/FP8Block,0)*ROUNDUP((ExpertInter)/FP8Block,0)*ScaleBytes)+((ExpertInter)*(HiddenSize)*FP8Bytes+ROUNDUP((ExpertInter)/FP8Block,0)*ROUNDUP((HiddenSize)/FP8Block,0)*ScaleBytes)))+((TotalLayers*2*(((2+HCSlots)*HCSlots)*HCSlots*HiddenSize+((2+HCSlots)*HCSlots)+3))*FP32Bytes+(HCSlots*HCSlots*HiddenSize+HCSlots+1)*FP32Bytes)+((TotalLayers*(2*HiddenSize+QLoraRank+HeadDim+TP8LocalHeads))*FP32Bytes+(HiddenSize)*FP32Bytes)+(0)+(TP8LocalVocab*HiddenSize*FP32Bytes)+(0)+(0))+(DecodeBatch*(HeadDim*BF16Bytes*(WindowLayers*WindowSize+ShortLayers*(WindowSize+INT(MaxContext/ShortRatio))+LongLayers*(WindowSize+INT(MaxContext/LongRatio)))+ShortLayers*INT(MaxContext/ShortRatio)*IndexHeadDim*BF16Bytes)+DecodeBatch*FP32Bytes*(ShortLayers*2*(2*ShortRatio)*(2*HeadDim)+LongLayers*2*LongRatio*HeadDim+ShortLayers*2*(2*ShortRatio)*(2*IndexHeadDim)))</f>
        <v>29581867388.0</v>
      </c>
      <c r="AI13" s="32">
        <f>(0)+(DC_Rows*TotalLayers*2*(HiddenSize*QLoraRank+QLoraRank*TP8LocalHeads*HeadDim+HiddenSize*HeadDim+TP8LocalHeads*HeadDim*OLoraRank+TP8LocalOGroups*OLoraRank*HiddenSize))+(4*DecodeBatch*TP8KernelLocalHeads*HeadDim*(WindowLayers*DC_RawPairs))+(4*DecodeBatch*TP8KernelLocalHeads*HeadDim*(ShortLayers*(DC_RawPairs+DC_ShortPairs)))+(4*DecodeBatch*TP8KernelLocalHeads*HeadDim*(LongLayers*(DC_RawPairs+DC_LongPairs)))+(2*DC_Rows*ShortLayers*(QLoraRank*TP8LocalIndexHeads*IndexHeadDim+HiddenSize*TP8LocalIndexHeads))+(2*DecodeBatch*ShortLayers*TP8LocalIndexHeads*IndexHeadDim*DC_IndexPairs)+(DC_Rows*ShortLayers*8*HiddenSize*HeadDim)+(DC_Rows*LongLayers*4*HiddenSize*HeadDim)+(DC_Rows*ShortLayers*8*HiddenSize*IndexHeadDim)+(2*DC_Rows*TotalLayers*HiddenSize*RoutedExperts)+(DC_Rows*TotalLayers*(ActivatedExperts/TP8Size)*6*HiddenSize*ExpertInter)+(DC_Rows*TotalLayers*SharedExperts*6*HiddenSize*ExpertInter)+(TotalLayers*2*(2*DC_Rows*HCSlots*HiddenSize*((2+HCSlots)*HCSlots)+DC_Rows*(2*HCSlots*HiddenSize+1)+DC_Rows*HiddenSize*(2*HCSlots-1)+DC_Rows*HCSlots*HiddenSize*(2*HCSlots+1))+2*DC_Rows*HCSlots*HiddenSize*HCSlots+DC_Rows*(2*HCSlots*HiddenSize+1)+DC_Rows*HiddenSize*(2*HCSlots-1))+(DC_Rows*TotalLayers*2*(4*HiddenSize+1)+DC_Rows*(4*HiddenSize+1))+(0)+(2*DC_Rows*HiddenSize*TP8LocalVocab)+(0)+(0)</f>
        <v>23549694126.0</v>
      </c>
      <c r="AJ13" s="32">
        <f>((DC_Rows*HiddenSize*BF16Bytes)+(DC_Rows*HiddenSize*BF16Bytes))+((TotalLayers*(((HiddenSize)*(QLoraRank)*FP8Bytes+ROUNDUP((HiddenSize)/FP8Block,0)*ROUNDUP((QLoraRank)/FP8Block,0)*ScaleBytes)+((QLoraRank)*(TP8LocalHeads*HeadDim)*FP8Bytes+ROUNDUP((QLoraRank)/FP8Block,0)*ROUNDUP((TP8LocalHeads*HeadDim)/FP8Block,0)*ScaleBytes)+((HiddenSize)*(HeadDim)*FP8Bytes+ROUNDUP((HiddenSize)/FP8Block,0)*ROUNDUP((HeadDim)/FP8Block,0)*ScaleBytes)+TP8LocalHeads*HeadDim*OLoraRank*BF16Bytes+((TP8LocalOGroups*OLoraRank)*(HiddenSize)*FP8Bytes+ROUNDUP((TP8LocalOGroups*OLoraRank)/FP8Block,0)*ROUNDUP((HiddenSize)/FP8Block,0)*ScaleBytes))+DC_Rows*TotalLayers*(2*HiddenSize*BF16Bytes+QLoraRank*BF16Bytes+TP8KernelLocalHeads*HeadDim*BF16Bytes+TP8LocalOGroups*OLoraRank*BF16Bytes))+(DC_Rows*TotalLayers*(QLoraRank+TP8KernelLocalHeads*HeadDim+HeadDim+TP8LocalOGroups*OLoraRank+HiddenSize)*BF16Bytes))+((DC_Rows*WindowLayers*TP8KernelLocalHeads*HeadDim*BF16Bytes+DecodeBatch*(WindowLayers*DC_RawPairs)*HeadDim*BF16Bytes)+(DC_Rows*WindowLayers*TP8KernelLocalHeads*HeadDim*BF16Bytes))+((DC_Rows*ShortLayers*TP8KernelLocalHeads*HeadDim*BF16Bytes+DecodeBatch*(ShortLayers*(DC_RawPairs+DC_ShortPairs))*HeadDim*BF16Bytes)+(DC_Rows*ShortLayers*TP8KernelLocalHeads*HeadDim*BF16Bytes))+((DC_Rows*LongLayers*TP8KernelLocalHeads*HeadDim*BF16Bytes+DecodeBatch*(LongLayers*(DC_RawPairs+DC_LongPairs))*HeadDim*BF16Bytes)+(DC_Rows*LongLayers*TP8KernelLocalHeads*HeadDim*BF16Bytes))+((ShortLayers*(((QLoraRank)*(TP8LocalIndexHeads*IndexHeadDim)*FP8Bytes+ROUNDUP((QLoraRank)/FP8Block,0)*ROUNDUP((TP8LocalIndexHeads*IndexHeadDim)/FP8Block,0)*ScaleBytes)+HiddenSize*TP8LocalIndexHeads*BF16Bytes)+DC_Rows*ShortLayers*(QLoraRank+HiddenSize)*BF16Bytes)+(DC_Rows*ShortLayers*TP8LocalIndexHeads*(IndexHeadDim+1)*BF16Bytes))+((DecodeBatch*ShortLayers*DC_IndexPairs*(IndexHeadDim*BF16Bytes+TP8LocalIndexHeads*BF16Bytes))+(DecodeBatch*ShortLayers*DC_IndexPairs*(TP8LocalIndexHeads*BF16Bytes+FP32Bytes)))+((ShortLayers*(2*HiddenSize*(2*HeadDim)*FP32Bytes+ShortRatio*2*HeadDim*FP32Bytes+HeadDim*FP32Bytes)+DC_Rows*ShortLayers*HiddenSize*FP32Bytes)+(DC_Rows*ShortLayers*4*HeadDim*FP32Bytes))+((LongLayers*(2*HiddenSize*HeadDim*FP32Bytes+LongRatio*HeadDim*FP32Bytes+HeadDim*FP32Bytes)+DC_Rows*LongLayers*HiddenSize*FP32Bytes)+(DC_Rows*LongLayers*2*HeadDim*FP32Bytes))+((ShortLayers*(2*HiddenSize*(2*IndexHeadDim)*FP32Bytes+ShortRatio*2*IndexHeadDim*FP32Bytes+IndexHeadDim*FP32Bytes)+DC_Rows*ShortLayers*HiddenSize*FP32Bytes)+(DC_Rows*ShortLayers*4*IndexHeadDim*FP32Bytes))+((TotalLayers*RoutedExperts*HiddenSize*BF16Bytes+(TotalLayers-ActiveHashLayers)*RoutedExperts*FP32Bytes+DC_Rows*TotalLayers*HiddenSize*BF16Bytes+DC_Rows*ActiveHashLayers*ActivatedExperts*INT32Bytes)+(DC_Rows*TotalLayers*RoutedExperts*FP32Bytes))+((TotalLayers*TP8LocalExperts*DC_ExpertActiveProbability*(3*HiddenSize*ExpertInter*FP4Bytes+3*HiddenSize*ExpertInter/FP4Block*ScaleBytes)+DC_Rows*TotalLayers*(ActivatedExperts/TP8Size)*HiddenSize*BF16Bytes)+(DC_Rows*TotalLayers*(ActivatedExperts/TP8Size)*HiddenSize*BF16Bytes))+((TotalLayers*SharedExperts*(2*((HiddenSize)*(ExpertInter)*FP8Bytes+ROUNDUP((HiddenSize)/FP8Block,0)*ROUNDUP((ExpertInter)/FP8Block,0)*ScaleBytes)+((ExpertInter)*(HiddenSize)*FP8Bytes+ROUNDUP((ExpertInter)/FP8Block,0)*ROUNDUP((HiddenSize)/FP8Block,0)*ScaleBytes))+DC_Rows*TotalLayers*SharedExperts*HiddenSize*BF16Bytes)+(DC_Rows*TotalLayers*SharedExperts*HiddenSize*BF16Bytes))+((TotalLayers*2*((2+HCSlots)*HCSlots*HCSlots*HiddenSize*FP32Bytes+((2+HCSlots)*HCSlots+3)*FP32Bytes)+DC_Rows*TotalLayers*4*HCSlots*HiddenSize*BF16Bytes+(HCSlots*HCSlots*HiddenSize+HCSlots+1)*FP32Bytes+DC_Rows*HCSlots*HiddenSize*BF16Bytes)+(DC_Rows*TotalLayers*4*HCSlots*HiddenSize*BF16Bytes+DC_Rows*HiddenSize*BF16Bytes))+((TotalLayers*(2*HiddenSize+QLoraRank+HeadDim+TP8LocalHeads)*FP32Bytes+HiddenSize*FP32Bytes+DC_Rows*TotalLayers*2*HiddenSize*BF16Bytes+DC_Rows*HiddenSize*BF16Bytes)+(DC_Rows*TotalLayers*2*HiddenSize*BF16Bytes+DC_Rows*HiddenSize*BF16Bytes))+((0)+(0))+((TP8LocalVocab*HiddenSize*FP32Bytes+DC_Rows*HiddenSize*FP32Bytes)+(DC_Rows*TP8LocalVocab*FP32Bytes))+((0)+(0))+((0)+(0))</f>
        <v>6055268244.0</v>
      </c>
      <c r="AK13" s="32">
        <f>(4*(TP1Size-1)/TP1Size*DC_Rows*HiddenSize*BF16Bytes)+(0)+(0)+(0)+(0)+(0)+(0)+(0)+(0)+(0)+(0)+(0)+(0)+(0)+(0)+(0)+(2*(TP1Size-1)*DC_Rows*TP1LocalVocab*FP32Bytes)+(4*(TP1Size-1)/TP1Size*DC_Rows*HiddenSize*FP32Bytes*TotalLayers)+(4*(TP1Size-1)/TP1Size*DC_Rows*HiddenSize*FP32Bytes*TotalLayers)</f>
        <v>0.0</v>
      </c>
      <c r="AL13" s="32">
        <f>(4*(TP8Size-1)/TP8Size*DC_Rows*HiddenSize*BF16Bytes)+(0)+(0)+(0)+(0)+(0)+(0)+(0)+(0)+(0)+(0)+(0)+(0)+(0)+(0)+(0)+(2*(TP8Size-1)*DC_Rows*TP8LocalVocab*FP32Bytes)+(4*(TP8Size-1)/TP8Size*DC_Rows*HiddenSize*FP32Bytes*TotalLayers)+(4*(TP8Size-1)/TP8Size*DC_Rows*HiddenSize*FP32Bytes*TotalLayers)</f>
        <v>5865216.0</v>
      </c>
    </row>
    <row r="14" spans="1:38">
      <c r="A14" s="4" t="s">
        <v>40</v>
      </c>
      <c r="B14" s="33" t="str">
        <f>TEXT(IF(ABS(AE14)&gt;=1E12,AE14/1E12,IF(ABS(AE14)&gt;=1E9,AE14/1E9,IF(ABS(AE14)&gt;=1E6,AE14/1E6,IF(ABS(AE14)&gt;=1E3,AE14/1E3,AE14)))),"#,##0.000")&amp;IF((IF(ABS(AE14)&gt;=1E12,"TB",IF(ABS(AE14)&gt;=1E9,"GB",IF(ABS(AE14)&gt;=1E6,"MB",IF(ABS(AE14)&gt;=1E3,"KB","bytes")))))="",""," "&amp;(IF(ABS(AE14)&gt;=1E12,"TB",IF(ABS(AE14)&gt;=1E9,"GB",IF(ABS(AE14)&gt;=1E6,"MB",IF(ABS(AE14)&gt;=1E3,"KB","bytes"))))))</f>
        <v>7.451 GB</v>
      </c>
      <c r="C14" s="33" t="str">
        <f>TEXT(IF(ABS(AF14)&gt;=1E15,AF14/1E15,IF(ABS(AF14)&gt;=1E12,AF14/1E12,IF(ABS(AF14)&gt;=1E9,AF14/1E9,IF(ABS(AF14)&gt;=1E6,AF14/1E6,AF14)))),"#,##0.000")&amp;IF((IF(ABS(AF14)&gt;=1E15,"PFLOPs",IF(ABS(AF14)&gt;=1E12,"TFLOPs",IF(ABS(AF14)&gt;=1E9,"GFLOPs",IF(ABS(AF14)&gt;=1E6,"MFLOPs","flops")))))="",""," "&amp;(IF(ABS(AF14)&gt;=1E15,"PFLOPs",IF(ABS(AF14)&gt;=1E12,"TFLOPs",IF(ABS(AF14)&gt;=1E9,"GFLOPs",IF(ABS(AF14)&gt;=1E6,"MFLOPs","flops"))))))</f>
        <v>123.969 GFLOPs</v>
      </c>
      <c r="D14" s="33" t="str">
        <f>TEXT(IF(ABS(AK14)&gt;=1E12,AK14/1E12,IF(ABS(AK14)&gt;=1E9,AK14/1E9,IF(ABS(AK14)&gt;=1E6,AK14/1E6,IF(ABS(AK14)&gt;=1E3,AK14/1E3,AK14)))),"#,##0.000")&amp;IF((IF(ABS(AK14)&gt;=1E12,"TB",IF(ABS(AK14)&gt;=1E9,"GB",IF(ABS(AK14)&gt;=1E6,"MB",IF(ABS(AK14)&gt;=1E3,"KB","bytes")))))="",""," "&amp;(IF(ABS(AK14)&gt;=1E12,"TB",IF(ABS(AK14)&gt;=1E9,"GB",IF(ABS(AK14)&gt;=1E6,"MB",IF(ABS(AK14)&gt;=1E3,"KB","bytes"))))))</f>
        <v>0.000 B</v>
      </c>
      <c r="E14" s="33" t="str">
        <f>TEXT(IF(ABS(AH14)&gt;=1E12,AH14/1E12,IF(ABS(AH14)&gt;=1E9,AH14/1E9,IF(ABS(AH14)&gt;=1E6,AH14/1E6,IF(ABS(AH14)&gt;=1E3,AH14/1E3,AH14)))),"#,##0.000")&amp;IF((IF(ABS(AH14)&gt;=1E12,"TB",IF(ABS(AH14)&gt;=1E9,"GB",IF(ABS(AH14)&gt;=1E6,"MB",IF(ABS(AH14)&gt;=1E3,"KB","bytes")))))="",""," "&amp;(IF(ABS(AH14)&gt;=1E12,"TB",IF(ABS(AH14)&gt;=1E9,"GB",IF(ABS(AH14)&gt;=1E6,"MB",IF(ABS(AH14)&gt;=1E3,"KB","bytes"))))))</f>
        <v>2.238 GB</v>
      </c>
      <c r="F14" s="33" t="str">
        <f>TEXT(IF(ABS(AI14)&gt;=1E15,AI14/1E15,IF(ABS(AI14)&gt;=1E12,AI14/1E12,IF(ABS(AI14)&gt;=1E9,AI14/1E9,IF(ABS(AI14)&gt;=1E6,AI14/1E6,AI14)))),"#,##0.000")&amp;IF((IF(ABS(AI14)&gt;=1E15,"PFLOPs",IF(ABS(AI14)&gt;=1E12,"TFLOPs",IF(ABS(AI14)&gt;=1E9,"GFLOPs",IF(ABS(AI14)&gt;=1E6,"MFLOPs","flops")))))="",""," "&amp;(IF(ABS(AI14)&gt;=1E15,"PFLOPs",IF(ABS(AI14)&gt;=1E12,"TFLOPs",IF(ABS(AI14)&gt;=1E9,"GFLOPs",IF(ABS(AI14)&gt;=1E6,"MFLOPs","flops"))))))</f>
        <v>19.452 GFLOPs</v>
      </c>
      <c r="G14" s="33" t="str">
        <f>TEXT(IF(ABS(AL14)&gt;=1E12,AL14/1E12,IF(ABS(AL14)&gt;=1E9,AL14/1E9,IF(ABS(AL14)&gt;=1E6,AL14/1E6,IF(ABS(AL14)&gt;=1E3,AL14/1E3,AL14)))),"#,##0.000")&amp;IF((IF(ABS(AL14)&gt;=1E12,"TB",IF(ABS(AL14)&gt;=1E9,"GB",IF(ABS(AL14)&gt;=1E6,"MB",IF(ABS(AL14)&gt;=1E3,"KB","bytes")))))="",""," "&amp;(IF(ABS(AL14)&gt;=1E12,"TB",IF(ABS(AL14)&gt;=1E9,"GB",IF(ABS(AL14)&gt;=1E6,"MB",IF(ABS(AL14)&gt;=1E3,"KB","bytes"))))))</f>
        <v>2.466 MB</v>
      </c>
      <c r="H14" s="4" t="s">
        <v>237</v>
      </c>
      <c r="I14" s="4" t="s">
        <v>238</v>
      </c>
      <c r="J14" s="4" t="s">
        <v>236</v>
      </c>
      <c r="AE14" s="32">
        <f>(TotalLayers*(((HiddenSize)*(QLoraRank)*FP8Bytes+ROUNDUP((HiddenSize)/FP8Block,0)*ROUNDUP((QLoraRank)/FP8Block,0)*ScaleBytes)+((QLoraRank)*(TP1LocalHeads*HeadDim)*FP8Bytes+ROUNDUP((QLoraRank)/FP8Block,0)*ROUNDUP((TP1LocalHeads*HeadDim)/FP8Block,0)*ScaleBytes)+((HiddenSize)*(HeadDim)*FP8Bytes+ROUNDUP((HiddenSize)/FP8Block,0)*ROUNDUP((HeadDim)/FP8Block,0)*ScaleBytes)+TP1LocalHeads*HeadDim*OLoraRank*BF16Bytes+((TP1LocalOGroups*OLoraRank)*(HiddenSize)*FP8Bytes+ROUNDUP((TP1LocalOGroups*OLoraRank)/FP8Block,0)*ROUNDUP((HiddenSize)/FP8Block,0)*ScaleBytes)))+(0)+(0)+(0)+(ShortLayers*(((QLoraRank)*(TP1LocalIndexHeads*IndexHeadDim)*FP8Bytes+ROUNDUP((QLoraRank)/FP8Block,0)*ROUNDUP((TP1LocalIndexHeads*IndexHeadDim)/FP8Block,0)*ScaleBytes)+HiddenSize*TP1LocalIndexHeads*BF16Bytes))+(0)+(ShortLayers*(2*HiddenSize*(2*HeadDim)*FP32Bytes+ShortRatio*2*HeadDim*FP32Bytes+HeadDim*FP32Bytes))+(LongLayers*(2*HiddenSize*HeadDim*FP32Bytes+LongRatio*HeadDim*FP32Bytes+HeadDim*FP32Bytes))+(ShortLayers*(2*HiddenSize*(2*IndexHeadDim)*FP32Bytes+ShortRatio*2*IndexHeadDim*FP32Bytes+IndexHeadDim*FP32Bytes))+(0)</f>
        <v>7451384960</v>
      </c>
      <c r="AF14" s="32">
        <f>(DC_Rows*TotalLayers*2*(HiddenSize*QLoraRank+QLoraRank*TP1LocalHeads*HeadDim+HiddenSize*HeadDim+TP1LocalHeads*HeadDim*OLoraRank+TP1LocalOGroups*OLoraRank*HiddenSize))+(4*DecodeBatch*TP1KernelLocalHeads*HeadDim*(WindowLayers*DC_RawPairs))+(4*DecodeBatch*TP1KernelLocalHeads*HeadDim*(ShortLayers*(DC_RawPairs+DC_ShortPairs)))+(4*DecodeBatch*TP1KernelLocalHeads*HeadDim*(LongLayers*(DC_RawPairs+DC_LongPairs)))+(2*DC_Rows*ShortLayers*(QLoraRank*TP1LocalIndexHeads*IndexHeadDim+HiddenSize*TP1LocalIndexHeads))+(2*DecodeBatch*ShortLayers*TP1LocalIndexHeads*IndexHeadDim*DC_IndexPairs)+(DC_Rows*ShortLayers*8*HiddenSize*HeadDim)+(DC_Rows*LongLayers*4*HiddenSize*HeadDim)+(DC_Rows*ShortLayers*8*HiddenSize*IndexHeadDim)+(0)</f>
        <v>123969470464.0</v>
      </c>
      <c r="AG14" s="32">
        <f>((TotalLayers*(((HiddenSize)*(QLoraRank)*FP8Bytes+ROUNDUP((HiddenSize)/FP8Block,0)*ROUNDUP((QLoraRank)/FP8Block,0)*ScaleBytes)+((QLoraRank)*(TP1LocalHeads*HeadDim)*FP8Bytes+ROUNDUP((QLoraRank)/FP8Block,0)*ROUNDUP((TP1LocalHeads*HeadDim)/FP8Block,0)*ScaleBytes)+((HiddenSize)*(HeadDim)*FP8Bytes+ROUNDUP((HiddenSize)/FP8Block,0)*ROUNDUP((HeadDim)/FP8Block,0)*ScaleBytes)+TP1LocalHeads*HeadDim*OLoraRank*BF16Bytes+((TP1LocalOGroups*OLoraRank)*(HiddenSize)*FP8Bytes+ROUNDUP((TP1LocalOGroups*OLoraRank)/FP8Block,0)*ROUNDUP((HiddenSize)/FP8Block,0)*ScaleBytes))+DC_Rows*TotalLayers*(2*HiddenSize*BF16Bytes+QLoraRank*BF16Bytes+TP1KernelLocalHeads*HeadDim*BF16Bytes+TP1LocalOGroups*OLoraRank*BF16Bytes))+(DC_Rows*TotalLayers*(QLoraRank+TP1KernelLocalHeads*HeadDim+HeadDim+TP1LocalOGroups*OLoraRank+HiddenSize)*BF16Bytes))+((DC_Rows*WindowLayers*TP1KernelLocalHeads*HeadDim*BF16Bytes+DecodeBatch*(WindowLayers*DC_RawPairs)*HeadDim*BF16Bytes)+(DC_Rows*WindowLayers*TP1KernelLocalHeads*HeadDim*BF16Bytes))+((DC_Rows*ShortLayers*TP1KernelLocalHeads*HeadDim*BF16Bytes+DecodeBatch*(ShortLayers*(DC_RawPairs+DC_ShortPairs))*HeadDim*BF16Bytes)+(DC_Rows*ShortLayers*TP1KernelLocalHeads*HeadDim*BF16Bytes))+((DC_Rows*LongLayers*TP1KernelLocalHeads*HeadDim*BF16Bytes+DecodeBatch*(LongLayers*(DC_RawPairs+DC_LongPairs))*HeadDim*BF16Bytes)+(DC_Rows*LongLayers*TP1KernelLocalHeads*HeadDim*BF16Bytes))+((ShortLayers*(((QLoraRank)*(TP1LocalIndexHeads*IndexHeadDim)*FP8Bytes+ROUNDUP((QLoraRank)/FP8Block,0)*ROUNDUP((TP1LocalIndexHeads*IndexHeadDim)/FP8Block,0)*ScaleBytes)+HiddenSize*TP1LocalIndexHeads*BF16Bytes)+DC_Rows*ShortLayers*(QLoraRank+HiddenSize)*BF16Bytes)+(DC_Rows*ShortLayers*TP1LocalIndexHeads*(IndexHeadDim+1)*BF16Bytes))+((DecodeBatch*ShortLayers*DC_IndexPairs*(IndexHeadDim*BF16Bytes+TP1LocalIndexHeads*BF16Bytes))+(DecodeBatch*ShortLayers*DC_IndexPairs*(TP1LocalIndexHeads*BF16Bytes+FP32Bytes)))+((ShortLayers*(2*HiddenSize*(2*HeadDim)*FP32Bytes+ShortRatio*2*HeadDim*FP32Bytes+HeadDim*FP32Bytes)+DC_Rows*ShortLayers*HiddenSize*FP32Bytes)+(DC_Rows*ShortLayers*4*HeadDim*FP32Bytes))+((LongLayers*(2*HiddenSize*HeadDim*FP32Bytes+LongRatio*HeadDim*FP32Bytes+HeadDim*FP32Bytes)+DC_Rows*LongLayers*HiddenSize*FP32Bytes)+(DC_Rows*LongLayers*2*HeadDim*FP32Bytes))+((ShortLayers*(2*HiddenSize*(2*IndexHeadDim)*FP32Bytes+ShortRatio*2*IndexHeadDim*FP32Bytes+IndexHeadDim*FP32Bytes)+DC_Rows*ShortLayers*HiddenSize*FP32Bytes)+(DC_Rows*ShortLayers*4*IndexHeadDim*FP32Bytes))+((0)+(0))</f>
        <v>10492228352.0</v>
      </c>
      <c r="AH14" s="32">
        <f>(TotalLayers*(((HiddenSize)*(QLoraRank)*FP8Bytes+ROUNDUP((HiddenSize)/FP8Block,0)*ROUNDUP((QLoraRank)/FP8Block,0)*ScaleBytes)+((QLoraRank)*(TP8LocalHeads*HeadDim)*FP8Bytes+ROUNDUP((QLoraRank)/FP8Block,0)*ROUNDUP((TP8LocalHeads*HeadDim)/FP8Block,0)*ScaleBytes)+((HiddenSize)*(HeadDim)*FP8Bytes+ROUNDUP((HiddenSize)/FP8Block,0)*ROUNDUP((HeadDim)/FP8Block,0)*ScaleBytes)+TP8LocalHeads*HeadDim*OLoraRank*BF16Bytes+((TP8LocalOGroups*OLoraRank)*(HiddenSize)*FP8Bytes+ROUNDUP((TP8LocalOGroups*OLoraRank)/FP8Block,0)*ROUNDUP((HiddenSize)/FP8Block,0)*ScaleBytes)))+(0)+(0)+(0)+(ShortLayers*(((QLoraRank)*(TP8LocalIndexHeads*IndexHeadDim)*FP8Bytes+ROUNDUP((QLoraRank)/FP8Block,0)*ROUNDUP((TP8LocalIndexHeads*IndexHeadDim)/FP8Block,0)*ScaleBytes)+HiddenSize*TP8LocalIndexHeads*BF16Bytes))+(0)+(ShortLayers*(2*HiddenSize*(2*HeadDim)*FP32Bytes+ShortRatio*2*HeadDim*FP32Bytes+HeadDim*FP32Bytes))+(LongLayers*(2*HiddenSize*HeadDim*FP32Bytes+LongRatio*HeadDim*FP32Bytes+HeadDim*FP32Bytes))+(ShortLayers*(2*HiddenSize*(2*IndexHeadDim)*FP32Bytes+ShortRatio*2*IndexHeadDim*FP32Bytes+IndexHeadDim*FP32Bytes))+(0)</f>
        <v>2237504960</v>
      </c>
      <c r="AI14" s="32">
        <f>(DC_Rows*TotalLayers*2*(HiddenSize*QLoraRank+QLoraRank*TP8LocalHeads*HeadDim+HiddenSize*HeadDim+TP8LocalHeads*HeadDim*OLoraRank+TP8LocalOGroups*OLoraRank*HiddenSize))+(4*DecodeBatch*TP8KernelLocalHeads*HeadDim*(WindowLayers*DC_RawPairs))+(4*DecodeBatch*TP8KernelLocalHeads*HeadDim*(ShortLayers*(DC_RawPairs+DC_ShortPairs)))+(4*DecodeBatch*TP8KernelLocalHeads*HeadDim*(LongLayers*(DC_RawPairs+DC_LongPairs)))+(2*DC_Rows*ShortLayers*(QLoraRank*TP8LocalIndexHeads*IndexHeadDim+HiddenSize*TP8LocalIndexHeads))+(2*DecodeBatch*ShortLayers*TP8LocalIndexHeads*IndexHeadDim*DC_IndexPairs)+(DC_Rows*ShortLayers*8*HiddenSize*HeadDim)+(DC_Rows*LongLayers*4*HiddenSize*HeadDim)+(DC_Rows*ShortLayers*8*HiddenSize*IndexHeadDim)+(0)</f>
        <v>19452461056.0</v>
      </c>
      <c r="AJ14" s="32">
        <f>((TotalLayers*(((HiddenSize)*(QLoraRank)*FP8Bytes+ROUNDUP((HiddenSize)/FP8Block,0)*ROUNDUP((QLoraRank)/FP8Block,0)*ScaleBytes)+((QLoraRank)*(TP8LocalHeads*HeadDim)*FP8Bytes+ROUNDUP((QLoraRank)/FP8Block,0)*ROUNDUP((TP8LocalHeads*HeadDim)/FP8Block,0)*ScaleBytes)+((HiddenSize)*(HeadDim)*FP8Bytes+ROUNDUP((HiddenSize)/FP8Block,0)*ROUNDUP((HeadDim)/FP8Block,0)*ScaleBytes)+TP8LocalHeads*HeadDim*OLoraRank*BF16Bytes+((TP8LocalOGroups*OLoraRank)*(HiddenSize)*FP8Bytes+ROUNDUP((TP8LocalOGroups*OLoraRank)/FP8Block,0)*ROUNDUP((HiddenSize)/FP8Block,0)*ScaleBytes))+DC_Rows*TotalLayers*(2*HiddenSize*BF16Bytes+QLoraRank*BF16Bytes+TP8KernelLocalHeads*HeadDim*BF16Bytes+TP8LocalOGroups*OLoraRank*BF16Bytes))+(DC_Rows*TotalLayers*(QLoraRank+TP8KernelLocalHeads*HeadDim+HeadDim+TP8LocalOGroups*OLoraRank+HiddenSize)*BF16Bytes))+((DC_Rows*WindowLayers*TP8KernelLocalHeads*HeadDim*BF16Bytes+DecodeBatch*(WindowLayers*DC_RawPairs)*HeadDim*BF16Bytes)+(DC_Rows*WindowLayers*TP8KernelLocalHeads*HeadDim*BF16Bytes))+((DC_Rows*ShortLayers*TP8KernelLocalHeads*HeadDim*BF16Bytes+DecodeBatch*(ShortLayers*(DC_RawPairs+DC_ShortPairs))*HeadDim*BF16Bytes)+(DC_Rows*ShortLayers*TP8KernelLocalHeads*HeadDim*BF16Bytes))+((DC_Rows*LongLayers*TP8KernelLocalHeads*HeadDim*BF16Bytes+DecodeBatch*(LongLayers*(DC_RawPairs+DC_LongPairs))*HeadDim*BF16Bytes)+(DC_Rows*LongLayers*TP8KernelLocalHeads*HeadDim*BF16Bytes))+((ShortLayers*(((QLoraRank)*(TP8LocalIndexHeads*IndexHeadDim)*FP8Bytes+ROUNDUP((QLoraRank)/FP8Block,0)*ROUNDUP((TP8LocalIndexHeads*IndexHeadDim)/FP8Block,0)*ScaleBytes)+HiddenSize*TP8LocalIndexHeads*BF16Bytes)+DC_Rows*ShortLayers*(QLoraRank+HiddenSize)*BF16Bytes)+(DC_Rows*ShortLayers*TP8LocalIndexHeads*(IndexHeadDim+1)*BF16Bytes))+((DecodeBatch*ShortLayers*DC_IndexPairs*(IndexHeadDim*BF16Bytes+TP8LocalIndexHeads*BF16Bytes))+(DecodeBatch*ShortLayers*DC_IndexPairs*(TP8LocalIndexHeads*BF16Bytes+FP32Bytes)))+((ShortLayers*(2*HiddenSize*(2*HeadDim)*FP32Bytes+ShortRatio*2*HeadDim*FP32Bytes+HeadDim*FP32Bytes)+DC_Rows*ShortLayers*HiddenSize*FP32Bytes)+(DC_Rows*ShortLayers*4*HeadDim*FP32Bytes))+((LongLayers*(2*HiddenSize*HeadDim*FP32Bytes+LongRatio*HeadDim*FP32Bytes+HeadDim*FP32Bytes)+DC_Rows*LongLayers*HiddenSize*FP32Bytes)+(DC_Rows*LongLayers*2*HeadDim*FP32Bytes))+((ShortLayers*(2*HiddenSize*(2*IndexHeadDim)*FP32Bytes+ShortRatio*2*IndexHeadDim*FP32Bytes+IndexHeadDim*FP32Bytes)+DC_Rows*ShortLayers*HiddenSize*FP32Bytes)+(DC_Rows*ShortLayers*4*IndexHeadDim*FP32Bytes))+((0)+(0))</f>
        <v>4035232528.0</v>
      </c>
      <c r="AK14" s="32">
        <f>(0)+(0)+(0)+(0)+(0)+(0)+(0)+(0)+(0)+(4*(TP1Size-1)/TP1Size*DC_Rows*HiddenSize*FP32Bytes*TotalLayers)</f>
        <v>0.0</v>
      </c>
      <c r="AL14" s="32">
        <f>(0)+(0)+(0)+(0)+(0)+(0)+(0)+(0)+(0)+(4*(TP8Size-1)/TP8Size*DC_Rows*HiddenSize*FP32Bytes*TotalLayers)</f>
        <v>2465792.0</v>
      </c>
    </row>
    <row r="15" spans="1:38">
      <c r="A15" s="4" t="s">
        <v>59</v>
      </c>
      <c r="B15" s="33" t="str">
        <f>TEXT(IF(ABS(AE15)&gt;=1E12,AE15/1E12,IF(ABS(AE15)&gt;=1E9,AE15/1E9,IF(ABS(AE15)&gt;=1E6,AE15/1E6,IF(ABS(AE15)&gt;=1E3,AE15/1E3,AE15)))),"#,##0.000")&amp;IF((IF(ABS(AE15)&gt;=1E12,"TB",IF(ABS(AE15)&gt;=1E9,"GB",IF(ABS(AE15)&gt;=1E6,"MB",IF(ABS(AE15)&gt;=1E3,"KB","bytes")))))="",""," "&amp;(IF(ABS(AE15)&gt;=1E12,"TB",IF(ABS(AE15)&gt;=1E9,"GB",IF(ABS(AE15)&gt;=1E6,"MB",IF(ABS(AE15)&gt;=1E3,"KB","bytes"))))))</f>
        <v>148.351 GB</v>
      </c>
      <c r="C15" s="33" t="str">
        <f>TEXT(IF(ABS(AF15)&gt;=1E15,AF15/1E15,IF(ABS(AF15)&gt;=1E12,AF15/1E12,IF(ABS(AF15)&gt;=1E9,AF15/1E9,IF(ABS(AF15)&gt;=1E6,AF15/1E6,AF15)))),"#,##0.000")&amp;IF((IF(ABS(AF15)&gt;=1E15,"PFLOPs",IF(ABS(AF15)&gt;=1E12,"TFLOPs",IF(ABS(AF15)&gt;=1E9,"GFLOPs",IF(ABS(AF15)&gt;=1E6,"MFLOPs","flops")))))="",""," "&amp;(IF(ABS(AF15)&gt;=1E15,"PFLOPs",IF(ABS(AF15)&gt;=1E12,"TFLOPs",IF(ABS(AF15)&gt;=1E9,"GFLOPs",IF(ABS(AF15)&gt;=1E6,"MFLOPs","flops"))))))</f>
        <v>15.240 GFLOPs</v>
      </c>
      <c r="D15" s="33" t="str">
        <f>TEXT(IF(ABS(AK15)&gt;=1E12,AK15/1E12,IF(ABS(AK15)&gt;=1E9,AK15/1E9,IF(ABS(AK15)&gt;=1E6,AK15/1E6,IF(ABS(AK15)&gt;=1E3,AK15/1E3,AK15)))),"#,##0.000")&amp;IF((IF(ABS(AK15)&gt;=1E12,"TB",IF(ABS(AK15)&gt;=1E9,"GB",IF(ABS(AK15)&gt;=1E6,"MB",IF(ABS(AK15)&gt;=1E3,"KB","bytes")))))="",""," "&amp;(IF(ABS(AK15)&gt;=1E12,"TB",IF(ABS(AK15)&gt;=1E9,"GB",IF(ABS(AK15)&gt;=1E6,"MB",IF(ABS(AK15)&gt;=1E3,"KB","bytes"))))))</f>
        <v>0.000 B</v>
      </c>
      <c r="E15" s="33" t="str">
        <f>TEXT(IF(ABS(AH15)&gt;=1E12,AH15/1E12,IF(ABS(AH15)&gt;=1E9,AH15/1E9,IF(ABS(AH15)&gt;=1E6,AH15/1E6,IF(ABS(AH15)&gt;=1E3,AH15/1E3,AH15)))),"#,##0.000")&amp;IF((IF(ABS(AH15)&gt;=1E12,"TB",IF(ABS(AH15)&gt;=1E9,"GB",IF(ABS(AH15)&gt;=1E6,"MB",IF(ABS(AH15)&gt;=1E3,"KB","bytes")))))="",""," "&amp;(IF(ABS(AH15)&gt;=1E12,"TB",IF(ABS(AH15)&gt;=1E9,"GB",IF(ABS(AH15)&gt;=1E6,"MB",IF(ABS(AH15)&gt;=1E3,"KB","bytes"))))))</f>
        <v>19.578 GB</v>
      </c>
      <c r="F15" s="33" t="str">
        <f>TEXT(IF(ABS(AI15)&gt;=1E15,AI15/1E15,IF(ABS(AI15)&gt;=1E12,AI15/1E12,IF(ABS(AI15)&gt;=1E9,AI15/1E9,IF(ABS(AI15)&gt;=1E6,AI15/1E6,AI15)))),"#,##0.000")&amp;IF((IF(ABS(AI15)&gt;=1E15,"PFLOPs",IF(ABS(AI15)&gt;=1E12,"TFLOPs",IF(ABS(AI15)&gt;=1E9,"GFLOPs",IF(ABS(AI15)&gt;=1E6,"MFLOPs","flops")))))="",""," "&amp;(IF(ABS(AI15)&gt;=1E15,"PFLOPs",IF(ABS(AI15)&gt;=1E12,"TFLOPs",IF(ABS(AI15)&gt;=1E9,"GFLOPs",IF(ABS(AI15)&gt;=1E6,"MFLOPs","flops"))))))</f>
        <v>3.878 GFLOPs</v>
      </c>
      <c r="G15" s="33" t="str">
        <f>TEXT(IF(ABS(AL15)&gt;=1E12,AL15/1E12,IF(ABS(AL15)&gt;=1E9,AL15/1E9,IF(ABS(AL15)&gt;=1E6,AL15/1E6,IF(ABS(AL15)&gt;=1E3,AL15/1E3,AL15)))),"#,##0.000")&amp;IF((IF(ABS(AL15)&gt;=1E12,"TB",IF(ABS(AL15)&gt;=1E9,"GB",IF(ABS(AL15)&gt;=1E6,"MB",IF(ABS(AL15)&gt;=1E3,"KB","bytes")))))="",""," "&amp;(IF(ABS(AL15)&gt;=1E12,"TB",IF(ABS(AL15)&gt;=1E9,"GB",IF(ABS(AL15)&gt;=1E6,"MB",IF(ABS(AL15)&gt;=1E3,"KB","bytes"))))))</f>
        <v>2.466 MB</v>
      </c>
      <c r="H15" s="4" t="s">
        <v>240</v>
      </c>
      <c r="I15" s="4" t="s">
        <v>235</v>
      </c>
      <c r="J15" s="4" t="s">
        <v>239</v>
      </c>
      <c r="AE15" s="32">
        <f>(TotalLayers*RoutedExperts*HiddenSize*BF16Bytes+(TotalLayers-ActiveHashLayers)*RoutedExperts*FP32Bytes+ActiveHashLayers*VocabSize*ActivatedExperts*INT32Bytes)+(TotalLayers*TP1LocalExperts*(3*HiddenSize*ExpertInter*FP4Bytes+3*HiddenSize*ExpertInter/FP4Block*ScaleBytes))+(TotalLayers*SharedExperts*(2*((HiddenSize)*(ExpertInter)*FP8Bytes+ROUNDUP((HiddenSize)/FP8Block,0)*ROUNDUP((ExpertInter)/FP8Block,0)*ScaleBytes)+((ExpertInter)*(HiddenSize)*FP8Bytes+ROUNDUP((ExpertInter)/FP8Block,0)*ROUNDUP((HiddenSize)/FP8Block,0)*ScaleBytes)))+(0)</f>
        <v>148351461888.0</v>
      </c>
      <c r="AF15" s="32">
        <f>(2*DC_Rows*TotalLayers*HiddenSize*RoutedExperts)+(DC_Rows*TotalLayers*(ActivatedExperts/TP1Size)*6*HiddenSize*ExpertInter)+(DC_Rows*TotalLayers*SharedExperts*6*HiddenSize*ExpertInter)+(0)</f>
        <v>15240003584.0</v>
      </c>
      <c r="AG15" s="32">
        <f>((TotalLayers*RoutedExperts*HiddenSize*BF16Bytes+(TotalLayers-ActiveHashLayers)*RoutedExperts*FP32Bytes+DC_Rows*TotalLayers*HiddenSize*BF16Bytes+DC_Rows*ActiveHashLayers*ActivatedExperts*INT32Bytes)+(DC_Rows*TotalLayers*RoutedExperts*FP32Bytes))+((TotalLayers*TP1LocalExperts*DC_ExpertActiveProbability*(3*HiddenSize*ExpertInter*FP4Bytes+3*HiddenSize*ExpertInter/FP4Block*ScaleBytes)+DC_Rows*TotalLayers*(ActivatedExperts/TP1Size)*HiddenSize*BF16Bytes)+(DC_Rows*TotalLayers*(ActivatedExperts/TP1Size)*HiddenSize*BF16Bytes))+((TotalLayers*SharedExperts*(2*((HiddenSize)*(ExpertInter)*FP8Bytes+ROUNDUP((HiddenSize)/FP8Block,0)*ROUNDUP((ExpertInter)/FP8Block,0)*ScaleBytes)+((ExpertInter)*(HiddenSize)*FP8Bytes+ROUNDUP((ExpertInter)/FP8Block,0)*ROUNDUP((HiddenSize)/FP8Block,0)*ScaleBytes))+DC_Rows*TotalLayers*SharedExperts*HiddenSize*BF16Bytes)+(DC_Rows*TotalLayers*SharedExperts*HiddenSize*BF16Bytes))+((0)+(0))</f>
        <v>4627033672.0</v>
      </c>
      <c r="AH15" s="32">
        <f>(TotalLayers*RoutedExperts*HiddenSize*BF16Bytes+(TotalLayers-ActiveHashLayers)*RoutedExperts*FP32Bytes+ActiveHashLayers*VocabSize*ActivatedExperts*INT32Bytes)+(TotalLayers*TP8LocalExperts*(3*HiddenSize*ExpertInter*FP4Bytes+3*HiddenSize*ExpertInter/FP4Block*ScaleBytes))+(TotalLayers*SharedExperts*(2*((HiddenSize)*(ExpertInter)*FP8Bytes+ROUNDUP((HiddenSize)/FP8Block,0)*ROUNDUP((ExpertInter)/FP8Block,0)*ScaleBytes)+((ExpertInter)*(HiddenSize)*FP8Bytes+ROUNDUP((ExpertInter)/FP8Block,0)*ROUNDUP((HiddenSize)/FP8Block,0)*ScaleBytes)))+(0)</f>
        <v>19577940480.0</v>
      </c>
      <c r="AI15" s="32">
        <f>(2*DC_Rows*TotalLayers*HiddenSize*RoutedExperts)+(DC_Rows*TotalLayers*(ActivatedExperts/TP8Size)*6*HiddenSize*ExpertInter)+(DC_Rows*TotalLayers*SharedExperts*6*HiddenSize*ExpertInter)+(0)</f>
        <v>3877634048.0</v>
      </c>
      <c r="AJ15" s="32">
        <f>((TotalLayers*RoutedExperts*HiddenSize*BF16Bytes+(TotalLayers-ActiveHashLayers)*RoutedExperts*FP32Bytes+DC_Rows*TotalLayers*HiddenSize*BF16Bytes+DC_Rows*ActiveHashLayers*ActivatedExperts*INT32Bytes)+(DC_Rows*TotalLayers*RoutedExperts*FP32Bytes))+((TotalLayers*TP8LocalExperts*DC_ExpertActiveProbability*(3*HiddenSize*ExpertInter*FP4Bytes+3*HiddenSize*ExpertInter/FP4Block*ScaleBytes)+DC_Rows*TotalLayers*(ActivatedExperts/TP8Size)*HiddenSize*BF16Bytes)+(DC_Rows*TotalLayers*(ActivatedExperts/TP8Size)*HiddenSize*BF16Bytes))+((TotalLayers*SharedExperts*(2*((HiddenSize)*(ExpertInter)*FP8Bytes+ROUNDUP((HiddenSize)/FP8Block,0)*ROUNDUP((ExpertInter)/FP8Block,0)*ScaleBytes)+((ExpertInter)*(HiddenSize)*FP8Bytes+ROUNDUP((ExpertInter)/FP8Block,0)*ROUNDUP((HiddenSize)/FP8Block,0)*ScaleBytes))+DC_Rows*TotalLayers*SharedExperts*HiddenSize*BF16Bytes)+(DC_Rows*TotalLayers*SharedExperts*HiddenSize*BF16Bytes))+((0)+(0))</f>
        <v>1605205576.0</v>
      </c>
      <c r="AK15" s="32">
        <f>(0)+(0)+(0)+(4*(TP1Size-1)/TP1Size*DC_Rows*HiddenSize*FP32Bytes*TotalLayers)</f>
        <v>0.0</v>
      </c>
      <c r="AL15" s="32">
        <f>(0)+(0)+(0)+(4*(TP8Size-1)/TP8Size*DC_Rows*HiddenSize*FP32Bytes*TotalLayers)</f>
        <v>2465792.0</v>
      </c>
    </row>
    <row r="16" spans="1:38">
      <c r="A16" s="4" t="s">
        <v>241</v>
      </c>
      <c r="B16" s="33" t="str">
        <f>TEXT(IF(ABS(AE16)&gt;=1E12,AE16/1E12,IF(ABS(AE16)&gt;=1E9,AE16/1E9,IF(ABS(AE16)&gt;=1E6,AE16/1E6,IF(ABS(AE16)&gt;=1E3,AE16/1E3,AE16)))),"#,##0.000")&amp;IF((IF(ABS(AE16)&gt;=1E12,"TB",IF(ABS(AE16)&gt;=1E9,"GB",IF(ABS(AE16)&gt;=1E6,"MB",IF(ABS(AE16)&gt;=1E3,"KB","bytes")))))="",""," "&amp;(IF(ABS(AE16)&gt;=1E12,"TB",IF(ABS(AE16)&gt;=1E9,"GB",IF(ABS(AE16)&gt;=1E6,"MB",IF(ABS(AE16)&gt;=1E3,"KB","bytes"))))))</f>
        <v>1.059 GB</v>
      </c>
      <c r="C16" s="33" t="str">
        <f>TEXT(IF(ABS(AF16)&gt;=1E15,AF16/1E15,IF(ABS(AF16)&gt;=1E12,AF16/1E12,IF(ABS(AF16)&gt;=1E9,AF16/1E9,IF(ABS(AF16)&gt;=1E6,AF16/1E6,AF16)))),"#,##0.000")&amp;IF((IF(ABS(AF16)&gt;=1E15,"PFLOPs",IF(ABS(AF16)&gt;=1E12,"TFLOPs",IF(ABS(AF16)&gt;=1E9,"GFLOPs",IF(ABS(AF16)&gt;=1E6,"MFLOPs","flops")))))="",""," "&amp;(IF(ABS(AF16)&gt;=1E15,"PFLOPs",IF(ABS(AF16)&gt;=1E12,"TFLOPs",IF(ABS(AF16)&gt;=1E9,"GFLOPs",IF(ABS(AF16)&gt;=1E6,"MFLOPs","flops"))))))</f>
        <v>0.000 FLOPs</v>
      </c>
      <c r="D16" s="33" t="str">
        <f>TEXT(IF(ABS(AK16)&gt;=1E12,AK16/1E12,IF(ABS(AK16)&gt;=1E9,AK16/1E9,IF(ABS(AK16)&gt;=1E6,AK16/1E6,IF(ABS(AK16)&gt;=1E3,AK16/1E3,AK16)))),"#,##0.000")&amp;IF((IF(ABS(AK16)&gt;=1E12,"TB",IF(ABS(AK16)&gt;=1E9,"GB",IF(ABS(AK16)&gt;=1E6,"MB",IF(ABS(AK16)&gt;=1E3,"KB","bytes")))))="",""," "&amp;(IF(ABS(AK16)&gt;=1E12,"TB",IF(ABS(AK16)&gt;=1E9,"GB",IF(ABS(AK16)&gt;=1E6,"MB",IF(ABS(AK16)&gt;=1E3,"KB","bytes"))))))</f>
        <v>0.000 B</v>
      </c>
      <c r="E16" s="33" t="str">
        <f>TEXT(IF(ABS(AH16)&gt;=1E12,AH16/1E12,IF(ABS(AH16)&gt;=1E9,AH16/1E9,IF(ABS(AH16)&gt;=1E6,AH16/1E6,IF(ABS(AH16)&gt;=1E3,AH16/1E3,AH16)))),"#,##0.000")&amp;IF((IF(ABS(AH16)&gt;=1E12,"TB",IF(ABS(AH16)&gt;=1E9,"GB",IF(ABS(AH16)&gt;=1E6,"MB",IF(ABS(AH16)&gt;=1E3,"KB","bytes")))))="",""," "&amp;(IF(ABS(AH16)&gt;=1E12,"TB",IF(ABS(AH16)&gt;=1E9,"GB",IF(ABS(AH16)&gt;=1E6,"MB",IF(ABS(AH16)&gt;=1E3,"KB","bytes"))))))</f>
        <v>132.383 MB</v>
      </c>
      <c r="F16" s="33" t="str">
        <f>TEXT(IF(ABS(AI16)&gt;=1E15,AI16/1E15,IF(ABS(AI16)&gt;=1E12,AI16/1E12,IF(ABS(AI16)&gt;=1E9,AI16/1E9,IF(ABS(AI16)&gt;=1E6,AI16/1E6,AI16)))),"#,##0.000")&amp;IF((IF(ABS(AI16)&gt;=1E15,"PFLOPs",IF(ABS(AI16)&gt;=1E12,"TFLOPs",IF(ABS(AI16)&gt;=1E9,"GFLOPs",IF(ABS(AI16)&gt;=1E6,"MFLOPs","flops")))))="",""," "&amp;(IF(ABS(AI16)&gt;=1E15,"PFLOPs",IF(ABS(AI16)&gt;=1E12,"TFLOPs",IF(ABS(AI16)&gt;=1E9,"GFLOPs",IF(ABS(AI16)&gt;=1E6,"MFLOPs","flops"))))))</f>
        <v>0.000 FLOPs</v>
      </c>
      <c r="G16" s="33" t="str">
        <f>TEXT(IF(ABS(AL16)&gt;=1E12,AL16/1E12,IF(ABS(AL16)&gt;=1E9,AL16/1E9,IF(ABS(AL16)&gt;=1E6,AL16/1E6,IF(ABS(AL16)&gt;=1E3,AL16/1E3,AL16)))),"#,##0.000")&amp;IF((IF(ABS(AL16)&gt;=1E12,"TB",IF(ABS(AL16)&gt;=1E9,"GB",IF(ABS(AL16)&gt;=1E6,"MB",IF(ABS(AL16)&gt;=1E3,"KB","bytes")))))="",""," "&amp;(IF(ABS(AL16)&gt;=1E12,"TB",IF(ABS(AL16)&gt;=1E9,"GB",IF(ABS(AL16)&gt;=1E6,"MB",IF(ABS(AL16)&gt;=1E3,"KB","bytes"))))))</f>
        <v>28.672 KB</v>
      </c>
      <c r="H16" s="4" t="s">
        <v>243</v>
      </c>
      <c r="I16" s="4" t="s">
        <v>244</v>
      </c>
      <c r="J16" s="4" t="s">
        <v>242</v>
      </c>
      <c r="AE16" s="32">
        <f>(TP1LocalVocab*HiddenSize*BF16Bytes)</f>
        <v>1059061760.0</v>
      </c>
      <c r="AF16" s="32">
        <f>(0)</f>
        <v>0</v>
      </c>
      <c r="AG16" s="32">
        <f>((DC_Rows*HiddenSize*BF16Bytes)+(DC_Rows*HiddenSize*BF16Bytes))</f>
        <v>16384</v>
      </c>
      <c r="AH16" s="32">
        <f>(TP8LocalVocab*HiddenSize*BF16Bytes)</f>
        <v>132382720.0</v>
      </c>
      <c r="AI16" s="32">
        <f>(0)</f>
        <v>0</v>
      </c>
      <c r="AJ16" s="32">
        <f>((DC_Rows*HiddenSize*BF16Bytes)+(DC_Rows*HiddenSize*BF16Bytes))</f>
        <v>16384</v>
      </c>
      <c r="AK16" s="32">
        <f>(4*(TP1Size-1)/TP1Size*DC_Rows*HiddenSize*BF16Bytes)</f>
        <v>0.0</v>
      </c>
      <c r="AL16" s="32">
        <f>(4*(TP8Size-1)/TP8Size*DC_Rows*HiddenSize*BF16Bytes)</f>
        <v>28672.0</v>
      </c>
    </row>
    <row r="17" spans="1:38">
      <c r="A17" s="4" t="s">
        <v>245</v>
      </c>
      <c r="B17" s="33" t="str">
        <f>TEXT(IF(ABS(AE17)&gt;=1E12,AE17/1E12,IF(ABS(AE17)&gt;=1E9,AE17/1E9,IF(ABS(AE17)&gt;=1E6,AE17/1E6,IF(ABS(AE17)&gt;=1E3,AE17/1E3,AE17)))),"#,##0.000")&amp;IF((IF(ABS(AE17)&gt;=1E12,"TB",IF(ABS(AE17)&gt;=1E9,"GB",IF(ABS(AE17)&gt;=1E6,"MB",IF(ABS(AE17)&gt;=1E3,"KB","bytes")))))="",""," "&amp;(IF(ABS(AE17)&gt;=1E12,"TB",IF(ABS(AE17)&gt;=1E9,"GB",IF(ABS(AE17)&gt;=1E6,"MB",IF(ABS(AE17)&gt;=1E3,"KB","bytes"))))))</f>
        <v>2.118 GB</v>
      </c>
      <c r="C17" s="33" t="str">
        <f>TEXT(IF(ABS(AF17)&gt;=1E15,AF17/1E15,IF(ABS(AF17)&gt;=1E12,AF17/1E12,IF(ABS(AF17)&gt;=1E9,AF17/1E9,IF(ABS(AF17)&gt;=1E6,AF17/1E6,AF17)))),"#,##0.000")&amp;IF((IF(ABS(AF17)&gt;=1E15,"PFLOPs",IF(ABS(AF17)&gt;=1E12,"TFLOPs",IF(ABS(AF17)&gt;=1E9,"GFLOPs",IF(ABS(AF17)&gt;=1E6,"MFLOPs","flops")))))="",""," "&amp;(IF(ABS(AF17)&gt;=1E15,"PFLOPs",IF(ABS(AF17)&gt;=1E12,"TFLOPs",IF(ABS(AF17)&gt;=1E9,"GFLOPs",IF(ABS(AF17)&gt;=1E6,"MFLOPs","flops"))))))</f>
        <v>1.059 GFLOPs</v>
      </c>
      <c r="D17" s="33" t="str">
        <f>TEXT(IF(ABS(AK17)&gt;=1E12,AK17/1E12,IF(ABS(AK17)&gt;=1E9,AK17/1E9,IF(ABS(AK17)&gt;=1E6,AK17/1E6,IF(ABS(AK17)&gt;=1E3,AK17/1E3,AK17)))),"#,##0.000")&amp;IF((IF(ABS(AK17)&gt;=1E12,"TB",IF(ABS(AK17)&gt;=1E9,"GB",IF(ABS(AK17)&gt;=1E6,"MB",IF(ABS(AK17)&gt;=1E3,"KB","bytes")))))="",""," "&amp;(IF(ABS(AK17)&gt;=1E12,"TB",IF(ABS(AK17)&gt;=1E9,"GB",IF(ABS(AK17)&gt;=1E6,"MB",IF(ABS(AK17)&gt;=1E3,"KB","bytes"))))))</f>
        <v>0.000 B</v>
      </c>
      <c r="E17" s="33" t="str">
        <f>TEXT(IF(ABS(AH17)&gt;=1E12,AH17/1E12,IF(ABS(AH17)&gt;=1E9,AH17/1E9,IF(ABS(AH17)&gt;=1E6,AH17/1E6,IF(ABS(AH17)&gt;=1E3,AH17/1E3,AH17)))),"#,##0.000")&amp;IF((IF(ABS(AH17)&gt;=1E12,"TB",IF(ABS(AH17)&gt;=1E9,"GB",IF(ABS(AH17)&gt;=1E6,"MB",IF(ABS(AH17)&gt;=1E3,"KB","bytes")))))="",""," "&amp;(IF(ABS(AH17)&gt;=1E12,"TB",IF(ABS(AH17)&gt;=1E9,"GB",IF(ABS(AH17)&gt;=1E6,"MB",IF(ABS(AH17)&gt;=1E3,"KB","bytes"))))))</f>
        <v>264.765 MB</v>
      </c>
      <c r="F17" s="33" t="str">
        <f>TEXT(IF(ABS(AI17)&gt;=1E15,AI17/1E15,IF(ABS(AI17)&gt;=1E12,AI17/1E12,IF(ABS(AI17)&gt;=1E9,AI17/1E9,IF(ABS(AI17)&gt;=1E6,AI17/1E6,AI17)))),"#,##0.000")&amp;IF((IF(ABS(AI17)&gt;=1E15,"PFLOPs",IF(ABS(AI17)&gt;=1E12,"TFLOPs",IF(ABS(AI17)&gt;=1E9,"GFLOPs",IF(ABS(AI17)&gt;=1E6,"MFLOPs","flops")))))="",""," "&amp;(IF(ABS(AI17)&gt;=1E15,"PFLOPs",IF(ABS(AI17)&gt;=1E12,"TFLOPs",IF(ABS(AI17)&gt;=1E9,"GFLOPs",IF(ABS(AI17)&gt;=1E6,"MFLOPs","flops"))))))</f>
        <v>132.383 MFLOPs</v>
      </c>
      <c r="G17" s="33" t="str">
        <f>TEXT(IF(ABS(AL17)&gt;=1E12,AL17/1E12,IF(ABS(AL17)&gt;=1E9,AL17/1E9,IF(ABS(AL17)&gt;=1E6,AL17/1E6,IF(ABS(AL17)&gt;=1E3,AL17/1E3,AL17)))),"#,##0.000")&amp;IF((IF(ABS(AL17)&gt;=1E12,"TB",IF(ABS(AL17)&gt;=1E9,"GB",IF(ABS(AL17)&gt;=1E6,"MB",IF(ABS(AL17)&gt;=1E3,"KB","bytes")))))="",""," "&amp;(IF(ABS(AL17)&gt;=1E12,"TB",IF(ABS(AL17)&gt;=1E9,"GB",IF(ABS(AL17)&gt;=1E6,"MB",IF(ABS(AL17)&gt;=1E3,"KB","bytes"))))))</f>
        <v>904.960 KB</v>
      </c>
      <c r="H17" s="4" t="s">
        <v>247</v>
      </c>
      <c r="I17" s="4" t="s">
        <v>248</v>
      </c>
      <c r="J17" s="4" t="s">
        <v>246</v>
      </c>
      <c r="AE17" s="32">
        <f>(TP1LocalVocab*HiddenSize*FP32Bytes)</f>
        <v>2118123520.0</v>
      </c>
      <c r="AF17" s="32">
        <f>(2*DC_Rows*HiddenSize*TP1LocalVocab)</f>
        <v>1059061760.0</v>
      </c>
      <c r="AG17" s="32">
        <f>((TP1LocalVocab*HiddenSize*FP32Bytes+DC_Rows*HiddenSize*FP32Bytes)+(DC_Rows*TP1LocalVocab*FP32Bytes))</f>
        <v>2118657024.0</v>
      </c>
      <c r="AH17" s="32">
        <f>(TP8LocalVocab*HiddenSize*FP32Bytes)</f>
        <v>264765440.0</v>
      </c>
      <c r="AI17" s="32">
        <f>(2*DC_Rows*HiddenSize*TP8LocalVocab)</f>
        <v>132382720.0</v>
      </c>
      <c r="AJ17" s="32">
        <f>((TP8LocalVocab*HiddenSize*FP32Bytes+DC_Rows*HiddenSize*FP32Bytes)+(DC_Rows*TP8LocalVocab*FP32Bytes))</f>
        <v>264846464.0</v>
      </c>
      <c r="AK17" s="32">
        <f>(2*(TP1Size-1)*DC_Rows*TP1LocalVocab*FP32Bytes)</f>
        <v>0.0</v>
      </c>
      <c r="AL17" s="32">
        <f>(2*(TP8Size-1)*DC_Rows*TP8LocalVocab*FP32Bytes)</f>
        <v>904960.0</v>
      </c>
    </row>
    <row r="18" spans="1:38">
      <c r="A18" s="4" t="s">
        <v>249</v>
      </c>
      <c r="B18" s="33" t="str">
        <f>TEXT(IF(ABS(AE18)&gt;=1E12,AE18/1E12,IF(ABS(AE18)&gt;=1E9,AE18/1E9,IF(ABS(AE18)&gt;=1E6,AE18/1E6,IF(ABS(AE18)&gt;=1E3,AE18/1E3,AE18)))),"#,##0.000")&amp;IF((IF(ABS(AE18)&gt;=1E12,"TB",IF(ABS(AE18)&gt;=1E9,"GB",IF(ABS(AE18)&gt;=1E6,"MB",IF(ABS(AE18)&gt;=1E3,"KB","bytes")))))="",""," "&amp;(IF(ABS(AE18)&gt;=1E12,"TB",IF(ABS(AE18)&gt;=1E9,"GB",IF(ABS(AE18)&gt;=1E6,"MB",IF(ABS(AE18)&gt;=1E3,"KB","bytes"))))))</f>
        <v>1.701 MB</v>
      </c>
      <c r="C18" s="33" t="str">
        <f>TEXT(IF(ABS(AF18)&gt;=1E15,AF18/1E15,IF(ABS(AF18)&gt;=1E12,AF18/1E12,IF(ABS(AF18)&gt;=1E9,AF18/1E9,IF(ABS(AF18)&gt;=1E6,AF18/1E6,AF18)))),"#,##0.000")&amp;IF((IF(ABS(AF18)&gt;=1E15,"PFLOPs",IF(ABS(AF18)&gt;=1E12,"TFLOPs",IF(ABS(AF18)&gt;=1E9,"GFLOPs",IF(ABS(AF18)&gt;=1E6,"MFLOPs","flops")))))="",""," "&amp;(IF(ABS(AF18)&gt;=1E15,"PFLOPs",IF(ABS(AF18)&gt;=1E12,"TFLOPs",IF(ABS(AF18)&gt;=1E9,"GFLOPs",IF(ABS(AF18)&gt;=1E6,"MFLOPs","flops"))))))</f>
        <v>1.425 MFLOPs</v>
      </c>
      <c r="D18" s="33" t="str">
        <f>TEXT(IF(ABS(AK18)&gt;=1E12,AK18/1E12,IF(ABS(AK18)&gt;=1E9,AK18/1E9,IF(ABS(AK18)&gt;=1E6,AK18/1E6,IF(ABS(AK18)&gt;=1E3,AK18/1E3,AK18)))),"#,##0.000")&amp;IF((IF(ABS(AK18)&gt;=1E12,"TB",IF(ABS(AK18)&gt;=1E9,"GB",IF(ABS(AK18)&gt;=1E6,"MB",IF(ABS(AK18)&gt;=1E3,"KB","bytes")))))="",""," "&amp;(IF(ABS(AK18)&gt;=1E12,"TB",IF(ABS(AK18)&gt;=1E9,"GB",IF(ABS(AK18)&gt;=1E6,"MB",IF(ABS(AK18)&gt;=1E3,"KB","bytes"))))))</f>
        <v>0.000 B</v>
      </c>
      <c r="E18" s="33" t="str">
        <f>TEXT(IF(ABS(AH18)&gt;=1E12,AH18/1E12,IF(ABS(AH18)&gt;=1E9,AH18/1E9,IF(ABS(AH18)&gt;=1E6,AH18/1E6,IF(ABS(AH18)&gt;=1E3,AH18/1E3,AH18)))),"#,##0.000")&amp;IF((IF(ABS(AH18)&gt;=1E12,"TB",IF(ABS(AH18)&gt;=1E9,"GB",IF(ABS(AH18)&gt;=1E6,"MB",IF(ABS(AH18)&gt;=1E3,"KB","bytes")))))="",""," "&amp;(IF(ABS(AH18)&gt;=1E12,"TB",IF(ABS(AH18)&gt;=1E9,"GB",IF(ABS(AH18)&gt;=1E6,"MB",IF(ABS(AH18)&gt;=1E3,"KB","bytes"))))))</f>
        <v>1.691 MB</v>
      </c>
      <c r="F18" s="33" t="str">
        <f>TEXT(IF(ABS(AI18)&gt;=1E15,AI18/1E15,IF(ABS(AI18)&gt;=1E12,AI18/1E12,IF(ABS(AI18)&gt;=1E9,AI18/1E9,IF(ABS(AI18)&gt;=1E6,AI18/1E6,AI18)))),"#,##0.000")&amp;IF((IF(ABS(AI18)&gt;=1E15,"PFLOPs",IF(ABS(AI18)&gt;=1E12,"TFLOPs",IF(ABS(AI18)&gt;=1E9,"GFLOPs",IF(ABS(AI18)&gt;=1E6,"MFLOPs","flops")))))="",""," "&amp;(IF(ABS(AI18)&gt;=1E15,"PFLOPs",IF(ABS(AI18)&gt;=1E12,"TFLOPs",IF(ABS(AI18)&gt;=1E9,"GFLOPs",IF(ABS(AI18)&gt;=1E6,"MFLOPs","flops"))))))</f>
        <v>1.425 MFLOPs</v>
      </c>
      <c r="G18" s="33" t="str">
        <f>TEXT(IF(ABS(AL18)&gt;=1E12,AL18/1E12,IF(ABS(AL18)&gt;=1E9,AL18/1E9,IF(ABS(AL18)&gt;=1E6,AL18/1E6,IF(ABS(AL18)&gt;=1E3,AL18/1E3,AL18)))),"#,##0.000")&amp;IF((IF(ABS(AL18)&gt;=1E12,"TB",IF(ABS(AL18)&gt;=1E9,"GB",IF(ABS(AL18)&gt;=1E6,"MB",IF(ABS(AL18)&gt;=1E3,"KB","bytes")))))="",""," "&amp;(IF(ABS(AL18)&gt;=1E12,"TB",IF(ABS(AL18)&gt;=1E9,"GB",IF(ABS(AL18)&gt;=1E6,"MB",IF(ABS(AL18)&gt;=1E3,"KB","bytes"))))))</f>
        <v>0.000 B</v>
      </c>
      <c r="H18" s="4" t="s">
        <v>247</v>
      </c>
      <c r="I18" s="4" t="s">
        <v>251</v>
      </c>
      <c r="J18" s="4" t="s">
        <v>250</v>
      </c>
      <c r="AE18" s="32">
        <f>((TotalLayers*(2*HiddenSize+QLoraRank+HeadDim+TP1LocalHeads))*FP32Bytes+(HiddenSize)*FP32Bytes)</f>
        <v>1700608</v>
      </c>
      <c r="AF18" s="32">
        <f>(DC_Rows*TotalLayers*2*(4*HiddenSize+1)+DC_Rows*(4*HiddenSize+1))</f>
        <v>1425495</v>
      </c>
      <c r="AG18" s="32">
        <f>((TotalLayers*(2*HiddenSize+QLoraRank+HeadDim+TP1LocalHeads)*FP32Bytes+HiddenSize*FP32Bytes+DC_Rows*TotalLayers*2*HiddenSize*BF16Bytes+DC_Rows*HiddenSize*BF16Bytes)+(DC_Rows*TotalLayers*2*HiddenSize*BF16Bytes+DC_Rows*HiddenSize*BF16Bytes))</f>
        <v>3126016</v>
      </c>
      <c r="AH18" s="32">
        <f>((TotalLayers*(2*HiddenSize+QLoraRank+HeadDim+TP8LocalHeads))*FP32Bytes+(HiddenSize)*FP32Bytes)</f>
        <v>1690976</v>
      </c>
      <c r="AI18" s="32">
        <f>(DC_Rows*TotalLayers*2*(4*HiddenSize+1)+DC_Rows*(4*HiddenSize+1))</f>
        <v>1425495</v>
      </c>
      <c r="AJ18" s="32">
        <f>((TotalLayers*(2*HiddenSize+QLoraRank+HeadDim+TP8LocalHeads)*FP32Bytes+HiddenSize*FP32Bytes+DC_Rows*TotalLayers*2*HiddenSize*BF16Bytes+DC_Rows*HiddenSize*BF16Bytes)+(DC_Rows*TotalLayers*2*HiddenSize*BF16Bytes+DC_Rows*HiddenSize*BF16Bytes))</f>
        <v>3116384</v>
      </c>
      <c r="AK18" s="32">
        <f>(0)</f>
        <v>0</v>
      </c>
      <c r="AL18" s="32">
        <f>(0)</f>
        <v>0</v>
      </c>
    </row>
    <row r="19" spans="1:38">
      <c r="A19" s="4" t="s">
        <v>92</v>
      </c>
      <c r="B19" s="33" t="str">
        <f>TEXT(IF(ABS(AE19)&gt;=1E12,AE19/1E12,IF(ABS(AE19)&gt;=1E9,AE19/1E9,IF(ABS(AE19)&gt;=1E6,AE19/1E6,IF(ABS(AE19)&gt;=1E3,AE19/1E3,AE19)))),"#,##0.000")&amp;IF((IF(ABS(AE19)&gt;=1E12,"TB",IF(ABS(AE19)&gt;=1E9,"GB",IF(ABS(AE19)&gt;=1E6,"MB",IF(ABS(AE19)&gt;=1E3,"KB","bytes")))))="",""," "&amp;(IF(ABS(AE19)&gt;=1E12,"TB",IF(ABS(AE19)&gt;=1E9,"GB",IF(ABS(AE19)&gt;=1E6,"MB",IF(ABS(AE19)&gt;=1E3,"KB","bytes"))))))</f>
        <v>135.538 MB</v>
      </c>
      <c r="C19" s="33" t="str">
        <f>TEXT(IF(ABS(AF19)&gt;=1E15,AF19/1E15,IF(ABS(AF19)&gt;=1E12,AF19/1E12,IF(ABS(AF19)&gt;=1E9,AF19/1E9,IF(ABS(AF19)&gt;=1E6,AF19/1E6,AF19)))),"#,##0.000")&amp;IF((IF(ABS(AF19)&gt;=1E15,"PFLOPs",IF(ABS(AF19)&gt;=1E12,"TFLOPs",IF(ABS(AF19)&gt;=1E9,"GFLOPs",IF(ABS(AF19)&gt;=1E6,"MFLOPs","flops")))))="",""," "&amp;(IF(ABS(AF19)&gt;=1E15,"PFLOPs",IF(ABS(AF19)&gt;=1E12,"TFLOPs",IF(ABS(AF19)&gt;=1E9,"GFLOPs",IF(ABS(AF19)&gt;=1E6,"MFLOPs","flops"))))))</f>
        <v>85.791 MFLOPs</v>
      </c>
      <c r="D19" s="33" t="str">
        <f>TEXT(IF(ABS(AK19)&gt;=1E12,AK19/1E12,IF(ABS(AK19)&gt;=1E9,AK19/1E9,IF(ABS(AK19)&gt;=1E6,AK19/1E6,IF(ABS(AK19)&gt;=1E3,AK19/1E3,AK19)))),"#,##0.000")&amp;IF((IF(ABS(AK19)&gt;=1E12,"TB",IF(ABS(AK19)&gt;=1E9,"GB",IF(ABS(AK19)&gt;=1E6,"MB",IF(ABS(AK19)&gt;=1E3,"KB","bytes")))))="",""," "&amp;(IF(ABS(AK19)&gt;=1E12,"TB",IF(ABS(AK19)&gt;=1E9,"GB",IF(ABS(AK19)&gt;=1E6,"MB",IF(ABS(AK19)&gt;=1E3,"KB","bytes"))))))</f>
        <v>0.000 B</v>
      </c>
      <c r="E19" s="33" t="str">
        <f>TEXT(IF(ABS(AH19)&gt;=1E12,AH19/1E12,IF(ABS(AH19)&gt;=1E9,AH19/1E9,IF(ABS(AH19)&gt;=1E6,AH19/1E6,IF(ABS(AH19)&gt;=1E3,AH19/1E3,AH19)))),"#,##0.000")&amp;IF((IF(ABS(AH19)&gt;=1E12,"TB",IF(ABS(AH19)&gt;=1E9,"GB",IF(ABS(AH19)&gt;=1E6,"MB",IF(ABS(AH19)&gt;=1E3,"KB","bytes")))))="",""," "&amp;(IF(ABS(AH19)&gt;=1E12,"TB",IF(ABS(AH19)&gt;=1E9,"GB",IF(ABS(AH19)&gt;=1E6,"MB",IF(ABS(AH19)&gt;=1E3,"KB","bytes"))))))</f>
        <v>135.538 MB</v>
      </c>
      <c r="F19" s="33" t="str">
        <f>TEXT(IF(ABS(AI19)&gt;=1E15,AI19/1E15,IF(ABS(AI19)&gt;=1E12,AI19/1E12,IF(ABS(AI19)&gt;=1E9,AI19/1E9,IF(ABS(AI19)&gt;=1E6,AI19/1E6,AI19)))),"#,##0.000")&amp;IF((IF(ABS(AI19)&gt;=1E15,"PFLOPs",IF(ABS(AI19)&gt;=1E12,"TFLOPs",IF(ABS(AI19)&gt;=1E9,"GFLOPs",IF(ABS(AI19)&gt;=1E6,"MFLOPs","flops")))))="",""," "&amp;(IF(ABS(AI19)&gt;=1E15,"PFLOPs",IF(ABS(AI19)&gt;=1E12,"TFLOPs",IF(ABS(AI19)&gt;=1E9,"GFLOPs",IF(ABS(AI19)&gt;=1E6,"MFLOPs","flops"))))))</f>
        <v>85.791 MFLOPs</v>
      </c>
      <c r="G19" s="33" t="str">
        <f>TEXT(IF(ABS(AL19)&gt;=1E12,AL19/1E12,IF(ABS(AL19)&gt;=1E9,AL19/1E9,IF(ABS(AL19)&gt;=1E6,AL19/1E6,IF(ABS(AL19)&gt;=1E3,AL19/1E3,AL19)))),"#,##0.000")&amp;IF((IF(ABS(AL19)&gt;=1E12,"TB",IF(ABS(AL19)&gt;=1E9,"GB",IF(ABS(AL19)&gt;=1E6,"MB",IF(ABS(AL19)&gt;=1E3,"KB","bytes")))))="",""," "&amp;(IF(ABS(AL19)&gt;=1E12,"TB",IF(ABS(AL19)&gt;=1E9,"GB",IF(ABS(AL19)&gt;=1E6,"MB",IF(ABS(AL19)&gt;=1E3,"KB","bytes"))))))</f>
        <v>0.000 B</v>
      </c>
      <c r="H19" s="4" t="s">
        <v>247</v>
      </c>
      <c r="I19" s="4" t="s">
        <v>253</v>
      </c>
      <c r="J19" s="4" t="s">
        <v>252</v>
      </c>
      <c r="AE19" s="32">
        <f>((TotalLayers*2*(((2+HCSlots)*HCSlots)*HCSlots*HiddenSize+((2+HCSlots)*HCSlots)+3))*FP32Bytes+(HCSlots*HCSlots*HiddenSize+HCSlots+1)*FP32Bytes)</f>
        <v>135537756</v>
      </c>
      <c r="AF19" s="32">
        <f>(TotalLayers*2*(2*DC_Rows*HCSlots*HiddenSize*((2+HCSlots)*HCSlots)+DC_Rows*(2*HCSlots*HiddenSize+1)+DC_Rows*HiddenSize*(2*HCSlots-1)+DC_Rows*HCSlots*HiddenSize*(2*HCSlots+1))+2*DC_Rows*HCSlots*HiddenSize*HCSlots+DC_Rows*(2*HCSlots*HiddenSize+1)+DC_Rows*HiddenSize*(2*HCSlots-1))</f>
        <v>85790807</v>
      </c>
      <c r="AG19" s="32">
        <f>((TotalLayers*2*((2+HCSlots)*HCSlots*HCSlots*HiddenSize*FP32Bytes+((2+HCSlots)*HCSlots+3)*FP32Bytes)+DC_Rows*TotalLayers*4*HCSlots*HiddenSize*BF16Bytes+(HCSlots*HCSlots*HiddenSize+HCSlots+1)*FP32Bytes+DC_Rows*HCSlots*HiddenSize*BF16Bytes)+(DC_Rows*TotalLayers*4*HCSlots*HiddenSize*BF16Bytes+DC_Rows*HiddenSize*BF16Bytes))</f>
        <v>146850908.0</v>
      </c>
      <c r="AH19" s="32">
        <f>((TotalLayers*2*(((2+HCSlots)*HCSlots)*HCSlots*HiddenSize+((2+HCSlots)*HCSlots)+3))*FP32Bytes+(HCSlots*HCSlots*HiddenSize+HCSlots+1)*FP32Bytes)</f>
        <v>135537756</v>
      </c>
      <c r="AI19" s="32">
        <f>(TotalLayers*2*(2*DC_Rows*HCSlots*HiddenSize*((2+HCSlots)*HCSlots)+DC_Rows*(2*HCSlots*HiddenSize+1)+DC_Rows*HiddenSize*(2*HCSlots-1)+DC_Rows*HCSlots*HiddenSize*(2*HCSlots+1))+2*DC_Rows*HCSlots*HiddenSize*HCSlots+DC_Rows*(2*HCSlots*HiddenSize+1)+DC_Rows*HiddenSize*(2*HCSlots-1))</f>
        <v>85790807</v>
      </c>
      <c r="AJ19" s="32">
        <f>((TotalLayers*2*((2+HCSlots)*HCSlots*HCSlots*HiddenSize*FP32Bytes+((2+HCSlots)*HCSlots+3)*FP32Bytes)+DC_Rows*TotalLayers*4*HCSlots*HiddenSize*BF16Bytes+(HCSlots*HCSlots*HiddenSize+HCSlots+1)*FP32Bytes+DC_Rows*HCSlots*HiddenSize*BF16Bytes)+(DC_Rows*TotalLayers*4*HCSlots*HiddenSize*BF16Bytes+DC_Rows*HiddenSize*BF16Bytes))</f>
        <v>146850908.0</v>
      </c>
      <c r="AK19" s="32">
        <f>(0)</f>
        <v>0</v>
      </c>
      <c r="AL19" s="32">
        <f>(0)</f>
        <v>0</v>
      </c>
    </row>
    <row r="20" spans="1:38">
      <c r="A20" s="4" t="s">
        <v>254</v>
      </c>
      <c r="B20" s="33" t="str">
        <f>TEXT(IF(ABS(AE20)&gt;=1E12,AE20/1E12,IF(ABS(AE20)&gt;=1E9,AE20/1E9,IF(ABS(AE20)&gt;=1E6,AE20/1E6,IF(ABS(AE20)&gt;=1E3,AE20/1E3,AE20)))),"#,##0.000")&amp;IF((IF(ABS(AE20)&gt;=1E12,"TB",IF(ABS(AE20)&gt;=1E9,"GB",IF(ABS(AE20)&gt;=1E6,"MB",IF(ABS(AE20)&gt;=1E3,"KB","bytes")))))="",""," "&amp;(IF(ABS(AE20)&gt;=1E12,"TB",IF(ABS(AE20)&gt;=1E9,"GB",IF(ABS(AE20)&gt;=1E6,"MB",IF(ABS(AE20)&gt;=1E3,"KB","bytes"))))))</f>
        <v>0.000 B</v>
      </c>
      <c r="C20" s="33" t="str">
        <f>TEXT(IF(ABS(AF20)&gt;=1E15,AF20/1E15,IF(ABS(AF20)&gt;=1E12,AF20/1E12,IF(ABS(AF20)&gt;=1E9,AF20/1E9,IF(ABS(AF20)&gt;=1E6,AF20/1E6,AF20)))),"#,##0.000")&amp;IF((IF(ABS(AF20)&gt;=1E15,"PFLOPs",IF(ABS(AF20)&gt;=1E12,"TFLOPs",IF(ABS(AF20)&gt;=1E9,"GFLOPs",IF(ABS(AF20)&gt;=1E6,"MFLOPs","flops")))))="",""," "&amp;(IF(ABS(AF20)&gt;=1E15,"PFLOPs",IF(ABS(AF20)&gt;=1E12,"TFLOPs",IF(ABS(AF20)&gt;=1E9,"GFLOPs",IF(ABS(AF20)&gt;=1E6,"MFLOPs","flops"))))))</f>
        <v>0.000 FLOPs</v>
      </c>
      <c r="D20" s="33" t="str">
        <f>TEXT(IF(ABS(AK20)&gt;=1E12,AK20/1E12,IF(ABS(AK20)&gt;=1E9,AK20/1E9,IF(ABS(AK20)&gt;=1E6,AK20/1E6,IF(ABS(AK20)&gt;=1E3,AK20/1E3,AK20)))),"#,##0.000")&amp;IF((IF(ABS(AK20)&gt;=1E12,"TB",IF(ABS(AK20)&gt;=1E9,"GB",IF(ABS(AK20)&gt;=1E6,"MB",IF(ABS(AK20)&gt;=1E3,"KB","bytes")))))="",""," "&amp;(IF(ABS(AK20)&gt;=1E12,"TB",IF(ABS(AK20)&gt;=1E9,"GB",IF(ABS(AK20)&gt;=1E6,"MB",IF(ABS(AK20)&gt;=1E3,"KB","bytes"))))))</f>
        <v>0.000 B</v>
      </c>
      <c r="E20" s="33" t="str">
        <f>TEXT(IF(ABS(AH20)&gt;=1E12,AH20/1E12,IF(ABS(AH20)&gt;=1E9,AH20/1E9,IF(ABS(AH20)&gt;=1E6,AH20/1E6,IF(ABS(AH20)&gt;=1E3,AH20/1E3,AH20)))),"#,##0.000")&amp;IF((IF(ABS(AH20)&gt;=1E12,"TB",IF(ABS(AH20)&gt;=1E9,"GB",IF(ABS(AH20)&gt;=1E6,"MB",IF(ABS(AH20)&gt;=1E3,"KB","bytes")))))="",""," "&amp;(IF(ABS(AH20)&gt;=1E12,"TB",IF(ABS(AH20)&gt;=1E9,"GB",IF(ABS(AH20)&gt;=1E6,"MB",IF(ABS(AH20)&gt;=1E3,"KB","bytes"))))))</f>
        <v>0.000 B</v>
      </c>
      <c r="F20" s="33" t="str">
        <f>TEXT(IF(ABS(AI20)&gt;=1E15,AI20/1E15,IF(ABS(AI20)&gt;=1E12,AI20/1E12,IF(ABS(AI20)&gt;=1E9,AI20/1E9,IF(ABS(AI20)&gt;=1E6,AI20/1E6,AI20)))),"#,##0.000")&amp;IF((IF(ABS(AI20)&gt;=1E15,"PFLOPs",IF(ABS(AI20)&gt;=1E12,"TFLOPs",IF(ABS(AI20)&gt;=1E9,"GFLOPs",IF(ABS(AI20)&gt;=1E6,"MFLOPs","flops")))))="",""," "&amp;(IF(ABS(AI20)&gt;=1E15,"PFLOPs",IF(ABS(AI20)&gt;=1E12,"TFLOPs",IF(ABS(AI20)&gt;=1E9,"GFLOPs",IF(ABS(AI20)&gt;=1E6,"MFLOPs","flops"))))))</f>
        <v>0.000 FLOPs</v>
      </c>
      <c r="G20" s="33" t="str">
        <f>TEXT(IF(ABS(AL20)&gt;=1E12,AL20/1E12,IF(ABS(AL20)&gt;=1E9,AL20/1E9,IF(ABS(AL20)&gt;=1E6,AL20/1E6,IF(ABS(AL20)&gt;=1E3,AL20/1E3,AL20)))),"#,##0.000")&amp;IF((IF(ABS(AL20)&gt;=1E12,"TB",IF(ABS(AL20)&gt;=1E9,"GB",IF(ABS(AL20)&gt;=1E6,"MB",IF(ABS(AL20)&gt;=1E3,"KB","bytes")))))="",""," "&amp;(IF(ABS(AL20)&gt;=1E12,"TB",IF(ABS(AL20)&gt;=1E9,"GB",IF(ABS(AL20)&gt;=1E6,"MB",IF(ABS(AL20)&gt;=1E3,"KB","bytes"))))))</f>
        <v>0.000 B</v>
      </c>
      <c r="H20" s="4" t="s">
        <v>256</v>
      </c>
      <c r="I20" s="4" t="s">
        <v>257</v>
      </c>
      <c r="J20" s="4" t="s">
        <v>255</v>
      </c>
      <c r="AE20" s="32">
        <f>(0)</f>
        <v>0</v>
      </c>
      <c r="AF20" s="32">
        <f>(0)</f>
        <v>0</v>
      </c>
      <c r="AG20" s="32">
        <f>((0)+(0))</f>
        <v>0</v>
      </c>
      <c r="AH20" s="32">
        <f>(0)</f>
        <v>0</v>
      </c>
      <c r="AI20" s="32">
        <f>(0)</f>
        <v>0</v>
      </c>
      <c r="AJ20" s="32">
        <f>((0)+(0))</f>
        <v>0</v>
      </c>
      <c r="AK20" s="32">
        <f>(0)</f>
        <v>0</v>
      </c>
      <c r="AL20" s="32">
        <f>(0)</f>
        <v>0</v>
      </c>
    </row>
    <row r="22" spans="1:38">
      <c r="A22" s="30" t="s">
        <v>258</v>
      </c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</row>
    <row r="23" spans="1:38">
      <c r="A23" t="s">
        <v>222</v>
      </c>
      <c r="B23" t="s">
        <v>259</v>
      </c>
      <c r="C23" t="s">
        <v>260</v>
      </c>
      <c r="D23" t="s">
        <v>223</v>
      </c>
      <c r="E23" t="s">
        <v>224</v>
      </c>
      <c r="F23" t="s">
        <v>225</v>
      </c>
      <c r="G23" t="s">
        <v>226</v>
      </c>
      <c r="H23" t="s">
        <v>227</v>
      </c>
      <c r="I23" t="s">
        <v>228</v>
      </c>
      <c r="J23" t="s">
        <v>229</v>
      </c>
      <c r="K23" t="s">
        <v>230</v>
      </c>
      <c r="L23" t="s">
        <v>231</v>
      </c>
    </row>
    <row r="24" spans="1:38">
      <c r="A24" s="4" t="s">
        <v>241</v>
      </c>
      <c r="B24" s="4" t="s">
        <v>241</v>
      </c>
      <c r="C24" s="4" t="s">
        <v>261</v>
      </c>
      <c r="D24" s="33" t="str">
        <f>TEXT(IF(ABS(U24)&gt;=1E12,U24/1E12,IF(ABS(U24)&gt;=1E9,U24/1E9,IF(ABS(U24)&gt;=1E6,U24/1E6,IF(ABS(U24)&gt;=1E3,U24/1E3,U24)))),"#,##0.000")&amp;IF((IF(ABS(U24)&gt;=1E12,"TB",IF(ABS(U24)&gt;=1E9,"GB",IF(ABS(U24)&gt;=1E6,"MB",IF(ABS(U24)&gt;=1E3,"KB","bytes")))))="",""," "&amp;(IF(ABS(U24)&gt;=1E12,"TB",IF(ABS(U24)&gt;=1E9,"GB",IF(ABS(U24)&gt;=1E6,"MB",IF(ABS(U24)&gt;=1E3,"KB","bytes"))))))</f>
        <v>1.059 GB</v>
      </c>
      <c r="E24" s="33" t="str">
        <f>TEXT(IF(ABS(V24)&gt;=1E15,V24/1E15,IF(ABS(V24)&gt;=1E12,V24/1E12,IF(ABS(V24)&gt;=1E9,V24/1E9,IF(ABS(V24)&gt;=1E6,V24/1E6,V24)))),"#,##0.000")&amp;IF((IF(ABS(V24)&gt;=1E15,"PFLOPs",IF(ABS(V24)&gt;=1E12,"TFLOPs",IF(ABS(V24)&gt;=1E9,"GFLOPs",IF(ABS(V24)&gt;=1E6,"MFLOPs","flops")))))="",""," "&amp;(IF(ABS(V24)&gt;=1E15,"PFLOPs",IF(ABS(V24)&gt;=1E12,"TFLOPs",IF(ABS(V24)&gt;=1E9,"GFLOPs",IF(ABS(V24)&gt;=1E6,"MFLOPs","flops"))))))</f>
        <v>0.000 FLOPs</v>
      </c>
      <c r="F24" s="33" t="str">
        <f>TEXT(IF(ABS(AA24)&gt;=1E12,AA24/1E12,IF(ABS(AA24)&gt;=1E9,AA24/1E9,IF(ABS(AA24)&gt;=1E6,AA24/1E6,IF(ABS(AA24)&gt;=1E3,AA24/1E3,AA24)))),"#,##0.000")&amp;IF((IF(ABS(AA24)&gt;=1E12,"TB",IF(ABS(AA24)&gt;=1E9,"GB",IF(ABS(AA24)&gt;=1E6,"MB",IF(ABS(AA24)&gt;=1E3,"KB","bytes")))))="",""," "&amp;(IF(ABS(AA24)&gt;=1E12,"TB",IF(ABS(AA24)&gt;=1E9,"GB",IF(ABS(AA24)&gt;=1E6,"MB",IF(ABS(AA24)&gt;=1E3,"KB","bytes"))))))</f>
        <v>0.000 B</v>
      </c>
      <c r="G24" s="33" t="str">
        <f>TEXT(IF(ABS(X24)&gt;=1E12,X24/1E12,IF(ABS(X24)&gt;=1E9,X24/1E9,IF(ABS(X24)&gt;=1E6,X24/1E6,IF(ABS(X24)&gt;=1E3,X24/1E3,X24)))),"#,##0.000")&amp;IF((IF(ABS(X24)&gt;=1E12,"TB",IF(ABS(X24)&gt;=1E9,"GB",IF(ABS(X24)&gt;=1E6,"MB",IF(ABS(X24)&gt;=1E3,"KB","bytes")))))="",""," "&amp;(IF(ABS(X24)&gt;=1E12,"TB",IF(ABS(X24)&gt;=1E9,"GB",IF(ABS(X24)&gt;=1E6,"MB",IF(ABS(X24)&gt;=1E3,"KB","bytes"))))))</f>
        <v>132.383 MB</v>
      </c>
      <c r="H24" s="33" t="str">
        <f>TEXT(IF(ABS(Y24)&gt;=1E15,Y24/1E15,IF(ABS(Y24)&gt;=1E12,Y24/1E12,IF(ABS(Y24)&gt;=1E9,Y24/1E9,IF(ABS(Y24)&gt;=1E6,Y24/1E6,Y24)))),"#,##0.000")&amp;IF((IF(ABS(Y24)&gt;=1E15,"PFLOPs",IF(ABS(Y24)&gt;=1E12,"TFLOPs",IF(ABS(Y24)&gt;=1E9,"GFLOPs",IF(ABS(Y24)&gt;=1E6,"MFLOPs","flops")))))="",""," "&amp;(IF(ABS(Y24)&gt;=1E15,"PFLOPs",IF(ABS(Y24)&gt;=1E12,"TFLOPs",IF(ABS(Y24)&gt;=1E9,"GFLOPs",IF(ABS(Y24)&gt;=1E6,"MFLOPs","flops"))))))</f>
        <v>0.000 FLOPs</v>
      </c>
      <c r="I24" s="33" t="str">
        <f>TEXT(IF(ABS(AB24)&gt;=1E12,AB24/1E12,IF(ABS(AB24)&gt;=1E9,AB24/1E9,IF(ABS(AB24)&gt;=1E6,AB24/1E6,IF(ABS(AB24)&gt;=1E3,AB24/1E3,AB24)))),"#,##0.000")&amp;IF((IF(ABS(AB24)&gt;=1E12,"TB",IF(ABS(AB24)&gt;=1E9,"GB",IF(ABS(AB24)&gt;=1E6,"MB",IF(ABS(AB24)&gt;=1E3,"KB","bytes")))))="",""," "&amp;(IF(ABS(AB24)&gt;=1E12,"TB",IF(ABS(AB24)&gt;=1E9,"GB",IF(ABS(AB24)&gt;=1E6,"MB",IF(ABS(AB24)&gt;=1E3,"KB","bytes"))))))</f>
        <v>28.672 KB</v>
      </c>
      <c r="J24" s="4" t="s">
        <v>262</v>
      </c>
      <c r="K24" s="4" t="s">
        <v>244</v>
      </c>
      <c r="L24" s="4" t="s">
        <v>263</v>
      </c>
      <c r="U24" s="32">
        <f>TP1LocalVocab*HiddenSize*BF16Bytes</f>
        <v>1059061760.0</v>
      </c>
      <c r="V24" s="32">
        <f>0</f>
        <v>0</v>
      </c>
      <c r="W24" s="32">
        <f>(DC_Rows*HiddenSize*BF16Bytes)+(DC_Rows*HiddenSize*BF16Bytes)</f>
        <v>16384</v>
      </c>
      <c r="X24" s="32">
        <f>TP8LocalVocab*HiddenSize*BF16Bytes</f>
        <v>132382720.0</v>
      </c>
      <c r="Y24" s="32">
        <f>0</f>
        <v>0</v>
      </c>
      <c r="Z24" s="32">
        <f>(DC_Rows*HiddenSize*BF16Bytes)+(DC_Rows*HiddenSize*BF16Bytes)</f>
        <v>16384</v>
      </c>
      <c r="AA24" s="32">
        <f>4*(TP1Size-1)/TP1Size*DC_Rows*HiddenSize*BF16Bytes</f>
        <v>0.0</v>
      </c>
      <c r="AB24" s="32">
        <f>4*(TP8Size-1)/TP8Size*DC_Rows*HiddenSize*BF16Bytes</f>
        <v>28672.0</v>
      </c>
    </row>
    <row r="25" spans="1:38">
      <c r="A25" s="4" t="s">
        <v>40</v>
      </c>
      <c r="B25" s="4" t="s">
        <v>264</v>
      </c>
      <c r="C25" s="4" t="s">
        <v>265</v>
      </c>
      <c r="D25" s="33" t="str">
        <f>TEXT(IF(ABS(U25)&gt;=1E12,U25/1E12,IF(ABS(U25)&gt;=1E9,U25/1E9,IF(ABS(U25)&gt;=1E6,U25/1E6,IF(ABS(U25)&gt;=1E3,U25/1E3,U25)))),"#,##0.000")&amp;IF((IF(ABS(U25)&gt;=1E12,"TB",IF(ABS(U25)&gt;=1E9,"GB",IF(ABS(U25)&gt;=1E6,"MB",IF(ABS(U25)&gt;=1E3,"KB","bytes")))))="",""," "&amp;(IF(ABS(U25)&gt;=1E12,"TB",IF(ABS(U25)&gt;=1E9,"GB",IF(ABS(U25)&gt;=1E6,"MB",IF(ABS(U25)&gt;=1E3,"KB","bytes"))))))</f>
        <v>6.042 GB</v>
      </c>
      <c r="E25" s="33" t="str">
        <f>TEXT(IF(ABS(V25)&gt;=1E15,V25/1E15,IF(ABS(V25)&gt;=1E12,V25/1E12,IF(ABS(V25)&gt;=1E9,V25/1E9,IF(ABS(V25)&gt;=1E6,V25/1E6,V25)))),"#,##0.000")&amp;IF((IF(ABS(V25)&gt;=1E15,"PFLOPs",IF(ABS(V25)&gt;=1E12,"TFLOPs",IF(ABS(V25)&gt;=1E9,"GFLOPs",IF(ABS(V25)&gt;=1E6,"MFLOPs","flops")))))="",""," "&amp;(IF(ABS(V25)&gt;=1E15,"PFLOPs",IF(ABS(V25)&gt;=1E12,"TFLOPs",IF(ABS(V25)&gt;=1E9,"GFLOPs",IF(ABS(V25)&gt;=1E6,"MFLOPs","flops"))))))</f>
        <v>9.198 GFLOPs</v>
      </c>
      <c r="F25" s="33" t="str">
        <f>TEXT(IF(ABS(AA25)&gt;=1E12,AA25/1E12,IF(ABS(AA25)&gt;=1E9,AA25/1E9,IF(ABS(AA25)&gt;=1E6,AA25/1E6,IF(ABS(AA25)&gt;=1E3,AA25/1E3,AA25)))),"#,##0.000")&amp;IF((IF(ABS(AA25)&gt;=1E12,"TB",IF(ABS(AA25)&gt;=1E9,"GB",IF(ABS(AA25)&gt;=1E6,"MB",IF(ABS(AA25)&gt;=1E3,"KB","bytes")))))="",""," "&amp;(IF(ABS(AA25)&gt;=1E12,"TB",IF(ABS(AA25)&gt;=1E9,"GB",IF(ABS(AA25)&gt;=1E6,"MB",IF(ABS(AA25)&gt;=1E3,"KB","bytes"))))))</f>
        <v>0.000 B</v>
      </c>
      <c r="G25" s="33" t="str">
        <f>TEXT(IF(ABS(X25)&gt;=1E12,X25/1E12,IF(ABS(X25)&gt;=1E9,X25/1E9,IF(ABS(X25)&gt;=1E6,X25/1E6,IF(ABS(X25)&gt;=1E3,X25/1E3,X25)))),"#,##0.000")&amp;IF((IF(ABS(X25)&gt;=1E12,"TB",IF(ABS(X25)&gt;=1E9,"GB",IF(ABS(X25)&gt;=1E6,"MB",IF(ABS(X25)&gt;=1E3,"KB","bytes")))))="",""," "&amp;(IF(ABS(X25)&gt;=1E12,"TB",IF(ABS(X25)&gt;=1E9,"GB",IF(ABS(X25)&gt;=1E6,"MB",IF(ABS(X25)&gt;=1E3,"KB","bytes"))))))</f>
        <v>991.991 MB</v>
      </c>
      <c r="H25" s="33" t="str">
        <f>TEXT(IF(ABS(Y25)&gt;=1E15,Y25/1E15,IF(ABS(Y25)&gt;=1E12,Y25/1E12,IF(ABS(Y25)&gt;=1E9,Y25/1E9,IF(ABS(Y25)&gt;=1E6,Y25/1E6,Y25)))),"#,##0.000")&amp;IF((IF(ABS(Y25)&gt;=1E15,"PFLOPs",IF(ABS(Y25)&gt;=1E12,"TFLOPs",IF(ABS(Y25)&gt;=1E9,"GFLOPs",IF(ABS(Y25)&gt;=1E6,"MFLOPs","flops")))))="",""," "&amp;(IF(ABS(Y25)&gt;=1E15,"PFLOPs",IF(ABS(Y25)&gt;=1E12,"TFLOPs",IF(ABS(Y25)&gt;=1E9,"GFLOPs",IF(ABS(Y25)&gt;=1E6,"MFLOPs","flops"))))))</f>
        <v>1.623 GFLOPs</v>
      </c>
      <c r="I25" s="33" t="str">
        <f>TEXT(IF(ABS(AB25)&gt;=1E12,AB25/1E12,IF(ABS(AB25)&gt;=1E9,AB25/1E9,IF(ABS(AB25)&gt;=1E6,AB25/1E6,IF(ABS(AB25)&gt;=1E3,AB25/1E3,AB25)))),"#,##0.000")&amp;IF((IF(ABS(AB25)&gt;=1E12,"TB",IF(ABS(AB25)&gt;=1E9,"GB",IF(ABS(AB25)&gt;=1E6,"MB",IF(ABS(AB25)&gt;=1E3,"KB","bytes")))))="",""," "&amp;(IF(ABS(AB25)&gt;=1E12,"TB",IF(ABS(AB25)&gt;=1E9,"GB",IF(ABS(AB25)&gt;=1E6,"MB",IF(ABS(AB25)&gt;=1E3,"KB","bytes"))))))</f>
        <v>0.000 B</v>
      </c>
      <c r="J25" s="4" t="s">
        <v>266</v>
      </c>
      <c r="K25" s="4" t="s">
        <v>267</v>
      </c>
      <c r="L25" s="4" t="s">
        <v>268</v>
      </c>
      <c r="U25" s="32">
        <f>TotalLayers*(((HiddenSize)*(QLoraRank)*FP8Bytes+ROUNDUP((HiddenSize)/FP8Block,0)*ROUNDUP((QLoraRank)/FP8Block,0)*ScaleBytes)+((QLoraRank)*(TP1LocalHeads*HeadDim)*FP8Bytes+ROUNDUP((QLoraRank)/FP8Block,0)*ROUNDUP((TP1LocalHeads*HeadDim)/FP8Block,0)*ScaleBytes)+((HiddenSize)*(HeadDim)*FP8Bytes+ROUNDUP((HiddenSize)/FP8Block,0)*ROUNDUP((HeadDim)/FP8Block,0)*ScaleBytes)+TP1LocalHeads*HeadDim*OLoraRank*BF16Bytes+((TP1LocalOGroups*OLoraRank)*(HiddenSize)*FP8Bytes+ROUNDUP((TP1LocalOGroups*OLoraRank)/FP8Block,0)*ROUNDUP((HiddenSize)/FP8Block,0)*ScaleBytes))</f>
        <v>6042087552</v>
      </c>
      <c r="V25" s="32">
        <f>DC_Rows*TotalLayers*2*(HiddenSize*QLoraRank+QLoraRank*TP1LocalHeads*HeadDim+HiddenSize*HeadDim+TP1LocalHeads*HeadDim*OLoraRank+TP1LocalOGroups*OLoraRank*HiddenSize)</f>
        <v>9198108672.0</v>
      </c>
      <c r="W25" s="32">
        <f>(TotalLayers*(((HiddenSize)*(QLoraRank)*FP8Bytes+ROUNDUP((HiddenSize)/FP8Block,0)*ROUNDUP((QLoraRank)/FP8Block,0)*ScaleBytes)+((QLoraRank)*(TP1LocalHeads*HeadDim)*FP8Bytes+ROUNDUP((QLoraRank)/FP8Block,0)*ROUNDUP((TP1LocalHeads*HeadDim)/FP8Block,0)*ScaleBytes)+((HiddenSize)*(HeadDim)*FP8Bytes+ROUNDUP((HiddenSize)/FP8Block,0)*ROUNDUP((HeadDim)/FP8Block,0)*ScaleBytes)+TP1LocalHeads*HeadDim*OLoraRank*BF16Bytes+((TP1LocalOGroups*OLoraRank)*(HiddenSize)*FP8Bytes+ROUNDUP((TP1LocalOGroups*OLoraRank)/FP8Block,0)*ROUNDUP((HiddenSize)/FP8Block,0)*ScaleBytes))+DC_Rows*TotalLayers*(2*HiddenSize*BF16Bytes+QLoraRank*BF16Bytes+TP1KernelLocalHeads*HeadDim*BF16Bytes+TP1LocalOGroups*OLoraRank*BF16Bytes))+(DC_Rows*TotalLayers*(QLoraRank+TP1KernelLocalHeads*HeadDim+HeadDim+TP1LocalOGroups*OLoraRank+HiddenSize)*BF16Bytes)</f>
        <v>6050409600.0</v>
      </c>
      <c r="X25" s="32">
        <f>TotalLayers*(((HiddenSize)*(QLoraRank)*FP8Bytes+ROUNDUP((HiddenSize)/FP8Block,0)*ROUNDUP((QLoraRank)/FP8Block,0)*ScaleBytes)+((QLoraRank)*(TP8LocalHeads*HeadDim)*FP8Bytes+ROUNDUP((QLoraRank)/FP8Block,0)*ROUNDUP((TP8LocalHeads*HeadDim)/FP8Block,0)*ScaleBytes)+((HiddenSize)*(HeadDim)*FP8Bytes+ROUNDUP((HiddenSize)/FP8Block,0)*ROUNDUP((HeadDim)/FP8Block,0)*ScaleBytes)+TP8LocalHeads*HeadDim*OLoraRank*BF16Bytes+((TP8LocalOGroups*OLoraRank)*(HiddenSize)*FP8Bytes+ROUNDUP((TP8LocalOGroups*OLoraRank)/FP8Block,0)*ROUNDUP((HiddenSize)/FP8Block,0)*ScaleBytes))</f>
        <v>991991424</v>
      </c>
      <c r="Y25" s="32">
        <f>DC_Rows*TotalLayers*2*(HiddenSize*QLoraRank+QLoraRank*TP8LocalHeads*HeadDim+HiddenSize*HeadDim+TP8LocalHeads*HeadDim*OLoraRank+TP8LocalOGroups*OLoraRank*HiddenSize)</f>
        <v>1623195648.0</v>
      </c>
      <c r="Z25" s="32">
        <f>(TotalLayers*(((HiddenSize)*(QLoraRank)*FP8Bytes+ROUNDUP((HiddenSize)/FP8Block,0)*ROUNDUP((QLoraRank)/FP8Block,0)*ScaleBytes)+((QLoraRank)*(TP8LocalHeads*HeadDim)*FP8Bytes+ROUNDUP((QLoraRank)/FP8Block,0)*ROUNDUP((TP8LocalHeads*HeadDim)/FP8Block,0)*ScaleBytes)+((HiddenSize)*(HeadDim)*FP8Bytes+ROUNDUP((HiddenSize)/FP8Block,0)*ROUNDUP((HeadDim)/FP8Block,0)*ScaleBytes)+TP8LocalHeads*HeadDim*OLoraRank*BF16Bytes+((TP8LocalOGroups*OLoraRank)*(HiddenSize)*FP8Bytes+ROUNDUP((TP8LocalOGroups*OLoraRank)/FP8Block,0)*ROUNDUP((HiddenSize)/FP8Block,0)*ScaleBytes))+DC_Rows*TotalLayers*(2*HiddenSize*BF16Bytes+QLoraRank*BF16Bytes+TP8KernelLocalHeads*HeadDim*BF16Bytes+TP8LocalOGroups*OLoraRank*BF16Bytes))+(DC_Rows*TotalLayers*(QLoraRank+TP8KernelLocalHeads*HeadDim+HeadDim+TP8LocalOGroups*OLoraRank+HiddenSize)*BF16Bytes)</f>
        <v>994853504.0</v>
      </c>
      <c r="AA25" s="32">
        <f>0</f>
        <v>0</v>
      </c>
      <c r="AB25" s="32">
        <f>0</f>
        <v>0</v>
      </c>
    </row>
    <row r="26" spans="1:38">
      <c r="A26" s="4" t="s">
        <v>40</v>
      </c>
      <c r="B26" s="4" t="s">
        <v>269</v>
      </c>
      <c r="C26" s="4" t="s">
        <v>270</v>
      </c>
      <c r="D26" s="33" t="str">
        <f>TEXT(IF(ABS(U26)&gt;=1E12,U26/1E12,IF(ABS(U26)&gt;=1E9,U26/1E9,IF(ABS(U26)&gt;=1E6,U26/1E6,IF(ABS(U26)&gt;=1E3,U26/1E3,U26)))),"#,##0.000")&amp;IF((IF(ABS(U26)&gt;=1E12,"TB",IF(ABS(U26)&gt;=1E9,"GB",IF(ABS(U26)&gt;=1E6,"MB",IF(ABS(U26)&gt;=1E3,"KB","bytes")))))="",""," "&amp;(IF(ABS(U26)&gt;=1E12,"TB",IF(ABS(U26)&gt;=1E9,"GB",IF(ABS(U26)&gt;=1E6,"MB",IF(ABS(U26)&gt;=1E3,"KB","bytes"))))))</f>
        <v>0.000 B</v>
      </c>
      <c r="E26" s="33" t="str">
        <f>TEXT(IF(ABS(V26)&gt;=1E15,V26/1E15,IF(ABS(V26)&gt;=1E12,V26/1E12,IF(ABS(V26)&gt;=1E9,V26/1E9,IF(ABS(V26)&gt;=1E6,V26/1E6,V26)))),"#,##0.000")&amp;IF((IF(ABS(V26)&gt;=1E15,"PFLOPs",IF(ABS(V26)&gt;=1E12,"TFLOPs",IF(ABS(V26)&gt;=1E9,"GFLOPs",IF(ABS(V26)&gt;=1E6,"MFLOPs","flops")))))="",""," "&amp;(IF(ABS(V26)&gt;=1E15,"PFLOPs",IF(ABS(V26)&gt;=1E12,"TFLOPs",IF(ABS(V26)&gt;=1E9,"GFLOPs",IF(ABS(V26)&gt;=1E6,"MFLOPs","flops"))))))</f>
        <v>33.554 MFLOPs</v>
      </c>
      <c r="F26" s="33" t="str">
        <f>TEXT(IF(ABS(AA26)&gt;=1E12,AA26/1E12,IF(ABS(AA26)&gt;=1E9,AA26/1E9,IF(ABS(AA26)&gt;=1E6,AA26/1E6,IF(ABS(AA26)&gt;=1E3,AA26/1E3,AA26)))),"#,##0.000")&amp;IF((IF(ABS(AA26)&gt;=1E12,"TB",IF(ABS(AA26)&gt;=1E9,"GB",IF(ABS(AA26)&gt;=1E6,"MB",IF(ABS(AA26)&gt;=1E3,"KB","bytes")))))="",""," "&amp;(IF(ABS(AA26)&gt;=1E12,"TB",IF(ABS(AA26)&gt;=1E9,"GB",IF(ABS(AA26)&gt;=1E6,"MB",IF(ABS(AA26)&gt;=1E3,"KB","bytes"))))))</f>
        <v>0.000 B</v>
      </c>
      <c r="G26" s="33" t="str">
        <f>TEXT(IF(ABS(X26)&gt;=1E12,X26/1E12,IF(ABS(X26)&gt;=1E9,X26/1E9,IF(ABS(X26)&gt;=1E6,X26/1E6,IF(ABS(X26)&gt;=1E3,X26/1E3,X26)))),"#,##0.000")&amp;IF((IF(ABS(X26)&gt;=1E12,"TB",IF(ABS(X26)&gt;=1E9,"GB",IF(ABS(X26)&gt;=1E6,"MB",IF(ABS(X26)&gt;=1E3,"KB","bytes")))))="",""," "&amp;(IF(ABS(X26)&gt;=1E12,"TB",IF(ABS(X26)&gt;=1E9,"GB",IF(ABS(X26)&gt;=1E6,"MB",IF(ABS(X26)&gt;=1E3,"KB","bytes"))))))</f>
        <v>0.000 B</v>
      </c>
      <c r="H26" s="33" t="str">
        <f>TEXT(IF(ABS(Y26)&gt;=1E15,Y26/1E15,IF(ABS(Y26)&gt;=1E12,Y26/1E12,IF(ABS(Y26)&gt;=1E9,Y26/1E9,IF(ABS(Y26)&gt;=1E6,Y26/1E6,Y26)))),"#,##0.000")&amp;IF((IF(ABS(Y26)&gt;=1E15,"PFLOPs",IF(ABS(Y26)&gt;=1E12,"TFLOPs",IF(ABS(Y26)&gt;=1E9,"GFLOPs",IF(ABS(Y26)&gt;=1E6,"MFLOPs","flops")))))="",""," "&amp;(IF(ABS(Y26)&gt;=1E15,"PFLOPs",IF(ABS(Y26)&gt;=1E12,"TFLOPs",IF(ABS(Y26)&gt;=1E9,"GFLOPs",IF(ABS(Y26)&gt;=1E6,"MFLOPs","flops"))))))</f>
        <v>8.389 MFLOPs</v>
      </c>
      <c r="I26" s="33" t="str">
        <f>TEXT(IF(ABS(AB26)&gt;=1E12,AB26/1E12,IF(ABS(AB26)&gt;=1E9,AB26/1E9,IF(ABS(AB26)&gt;=1E6,AB26/1E6,IF(ABS(AB26)&gt;=1E3,AB26/1E3,AB26)))),"#,##0.000")&amp;IF((IF(ABS(AB26)&gt;=1E12,"TB",IF(ABS(AB26)&gt;=1E9,"GB",IF(ABS(AB26)&gt;=1E6,"MB",IF(ABS(AB26)&gt;=1E3,"KB","bytes")))))="",""," "&amp;(IF(ABS(AB26)&gt;=1E12,"TB",IF(ABS(AB26)&gt;=1E9,"GB",IF(ABS(AB26)&gt;=1E6,"MB",IF(ABS(AB26)&gt;=1E3,"KB","bytes"))))))</f>
        <v>0.000 B</v>
      </c>
      <c r="J26" s="4" t="s">
        <v>256</v>
      </c>
      <c r="K26" s="4" t="s">
        <v>271</v>
      </c>
      <c r="L26" s="4" t="s">
        <v>272</v>
      </c>
      <c r="U26" s="32">
        <f>0</f>
        <v>0</v>
      </c>
      <c r="V26" s="32">
        <f>4*DecodeBatch*TP1KernelLocalHeads*HeadDim*(WindowLayers*DC_RawPairs)</f>
        <v>33554432.0</v>
      </c>
      <c r="W26" s="32">
        <f>(DC_Rows*WindowLayers*TP1KernelLocalHeads*HeadDim*BF16Bytes+DecodeBatch*(WindowLayers*DC_RawPairs)*HeadDim*BF16Bytes)+(DC_Rows*WindowLayers*TP1KernelLocalHeads*HeadDim*BF16Bytes)</f>
        <v>524288.0</v>
      </c>
      <c r="X26" s="32">
        <f>0</f>
        <v>0</v>
      </c>
      <c r="Y26" s="32">
        <f>4*DecodeBatch*TP8KernelLocalHeads*HeadDim*(WindowLayers*DC_RawPairs)</f>
        <v>8388608.0</v>
      </c>
      <c r="Z26" s="32">
        <f>(DC_Rows*WindowLayers*TP8KernelLocalHeads*HeadDim*BF16Bytes+DecodeBatch*(WindowLayers*DC_RawPairs)*HeadDim*BF16Bytes)+(DC_Rows*WindowLayers*TP8KernelLocalHeads*HeadDim*BF16Bytes)</f>
        <v>327680</v>
      </c>
      <c r="AA26" s="32">
        <f>0</f>
        <v>0</v>
      </c>
      <c r="AB26" s="32">
        <f>0</f>
        <v>0</v>
      </c>
    </row>
    <row r="27" spans="1:38">
      <c r="A27" s="4" t="s">
        <v>40</v>
      </c>
      <c r="B27" s="4" t="s">
        <v>273</v>
      </c>
      <c r="C27" s="4" t="s">
        <v>274</v>
      </c>
      <c r="D27" s="33" t="str">
        <f>TEXT(IF(ABS(U27)&gt;=1E12,U27/1E12,IF(ABS(U27)&gt;=1E9,U27/1E9,IF(ABS(U27)&gt;=1E6,U27/1E6,IF(ABS(U27)&gt;=1E3,U27/1E3,U27)))),"#,##0.000")&amp;IF((IF(ABS(U27)&gt;=1E12,"TB",IF(ABS(U27)&gt;=1E9,"GB",IF(ABS(U27)&gt;=1E6,"MB",IF(ABS(U27)&gt;=1E3,"KB","bytes")))))="",""," "&amp;(IF(ABS(U27)&gt;=1E12,"TB",IF(ABS(U27)&gt;=1E9,"GB",IF(ABS(U27)&gt;=1E6,"MB",IF(ABS(U27)&gt;=1E3,"KB","bytes"))))))</f>
        <v>0.000 B</v>
      </c>
      <c r="E27" s="33" t="str">
        <f>TEXT(IF(ABS(V27)&gt;=1E15,V27/1E15,IF(ABS(V27)&gt;=1E12,V27/1E12,IF(ABS(V27)&gt;=1E9,V27/1E9,IF(ABS(V27)&gt;=1E6,V27/1E6,V27)))),"#,##0.000")&amp;IF((IF(ABS(V27)&gt;=1E15,"PFLOPs",IF(ABS(V27)&gt;=1E12,"TFLOPs",IF(ABS(V27)&gt;=1E9,"GFLOPs",IF(ABS(V27)&gt;=1E6,"MFLOPs","flops")))))="",""," "&amp;(IF(ABS(V27)&gt;=1E15,"PFLOPs",IF(ABS(V27)&gt;=1E12,"TFLOPs",IF(ABS(V27)&gt;=1E9,"GFLOPs",IF(ABS(V27)&gt;=1E6,"MFLOPs","flops"))))))</f>
        <v>1.762 GFLOPs</v>
      </c>
      <c r="F27" s="33" t="str">
        <f>TEXT(IF(ABS(AA27)&gt;=1E12,AA27/1E12,IF(ABS(AA27)&gt;=1E9,AA27/1E9,IF(ABS(AA27)&gt;=1E6,AA27/1E6,IF(ABS(AA27)&gt;=1E3,AA27/1E3,AA27)))),"#,##0.000")&amp;IF((IF(ABS(AA27)&gt;=1E12,"TB",IF(ABS(AA27)&gt;=1E9,"GB",IF(ABS(AA27)&gt;=1E6,"MB",IF(ABS(AA27)&gt;=1E3,"KB","bytes")))))="",""," "&amp;(IF(ABS(AA27)&gt;=1E12,"TB",IF(ABS(AA27)&gt;=1E9,"GB",IF(ABS(AA27)&gt;=1E6,"MB",IF(ABS(AA27)&gt;=1E3,"KB","bytes"))))))</f>
        <v>0.000 B</v>
      </c>
      <c r="G27" s="33" t="str">
        <f>TEXT(IF(ABS(X27)&gt;=1E12,X27/1E12,IF(ABS(X27)&gt;=1E9,X27/1E9,IF(ABS(X27)&gt;=1E6,X27/1E6,IF(ABS(X27)&gt;=1E3,X27/1E3,X27)))),"#,##0.000")&amp;IF((IF(ABS(X27)&gt;=1E12,"TB",IF(ABS(X27)&gt;=1E9,"GB",IF(ABS(X27)&gt;=1E6,"MB",IF(ABS(X27)&gt;=1E3,"KB","bytes")))))="",""," "&amp;(IF(ABS(X27)&gt;=1E12,"TB",IF(ABS(X27)&gt;=1E9,"GB",IF(ABS(X27)&gt;=1E6,"MB",IF(ABS(X27)&gt;=1E3,"KB","bytes"))))))</f>
        <v>0.000 B</v>
      </c>
      <c r="H27" s="33" t="str">
        <f>TEXT(IF(ABS(Y27)&gt;=1E15,Y27/1E15,IF(ABS(Y27)&gt;=1E12,Y27/1E12,IF(ABS(Y27)&gt;=1E9,Y27/1E9,IF(ABS(Y27)&gt;=1E6,Y27/1E6,Y27)))),"#,##0.000")&amp;IF((IF(ABS(Y27)&gt;=1E15,"PFLOPs",IF(ABS(Y27)&gt;=1E12,"TFLOPs",IF(ABS(Y27)&gt;=1E9,"GFLOPs",IF(ABS(Y27)&gt;=1E6,"MFLOPs","flops")))))="",""," "&amp;(IF(ABS(Y27)&gt;=1E15,"PFLOPs",IF(ABS(Y27)&gt;=1E12,"TFLOPs",IF(ABS(Y27)&gt;=1E9,"GFLOPs",IF(ABS(Y27)&gt;=1E6,"MFLOPs","flops"))))))</f>
        <v>440.402 MFLOPs</v>
      </c>
      <c r="I27" s="33" t="str">
        <f>TEXT(IF(ABS(AB27)&gt;=1E12,AB27/1E12,IF(ABS(AB27)&gt;=1E9,AB27/1E9,IF(ABS(AB27)&gt;=1E6,AB27/1E6,IF(ABS(AB27)&gt;=1E3,AB27/1E3,AB27)))),"#,##0.000")&amp;IF((IF(ABS(AB27)&gt;=1E12,"TB",IF(ABS(AB27)&gt;=1E9,"GB",IF(ABS(AB27)&gt;=1E6,"MB",IF(ABS(AB27)&gt;=1E3,"KB","bytes")))))="",""," "&amp;(IF(ABS(AB27)&gt;=1E12,"TB",IF(ABS(AB27)&gt;=1E9,"GB",IF(ABS(AB27)&gt;=1E6,"MB",IF(ABS(AB27)&gt;=1E3,"KB","bytes"))))))</f>
        <v>0.000 B</v>
      </c>
      <c r="J27" s="4" t="s">
        <v>256</v>
      </c>
      <c r="K27" s="4" t="s">
        <v>275</v>
      </c>
      <c r="L27" s="4" t="s">
        <v>272</v>
      </c>
      <c r="U27" s="32">
        <f>0</f>
        <v>0</v>
      </c>
      <c r="V27" s="32">
        <f>4*DecodeBatch*TP1KernelLocalHeads*HeadDim*(ShortLayers*(DC_RawPairs+DC_ShortPairs))</f>
        <v>1761607680.0</v>
      </c>
      <c r="W27" s="32">
        <f>(DC_Rows*ShortLayers*TP1KernelLocalHeads*HeadDim*BF16Bytes+DecodeBatch*(ShortLayers*(DC_RawPairs+DC_ShortPairs))*HeadDim*BF16Bytes)+(DC_Rows*ShortLayers*TP1KernelLocalHeads*HeadDim*BF16Bytes)</f>
        <v>16515072.0</v>
      </c>
      <c r="X27" s="32">
        <f>0</f>
        <v>0</v>
      </c>
      <c r="Y27" s="32">
        <f>4*DecodeBatch*TP8KernelLocalHeads*HeadDim*(ShortLayers*(DC_RawPairs+DC_ShortPairs))</f>
        <v>440401920.0</v>
      </c>
      <c r="Z27" s="32">
        <f>(DC_Rows*ShortLayers*TP8KernelLocalHeads*HeadDim*BF16Bytes+DecodeBatch*(ShortLayers*(DC_RawPairs+DC_ShortPairs))*HeadDim*BF16Bytes)+(DC_Rows*ShortLayers*TP8KernelLocalHeads*HeadDim*BF16Bytes)</f>
        <v>14450688</v>
      </c>
      <c r="AA27" s="32">
        <f>0</f>
        <v>0</v>
      </c>
      <c r="AB27" s="32">
        <f>0</f>
        <v>0</v>
      </c>
    </row>
    <row r="28" spans="1:38">
      <c r="A28" s="4" t="s">
        <v>40</v>
      </c>
      <c r="B28" s="4" t="s">
        <v>276</v>
      </c>
      <c r="C28" s="4" t="s">
        <v>277</v>
      </c>
      <c r="D28" s="33" t="str">
        <f>TEXT(IF(ABS(U28)&gt;=1E12,U28/1E12,IF(ABS(U28)&gt;=1E9,U28/1E9,IF(ABS(U28)&gt;=1E6,U28/1E6,IF(ABS(U28)&gt;=1E3,U28/1E3,U28)))),"#,##0.000")&amp;IF((IF(ABS(U28)&gt;=1E12,"TB",IF(ABS(U28)&gt;=1E9,"GB",IF(ABS(U28)&gt;=1E6,"MB",IF(ABS(U28)&gt;=1E3,"KB","bytes")))))="",""," "&amp;(IF(ABS(U28)&gt;=1E12,"TB",IF(ABS(U28)&gt;=1E9,"GB",IF(ABS(U28)&gt;=1E6,"MB",IF(ABS(U28)&gt;=1E3,"KB","bytes"))))))</f>
        <v>0.000 B</v>
      </c>
      <c r="E28" s="33" t="str">
        <f>TEXT(IF(ABS(V28)&gt;=1E15,V28/1E15,IF(ABS(V28)&gt;=1E12,V28/1E12,IF(ABS(V28)&gt;=1E9,V28/1E9,IF(ABS(V28)&gt;=1E6,V28/1E6,V28)))),"#,##0.000")&amp;IF((IF(ABS(V28)&gt;=1E15,"PFLOPs",IF(ABS(V28)&gt;=1E12,"TFLOPs",IF(ABS(V28)&gt;=1E9,"GFLOPs",IF(ABS(V28)&gt;=1E6,"MFLOPs","flops")))))="",""," "&amp;(IF(ABS(V28)&gt;=1E15,"PFLOPs",IF(ABS(V28)&gt;=1E12,"TFLOPs",IF(ABS(V28)&gt;=1E9,"GFLOPs",IF(ABS(V28)&gt;=1E6,"MFLOPs","flops"))))))</f>
        <v>21.810 GFLOPs</v>
      </c>
      <c r="F28" s="33" t="str">
        <f>TEXT(IF(ABS(AA28)&gt;=1E12,AA28/1E12,IF(ABS(AA28)&gt;=1E9,AA28/1E9,IF(ABS(AA28)&gt;=1E6,AA28/1E6,IF(ABS(AA28)&gt;=1E3,AA28/1E3,AA28)))),"#,##0.000")&amp;IF((IF(ABS(AA28)&gt;=1E12,"TB",IF(ABS(AA28)&gt;=1E9,"GB",IF(ABS(AA28)&gt;=1E6,"MB",IF(ABS(AA28)&gt;=1E3,"KB","bytes")))))="",""," "&amp;(IF(ABS(AA28)&gt;=1E12,"TB",IF(ABS(AA28)&gt;=1E9,"GB",IF(ABS(AA28)&gt;=1E6,"MB",IF(ABS(AA28)&gt;=1E3,"KB","bytes"))))))</f>
        <v>0.000 B</v>
      </c>
      <c r="G28" s="33" t="str">
        <f>TEXT(IF(ABS(X28)&gt;=1E12,X28/1E12,IF(ABS(X28)&gt;=1E9,X28/1E9,IF(ABS(X28)&gt;=1E6,X28/1E6,IF(ABS(X28)&gt;=1E3,X28/1E3,X28)))),"#,##0.000")&amp;IF((IF(ABS(X28)&gt;=1E12,"TB",IF(ABS(X28)&gt;=1E9,"GB",IF(ABS(X28)&gt;=1E6,"MB",IF(ABS(X28)&gt;=1E3,"KB","bytes")))))="",""," "&amp;(IF(ABS(X28)&gt;=1E12,"TB",IF(ABS(X28)&gt;=1E9,"GB",IF(ABS(X28)&gt;=1E6,"MB",IF(ABS(X28)&gt;=1E3,"KB","bytes"))))))</f>
        <v>0.000 B</v>
      </c>
      <c r="H28" s="33" t="str">
        <f>TEXT(IF(ABS(Y28)&gt;=1E15,Y28/1E15,IF(ABS(Y28)&gt;=1E12,Y28/1E12,IF(ABS(Y28)&gt;=1E9,Y28/1E9,IF(ABS(Y28)&gt;=1E6,Y28/1E6,Y28)))),"#,##0.000")&amp;IF((IF(ABS(Y28)&gt;=1E15,"PFLOPs",IF(ABS(Y28)&gt;=1E12,"TFLOPs",IF(ABS(Y28)&gt;=1E9,"GFLOPs",IF(ABS(Y28)&gt;=1E6,"MFLOPs","flops")))))="",""," "&amp;(IF(ABS(Y28)&gt;=1E15,"PFLOPs",IF(ABS(Y28)&gt;=1E12,"TFLOPs",IF(ABS(Y28)&gt;=1E9,"GFLOPs",IF(ABS(Y28)&gt;=1E6,"MFLOPs","flops"))))))</f>
        <v>5.453 GFLOPs</v>
      </c>
      <c r="I28" s="33" t="str">
        <f>TEXT(IF(ABS(AB28)&gt;=1E12,AB28/1E12,IF(ABS(AB28)&gt;=1E9,AB28/1E9,IF(ABS(AB28)&gt;=1E6,AB28/1E6,IF(ABS(AB28)&gt;=1E3,AB28/1E3,AB28)))),"#,##0.000")&amp;IF((IF(ABS(AB28)&gt;=1E12,"TB",IF(ABS(AB28)&gt;=1E9,"GB",IF(ABS(AB28)&gt;=1E6,"MB",IF(ABS(AB28)&gt;=1E3,"KB","bytes")))))="",""," "&amp;(IF(ABS(AB28)&gt;=1E12,"TB",IF(ABS(AB28)&gt;=1E9,"GB",IF(ABS(AB28)&gt;=1E6,"MB",IF(ABS(AB28)&gt;=1E3,"KB","bytes"))))))</f>
        <v>0.000 B</v>
      </c>
      <c r="J28" s="4" t="s">
        <v>256</v>
      </c>
      <c r="K28" s="4" t="s">
        <v>275</v>
      </c>
      <c r="L28" s="4" t="s">
        <v>272</v>
      </c>
      <c r="U28" s="32">
        <f>0</f>
        <v>0</v>
      </c>
      <c r="V28" s="32">
        <f>4*DecodeBatch*TP1KernelLocalHeads*HeadDim*(LongLayers*(DC_RawPairs+DC_LongPairs))</f>
        <v>21810380800.0</v>
      </c>
      <c r="W28" s="32">
        <f>(DC_Rows*LongLayers*TP1KernelLocalHeads*HeadDim*BF16Bytes+DecodeBatch*(LongLayers*(DC_RawPairs+DC_LongPairs))*HeadDim*BF16Bytes)+(DC_Rows*LongLayers*TP1KernelLocalHeads*HeadDim*BF16Bytes)</f>
        <v>173015040.0</v>
      </c>
      <c r="X28" s="32">
        <f>0</f>
        <v>0</v>
      </c>
      <c r="Y28" s="32">
        <f>4*DecodeBatch*TP8KernelLocalHeads*HeadDim*(LongLayers*(DC_RawPairs+DC_LongPairs))</f>
        <v>5452595200.0</v>
      </c>
      <c r="Z28" s="32">
        <f>(DC_Rows*LongLayers*TP8KernelLocalHeads*HeadDim*BF16Bytes+DecodeBatch*(LongLayers*(DC_RawPairs+DC_LongPairs))*HeadDim*BF16Bytes)+(DC_Rows*LongLayers*TP8KernelLocalHeads*HeadDim*BF16Bytes)</f>
        <v>171048960</v>
      </c>
      <c r="AA28" s="32">
        <f>0</f>
        <v>0</v>
      </c>
      <c r="AB28" s="32">
        <f>0</f>
        <v>0</v>
      </c>
    </row>
    <row r="29" spans="1:38">
      <c r="A29" s="4" t="s">
        <v>40</v>
      </c>
      <c r="B29" s="4" t="s">
        <v>278</v>
      </c>
      <c r="C29" s="4" t="s">
        <v>158</v>
      </c>
      <c r="D29" s="33" t="str">
        <f>TEXT(IF(ABS(U29)&gt;=1E12,U29/1E12,IF(ABS(U29)&gt;=1E9,U29/1E9,IF(ABS(U29)&gt;=1E6,U29/1E6,IF(ABS(U29)&gt;=1E3,U29/1E3,U29)))),"#,##0.000")&amp;IF((IF(ABS(U29)&gt;=1E12,"TB",IF(ABS(U29)&gt;=1E9,"GB",IF(ABS(U29)&gt;=1E6,"MB",IF(ABS(U29)&gt;=1E3,"KB","bytes")))))="",""," "&amp;(IF(ABS(U29)&gt;=1E12,"TB",IF(ABS(U29)&gt;=1E9,"GB",IF(ABS(U29)&gt;=1E6,"MB",IF(ABS(U29)&gt;=1E3,"KB","bytes"))))))</f>
        <v>187.182 MB</v>
      </c>
      <c r="E29" s="33" t="str">
        <f>TEXT(IF(ABS(V29)&gt;=1E15,V29/1E15,IF(ABS(V29)&gt;=1E12,V29/1E12,IF(ABS(V29)&gt;=1E9,V29/1E9,IF(ABS(V29)&gt;=1E6,V29/1E6,V29)))),"#,##0.000")&amp;IF((IF(ABS(V29)&gt;=1E15,"PFLOPs",IF(ABS(V29)&gt;=1E12,"TFLOPs",IF(ABS(V29)&gt;=1E9,"GFLOPs",IF(ABS(V29)&gt;=1E6,"MFLOPs","flops")))))="",""," "&amp;(IF(ABS(V29)&gt;=1E15,"PFLOPs",IF(ABS(V29)&gt;=1E12,"TFLOPs",IF(ABS(V29)&gt;=1E9,"GFLOPs",IF(ABS(V29)&gt;=1E6,"MFLOPs","flops"))))))</f>
        <v>363.332 MFLOPs</v>
      </c>
      <c r="F29" s="33" t="str">
        <f>TEXT(IF(ABS(AA29)&gt;=1E12,AA29/1E12,IF(ABS(AA29)&gt;=1E9,AA29/1E9,IF(ABS(AA29)&gt;=1E6,AA29/1E6,IF(ABS(AA29)&gt;=1E3,AA29/1E3,AA29)))),"#,##0.000")&amp;IF((IF(ABS(AA29)&gt;=1E12,"TB",IF(ABS(AA29)&gt;=1E9,"GB",IF(ABS(AA29)&gt;=1E6,"MB",IF(ABS(AA29)&gt;=1E3,"KB","bytes")))))="",""," "&amp;(IF(ABS(AA29)&gt;=1E12,"TB",IF(ABS(AA29)&gt;=1E9,"GB",IF(ABS(AA29)&gt;=1E6,"MB",IF(ABS(AA29)&gt;=1E3,"KB","bytes"))))))</f>
        <v>0.000 B</v>
      </c>
      <c r="G29" s="33" t="str">
        <f>TEXT(IF(ABS(X29)&gt;=1E12,X29/1E12,IF(ABS(X29)&gt;=1E9,X29/1E9,IF(ABS(X29)&gt;=1E6,X29/1E6,IF(ABS(X29)&gt;=1E3,X29/1E3,X29)))),"#,##0.000")&amp;IF((IF(ABS(X29)&gt;=1E12,"TB",IF(ABS(X29)&gt;=1E9,"GB",IF(ABS(X29)&gt;=1E6,"MB",IF(ABS(X29)&gt;=1E3,"KB","bytes")))))="",""," "&amp;(IF(ABS(X29)&gt;=1E12,"TB",IF(ABS(X29)&gt;=1E9,"GB",IF(ABS(X29)&gt;=1E6,"MB",IF(ABS(X29)&gt;=1E3,"KB","bytes"))))))</f>
        <v>23.398 MB</v>
      </c>
      <c r="H29" s="33" t="str">
        <f>TEXT(IF(ABS(Y29)&gt;=1E15,Y29/1E15,IF(ABS(Y29)&gt;=1E12,Y29/1E12,IF(ABS(Y29)&gt;=1E9,Y29/1E9,IF(ABS(Y29)&gt;=1E6,Y29/1E6,Y29)))),"#,##0.000")&amp;IF((IF(ABS(Y29)&gt;=1E15,"PFLOPs",IF(ABS(Y29)&gt;=1E12,"TFLOPs",IF(ABS(Y29)&gt;=1E9,"GFLOPs",IF(ABS(Y29)&gt;=1E6,"MFLOPs","flops")))))="",""," "&amp;(IF(ABS(Y29)&gt;=1E15,"PFLOPs",IF(ABS(Y29)&gt;=1E12,"TFLOPs",IF(ABS(Y29)&gt;=1E9,"GFLOPs",IF(ABS(Y29)&gt;=1E6,"MFLOPs","flops"))))))</f>
        <v>45.416 MFLOPs</v>
      </c>
      <c r="I29" s="33" t="str">
        <f>TEXT(IF(ABS(AB29)&gt;=1E12,AB29/1E12,IF(ABS(AB29)&gt;=1E9,AB29/1E9,IF(ABS(AB29)&gt;=1E6,AB29/1E6,IF(ABS(AB29)&gt;=1E3,AB29/1E3,AB29)))),"#,##0.000")&amp;IF((IF(ABS(AB29)&gt;=1E12,"TB",IF(ABS(AB29)&gt;=1E9,"GB",IF(ABS(AB29)&gt;=1E6,"MB",IF(ABS(AB29)&gt;=1E3,"KB","bytes")))))="",""," "&amp;(IF(ABS(AB29)&gt;=1E12,"TB",IF(ABS(AB29)&gt;=1E9,"GB",IF(ABS(AB29)&gt;=1E6,"MB",IF(ABS(AB29)&gt;=1E3,"KB","bytes"))))))</f>
        <v>0.000 B</v>
      </c>
      <c r="J29" s="4" t="s">
        <v>279</v>
      </c>
      <c r="K29" s="4" t="s">
        <v>280</v>
      </c>
      <c r="L29" s="4" t="s">
        <v>281</v>
      </c>
      <c r="U29" s="32">
        <f>ShortLayers*(((QLoraRank)*(TP1LocalIndexHeads*IndexHeadDim)*FP8Bytes+ROUNDUP((QLoraRank)/FP8Block,0)*ROUNDUP((TP1LocalIndexHeads*IndexHeadDim)/FP8Block,0)*ScaleBytes)+HiddenSize*TP1LocalIndexHeads*BF16Bytes)</f>
        <v>187181568</v>
      </c>
      <c r="V29" s="32">
        <f>2*DC_Rows*ShortLayers*(QLoraRank*TP1LocalIndexHeads*IndexHeadDim+HiddenSize*TP1LocalIndexHeads)</f>
        <v>363331584.0</v>
      </c>
      <c r="W29" s="32">
        <f>(ShortLayers*(((QLoraRank)*(TP1LocalIndexHeads*IndexHeadDim)*FP8Bytes+ROUNDUP((QLoraRank)/FP8Block,0)*ROUNDUP((TP1LocalIndexHeads*IndexHeadDim)/FP8Block,0)*ScaleBytes)+HiddenSize*TP1LocalIndexHeads*BF16Bytes)+DC_Rows*ShortLayers*(QLoraRank+HiddenSize)*BF16Bytes)+(DC_Rows*ShortLayers*TP1LocalIndexHeads*(IndexHeadDim+1)*BF16Bytes)</f>
        <v>187743360.0</v>
      </c>
      <c r="X29" s="32">
        <f>ShortLayers*(((QLoraRank)*(TP8LocalIndexHeads*IndexHeadDim)*FP8Bytes+ROUNDUP((QLoraRank)/FP8Block,0)*ROUNDUP((TP8LocalIndexHeads*IndexHeadDim)/FP8Block,0)*ScaleBytes)+HiddenSize*TP8LocalIndexHeads*BF16Bytes)</f>
        <v>23397696</v>
      </c>
      <c r="Y29" s="32">
        <f>2*DC_Rows*ShortLayers*(QLoraRank*TP8LocalIndexHeads*IndexHeadDim+HiddenSize*TP8LocalIndexHeads)</f>
        <v>45416448.0</v>
      </c>
      <c r="Z29" s="32">
        <f>(ShortLayers*(((QLoraRank)*(TP8LocalIndexHeads*IndexHeadDim)*FP8Bytes+ROUNDUP((QLoraRank)/FP8Block,0)*ROUNDUP((TP8LocalIndexHeads*IndexHeadDim)/FP8Block,0)*ScaleBytes)+HiddenSize*TP8LocalIndexHeads*BF16Bytes)+DC_Rows*ShortLayers*(QLoraRank+HiddenSize)*BF16Bytes)+(DC_Rows*ShortLayers*TP8LocalIndexHeads*(IndexHeadDim+1)*BF16Bytes)</f>
        <v>23656080.0</v>
      </c>
      <c r="AA29" s="32">
        <f>0</f>
        <v>0</v>
      </c>
      <c r="AB29" s="32">
        <f>0</f>
        <v>0</v>
      </c>
    </row>
    <row r="30" spans="1:38">
      <c r="A30" s="4" t="s">
        <v>40</v>
      </c>
      <c r="B30" s="4" t="s">
        <v>282</v>
      </c>
      <c r="C30" s="4" t="s">
        <v>158</v>
      </c>
      <c r="D30" s="33" t="str">
        <f>TEXT(IF(ABS(U30)&gt;=1E12,U30/1E12,IF(ABS(U30)&gt;=1E9,U30/1E9,IF(ABS(U30)&gt;=1E6,U30/1E6,IF(ABS(U30)&gt;=1E3,U30/1E3,U30)))),"#,##0.000")&amp;IF((IF(ABS(U30)&gt;=1E12,"TB",IF(ABS(U30)&gt;=1E9,"GB",IF(ABS(U30)&gt;=1E6,"MB",IF(ABS(U30)&gt;=1E3,"KB","bytes")))))="",""," "&amp;(IF(ABS(U30)&gt;=1E12,"TB",IF(ABS(U30)&gt;=1E9,"GB",IF(ABS(U30)&gt;=1E6,"MB",IF(ABS(U30)&gt;=1E3,"KB","bytes"))))))</f>
        <v>0.000 B</v>
      </c>
      <c r="E30" s="33" t="str">
        <f>TEXT(IF(ABS(V30)&gt;=1E15,V30/1E15,IF(ABS(V30)&gt;=1E12,V30/1E12,IF(ABS(V30)&gt;=1E9,V30/1E9,IF(ABS(V30)&gt;=1E6,V30/1E6,V30)))),"#,##0.000")&amp;IF((IF(ABS(V30)&gt;=1E15,"PFLOPs",IF(ABS(V30)&gt;=1E12,"TFLOPs",IF(ABS(V30)&gt;=1E9,"GFLOPs",IF(ABS(V30)&gt;=1E6,"MFLOPs","flops")))))="",""," "&amp;(IF(ABS(V30)&gt;=1E15,"PFLOPs",IF(ABS(V30)&gt;=1E12,"TFLOPs",IF(ABS(V30)&gt;=1E9,"GFLOPs",IF(ABS(V30)&gt;=1E6,"MFLOPs","flops"))))))</f>
        <v>90.194 GFLOPs</v>
      </c>
      <c r="F30" s="33" t="str">
        <f>TEXT(IF(ABS(AA30)&gt;=1E12,AA30/1E12,IF(ABS(AA30)&gt;=1E9,AA30/1E9,IF(ABS(AA30)&gt;=1E6,AA30/1E6,IF(ABS(AA30)&gt;=1E3,AA30/1E3,AA30)))),"#,##0.000")&amp;IF((IF(ABS(AA30)&gt;=1E12,"TB",IF(ABS(AA30)&gt;=1E9,"GB",IF(ABS(AA30)&gt;=1E6,"MB",IF(ABS(AA30)&gt;=1E3,"KB","bytes")))))="",""," "&amp;(IF(ABS(AA30)&gt;=1E12,"TB",IF(ABS(AA30)&gt;=1E9,"GB",IF(ABS(AA30)&gt;=1E6,"MB",IF(ABS(AA30)&gt;=1E3,"KB","bytes"))))))</f>
        <v>0.000 B</v>
      </c>
      <c r="G30" s="33" t="str">
        <f>TEXT(IF(ABS(X30)&gt;=1E12,X30/1E12,IF(ABS(X30)&gt;=1E9,X30/1E9,IF(ABS(X30)&gt;=1E6,X30/1E6,IF(ABS(X30)&gt;=1E3,X30/1E3,X30)))),"#,##0.000")&amp;IF((IF(ABS(X30)&gt;=1E12,"TB",IF(ABS(X30)&gt;=1E9,"GB",IF(ABS(X30)&gt;=1E6,"MB",IF(ABS(X30)&gt;=1E3,"KB","bytes")))))="",""," "&amp;(IF(ABS(X30)&gt;=1E12,"TB",IF(ABS(X30)&gt;=1E9,"GB",IF(ABS(X30)&gt;=1E6,"MB",IF(ABS(X30)&gt;=1E3,"KB","bytes"))))))</f>
        <v>0.000 B</v>
      </c>
      <c r="H30" s="33" t="str">
        <f>TEXT(IF(ABS(Y30)&gt;=1E15,Y30/1E15,IF(ABS(Y30)&gt;=1E12,Y30/1E12,IF(ABS(Y30)&gt;=1E9,Y30/1E9,IF(ABS(Y30)&gt;=1E6,Y30/1E6,Y30)))),"#,##0.000")&amp;IF((IF(ABS(Y30)&gt;=1E15,"PFLOPs",IF(ABS(Y30)&gt;=1E12,"TFLOPs",IF(ABS(Y30)&gt;=1E9,"GFLOPs",IF(ABS(Y30)&gt;=1E6,"MFLOPs","flops")))))="",""," "&amp;(IF(ABS(Y30)&gt;=1E15,"PFLOPs",IF(ABS(Y30)&gt;=1E12,"TFLOPs",IF(ABS(Y30)&gt;=1E9,"GFLOPs",IF(ABS(Y30)&gt;=1E6,"MFLOPs","flops"))))))</f>
        <v>11.274 GFLOPs</v>
      </c>
      <c r="I30" s="33" t="str">
        <f>TEXT(IF(ABS(AB30)&gt;=1E12,AB30/1E12,IF(ABS(AB30)&gt;=1E9,AB30/1E9,IF(ABS(AB30)&gt;=1E6,AB30/1E6,IF(ABS(AB30)&gt;=1E3,AB30/1E3,AB30)))),"#,##0.000")&amp;IF((IF(ABS(AB30)&gt;=1E12,"TB",IF(ABS(AB30)&gt;=1E9,"GB",IF(ABS(AB30)&gt;=1E6,"MB",IF(ABS(AB30)&gt;=1E3,"KB","bytes")))))="",""," "&amp;(IF(ABS(AB30)&gt;=1E12,"TB",IF(ABS(AB30)&gt;=1E9,"GB",IF(ABS(AB30)&gt;=1E6,"MB",IF(ABS(AB30)&gt;=1E3,"KB","bytes"))))))</f>
        <v>0.000 B</v>
      </c>
      <c r="J30" s="4" t="s">
        <v>256</v>
      </c>
      <c r="K30" s="4" t="s">
        <v>283</v>
      </c>
      <c r="L30" s="4" t="s">
        <v>284</v>
      </c>
      <c r="U30" s="32">
        <f>0</f>
        <v>0</v>
      </c>
      <c r="V30" s="32">
        <f>2*DecodeBatch*ShortLayers*TP1LocalIndexHeads*IndexHeadDim*DC_IndexPairs</f>
        <v>90194313216.0</v>
      </c>
      <c r="W30" s="32">
        <f>(DecodeBatch*ShortLayers*DC_IndexPairs*(IndexHeadDim*BF16Bytes+TP1LocalIndexHeads*BF16Bytes))+(DecodeBatch*ShortLayers*DC_IndexPairs*(TP1LocalIndexHeads*BF16Bytes+FP32Bytes))</f>
        <v>2840592384.0</v>
      </c>
      <c r="X30" s="32">
        <f>0</f>
        <v>0</v>
      </c>
      <c r="Y30" s="32">
        <f>2*DecodeBatch*ShortLayers*TP8LocalIndexHeads*IndexHeadDim*DC_IndexPairs</f>
        <v>11274289152.0</v>
      </c>
      <c r="Z30" s="32">
        <f>(DecodeBatch*ShortLayers*DC_IndexPairs*(IndexHeadDim*BF16Bytes+TP8LocalIndexHeads*BF16Bytes))+(DecodeBatch*ShortLayers*DC_IndexPairs*(TP8LocalIndexHeads*BF16Bytes+FP32Bytes))</f>
        <v>1607467008.0</v>
      </c>
      <c r="AA30" s="32">
        <f>0</f>
        <v>0</v>
      </c>
      <c r="AB30" s="32">
        <f>0</f>
        <v>0</v>
      </c>
    </row>
    <row r="31" spans="1:38">
      <c r="A31" s="4" t="s">
        <v>40</v>
      </c>
      <c r="B31" s="4" t="s">
        <v>285</v>
      </c>
      <c r="C31" s="4" t="s">
        <v>274</v>
      </c>
      <c r="D31" s="33" t="str">
        <f>TEXT(IF(ABS(U31)&gt;=1E12,U31/1E12,IF(ABS(U31)&gt;=1E9,U31/1E9,IF(ABS(U31)&gt;=1E6,U31/1E6,IF(ABS(U31)&gt;=1E3,U31/1E3,U31)))),"#,##0.000")&amp;IF((IF(ABS(U31)&gt;=1E12,"TB",IF(ABS(U31)&gt;=1E9,"GB",IF(ABS(U31)&gt;=1E6,"MB",IF(ABS(U31)&gt;=1E3,"KB","bytes")))))="",""," "&amp;(IF(ABS(U31)&gt;=1E12,"TB",IF(ABS(U31)&gt;=1E9,"GB",IF(ABS(U31)&gt;=1E6,"MB",IF(ABS(U31)&gt;=1E3,"KB","bytes"))))))</f>
        <v>705.030 MB</v>
      </c>
      <c r="E31" s="33" t="str">
        <f>TEXT(IF(ABS(V31)&gt;=1E15,V31/1E15,IF(ABS(V31)&gt;=1E12,V31/1E12,IF(ABS(V31)&gt;=1E9,V31/1E9,IF(ABS(V31)&gt;=1E6,V31/1E6,V31)))),"#,##0.000")&amp;IF((IF(ABS(V31)&gt;=1E15,"PFLOPs",IF(ABS(V31)&gt;=1E12,"TFLOPs",IF(ABS(V31)&gt;=1E9,"GFLOPs",IF(ABS(V31)&gt;=1E6,"MFLOPs","flops")))))="",""," "&amp;(IF(ABS(V31)&gt;=1E15,"PFLOPs",IF(ABS(V31)&gt;=1E12,"TFLOPs",IF(ABS(V31)&gt;=1E9,"GFLOPs",IF(ABS(V31)&gt;=1E6,"MFLOPs","flops"))))))</f>
        <v>352.322 MFLOPs</v>
      </c>
      <c r="F31" s="33" t="str">
        <f>TEXT(IF(ABS(AA31)&gt;=1E12,AA31/1E12,IF(ABS(AA31)&gt;=1E9,AA31/1E9,IF(ABS(AA31)&gt;=1E6,AA31/1E6,IF(ABS(AA31)&gt;=1E3,AA31/1E3,AA31)))),"#,##0.000")&amp;IF((IF(ABS(AA31)&gt;=1E12,"TB",IF(ABS(AA31)&gt;=1E9,"GB",IF(ABS(AA31)&gt;=1E6,"MB",IF(ABS(AA31)&gt;=1E3,"KB","bytes")))))="",""," "&amp;(IF(ABS(AA31)&gt;=1E12,"TB",IF(ABS(AA31)&gt;=1E9,"GB",IF(ABS(AA31)&gt;=1E6,"MB",IF(ABS(AA31)&gt;=1E3,"KB","bytes"))))))</f>
        <v>0.000 B</v>
      </c>
      <c r="G31" s="33" t="str">
        <f>TEXT(IF(ABS(X31)&gt;=1E12,X31/1E12,IF(ABS(X31)&gt;=1E9,X31/1E9,IF(ABS(X31)&gt;=1E6,X31/1E6,IF(ABS(X31)&gt;=1E3,X31/1E3,X31)))),"#,##0.000")&amp;IF((IF(ABS(X31)&gt;=1E12,"TB",IF(ABS(X31)&gt;=1E9,"GB",IF(ABS(X31)&gt;=1E6,"MB",IF(ABS(X31)&gt;=1E3,"KB","bytes")))))="",""," "&amp;(IF(ABS(X31)&gt;=1E12,"TB",IF(ABS(X31)&gt;=1E9,"GB",IF(ABS(X31)&gt;=1E6,"MB",IF(ABS(X31)&gt;=1E3,"KB","bytes"))))))</f>
        <v>705.030 MB</v>
      </c>
      <c r="H31" s="33" t="str">
        <f>TEXT(IF(ABS(Y31)&gt;=1E15,Y31/1E15,IF(ABS(Y31)&gt;=1E12,Y31/1E12,IF(ABS(Y31)&gt;=1E9,Y31/1E9,IF(ABS(Y31)&gt;=1E6,Y31/1E6,Y31)))),"#,##0.000")&amp;IF((IF(ABS(Y31)&gt;=1E15,"PFLOPs",IF(ABS(Y31)&gt;=1E12,"TFLOPs",IF(ABS(Y31)&gt;=1E9,"GFLOPs",IF(ABS(Y31)&gt;=1E6,"MFLOPs","flops")))))="",""," "&amp;(IF(ABS(Y31)&gt;=1E15,"PFLOPs",IF(ABS(Y31)&gt;=1E12,"TFLOPs",IF(ABS(Y31)&gt;=1E9,"GFLOPs",IF(ABS(Y31)&gt;=1E6,"MFLOPs","flops"))))))</f>
        <v>352.322 MFLOPs</v>
      </c>
      <c r="I31" s="33" t="str">
        <f>TEXT(IF(ABS(AB31)&gt;=1E12,AB31/1E12,IF(ABS(AB31)&gt;=1E9,AB31/1E9,IF(ABS(AB31)&gt;=1E6,AB31/1E6,IF(ABS(AB31)&gt;=1E3,AB31/1E3,AB31)))),"#,##0.000")&amp;IF((IF(ABS(AB31)&gt;=1E12,"TB",IF(ABS(AB31)&gt;=1E9,"GB",IF(ABS(AB31)&gt;=1E6,"MB",IF(ABS(AB31)&gt;=1E3,"KB","bytes")))))="",""," "&amp;(IF(ABS(AB31)&gt;=1E12,"TB",IF(ABS(AB31)&gt;=1E9,"GB",IF(ABS(AB31)&gt;=1E6,"MB",IF(ABS(AB31)&gt;=1E3,"KB","bytes"))))))</f>
        <v>0.000 B</v>
      </c>
      <c r="J31" s="4" t="s">
        <v>286</v>
      </c>
      <c r="K31" s="4" t="s">
        <v>287</v>
      </c>
      <c r="L31" s="4" t="s">
        <v>288</v>
      </c>
      <c r="U31" s="32">
        <f>ShortLayers*(2*HiddenSize*(2*HeadDim)*FP32Bytes+ShortRatio*2*HeadDim*FP32Bytes+HeadDim*FP32Bytes)</f>
        <v>705030144</v>
      </c>
      <c r="V31" s="32">
        <f>DC_Rows*ShortLayers*8*HiddenSize*HeadDim</f>
        <v>352321536</v>
      </c>
      <c r="W31" s="32">
        <f>(ShortLayers*(2*HiddenSize*(2*HeadDim)*FP32Bytes+ShortRatio*2*HeadDim*FP32Bytes+HeadDim*FP32Bytes)+DC_Rows*ShortLayers*HiddenSize*FP32Bytes)+(DC_Rows*ShortLayers*4*HeadDim*FP32Bytes)</f>
        <v>705546240</v>
      </c>
      <c r="X31" s="32">
        <f>ShortLayers*(2*HiddenSize*(2*HeadDim)*FP32Bytes+ShortRatio*2*HeadDim*FP32Bytes+HeadDim*FP32Bytes)</f>
        <v>705030144</v>
      </c>
      <c r="Y31" s="32">
        <f>DC_Rows*ShortLayers*8*HiddenSize*HeadDim</f>
        <v>352321536</v>
      </c>
      <c r="Z31" s="32">
        <f>(ShortLayers*(2*HiddenSize*(2*HeadDim)*FP32Bytes+ShortRatio*2*HeadDim*FP32Bytes+HeadDim*FP32Bytes)+DC_Rows*ShortLayers*HiddenSize*FP32Bytes)+(DC_Rows*ShortLayers*4*HeadDim*FP32Bytes)</f>
        <v>705546240</v>
      </c>
      <c r="AA31" s="32">
        <f>0</f>
        <v>0</v>
      </c>
      <c r="AB31" s="32">
        <f>0</f>
        <v>0</v>
      </c>
    </row>
    <row r="32" spans="1:38">
      <c r="A32" s="4" t="s">
        <v>40</v>
      </c>
      <c r="B32" s="4" t="s">
        <v>289</v>
      </c>
      <c r="C32" s="4" t="s">
        <v>277</v>
      </c>
      <c r="D32" s="33" t="str">
        <f>TEXT(IF(ABS(U32)&gt;=1E12,U32/1E12,IF(ABS(U32)&gt;=1E9,U32/1E9,IF(ABS(U32)&gt;=1E6,U32/1E6,IF(ABS(U32)&gt;=1E3,U32/1E3,U32)))),"#,##0.000")&amp;IF((IF(ABS(U32)&gt;=1E12,"TB",IF(ABS(U32)&gt;=1E9,"GB",IF(ABS(U32)&gt;=1E6,"MB",IF(ABS(U32)&gt;=1E3,"KB","bytes")))))="",""," "&amp;(IF(ABS(U32)&gt;=1E12,"TB",IF(ABS(U32)&gt;=1E9,"GB",IF(ABS(U32)&gt;=1E6,"MB",IF(ABS(U32)&gt;=1E3,"KB","bytes"))))))</f>
        <v>340.828 MB</v>
      </c>
      <c r="E32" s="33" t="str">
        <f>TEXT(IF(ABS(V32)&gt;=1E15,V32/1E15,IF(ABS(V32)&gt;=1E12,V32/1E12,IF(ABS(V32)&gt;=1E9,V32/1E9,IF(ABS(V32)&gt;=1E6,V32/1E6,V32)))),"#,##0.000")&amp;IF((IF(ABS(V32)&gt;=1E15,"PFLOPs",IF(ABS(V32)&gt;=1E12,"TFLOPs",IF(ABS(V32)&gt;=1E9,"GFLOPs",IF(ABS(V32)&gt;=1E6,"MFLOPs","flops")))))="",""," "&amp;(IF(ABS(V32)&gt;=1E15,"PFLOPs",IF(ABS(V32)&gt;=1E12,"TFLOPs",IF(ABS(V32)&gt;=1E9,"GFLOPs",IF(ABS(V32)&gt;=1E6,"MFLOPs","flops"))))))</f>
        <v>167.772 MFLOPs</v>
      </c>
      <c r="F32" s="33" t="str">
        <f>TEXT(IF(ABS(AA32)&gt;=1E12,AA32/1E12,IF(ABS(AA32)&gt;=1E9,AA32/1E9,IF(ABS(AA32)&gt;=1E6,AA32/1E6,IF(ABS(AA32)&gt;=1E3,AA32/1E3,AA32)))),"#,##0.000")&amp;IF((IF(ABS(AA32)&gt;=1E12,"TB",IF(ABS(AA32)&gt;=1E9,"GB",IF(ABS(AA32)&gt;=1E6,"MB",IF(ABS(AA32)&gt;=1E3,"KB","bytes")))))="",""," "&amp;(IF(ABS(AA32)&gt;=1E12,"TB",IF(ABS(AA32)&gt;=1E9,"GB",IF(ABS(AA32)&gt;=1E6,"MB",IF(ABS(AA32)&gt;=1E3,"KB","bytes"))))))</f>
        <v>0.000 B</v>
      </c>
      <c r="G32" s="33" t="str">
        <f>TEXT(IF(ABS(X32)&gt;=1E12,X32/1E12,IF(ABS(X32)&gt;=1E9,X32/1E9,IF(ABS(X32)&gt;=1E6,X32/1E6,IF(ABS(X32)&gt;=1E3,X32/1E3,X32)))),"#,##0.000")&amp;IF((IF(ABS(X32)&gt;=1E12,"TB",IF(ABS(X32)&gt;=1E9,"GB",IF(ABS(X32)&gt;=1E6,"MB",IF(ABS(X32)&gt;=1E3,"KB","bytes")))))="",""," "&amp;(IF(ABS(X32)&gt;=1E12,"TB",IF(ABS(X32)&gt;=1E9,"GB",IF(ABS(X32)&gt;=1E6,"MB",IF(ABS(X32)&gt;=1E3,"KB","bytes"))))))</f>
        <v>340.828 MB</v>
      </c>
      <c r="H32" s="33" t="str">
        <f>TEXT(IF(ABS(Y32)&gt;=1E15,Y32/1E15,IF(ABS(Y32)&gt;=1E12,Y32/1E12,IF(ABS(Y32)&gt;=1E9,Y32/1E9,IF(ABS(Y32)&gt;=1E6,Y32/1E6,Y32)))),"#,##0.000")&amp;IF((IF(ABS(Y32)&gt;=1E15,"PFLOPs",IF(ABS(Y32)&gt;=1E12,"TFLOPs",IF(ABS(Y32)&gt;=1E9,"GFLOPs",IF(ABS(Y32)&gt;=1E6,"MFLOPs","flops")))))="",""," "&amp;(IF(ABS(Y32)&gt;=1E15,"PFLOPs",IF(ABS(Y32)&gt;=1E12,"TFLOPs",IF(ABS(Y32)&gt;=1E9,"GFLOPs",IF(ABS(Y32)&gt;=1E6,"MFLOPs","flops"))))))</f>
        <v>167.772 MFLOPs</v>
      </c>
      <c r="I32" s="33" t="str">
        <f>TEXT(IF(ABS(AB32)&gt;=1E12,AB32/1E12,IF(ABS(AB32)&gt;=1E9,AB32/1E9,IF(ABS(AB32)&gt;=1E6,AB32/1E6,IF(ABS(AB32)&gt;=1E3,AB32/1E3,AB32)))),"#,##0.000")&amp;IF((IF(ABS(AB32)&gt;=1E12,"TB",IF(ABS(AB32)&gt;=1E9,"GB",IF(ABS(AB32)&gt;=1E6,"MB",IF(ABS(AB32)&gt;=1E3,"KB","bytes")))))="",""," "&amp;(IF(ABS(AB32)&gt;=1E12,"TB",IF(ABS(AB32)&gt;=1E9,"GB",IF(ABS(AB32)&gt;=1E6,"MB",IF(ABS(AB32)&gt;=1E3,"KB","bytes"))))))</f>
        <v>0.000 B</v>
      </c>
      <c r="J32" s="4" t="s">
        <v>286</v>
      </c>
      <c r="K32" s="4" t="s">
        <v>287</v>
      </c>
      <c r="L32" s="4" t="s">
        <v>290</v>
      </c>
      <c r="U32" s="32">
        <f>LongLayers*(2*HiddenSize*HeadDim*FP32Bytes+LongRatio*HeadDim*FP32Bytes+HeadDim*FP32Bytes)</f>
        <v>340828160</v>
      </c>
      <c r="V32" s="32">
        <f>DC_Rows*LongLayers*4*HiddenSize*HeadDim</f>
        <v>167772160</v>
      </c>
      <c r="W32" s="32">
        <f>(LongLayers*(2*HiddenSize*HeadDim*FP32Bytes+LongRatio*HeadDim*FP32Bytes+HeadDim*FP32Bytes)+DC_Rows*LongLayers*HiddenSize*FP32Bytes)+(DC_Rows*LongLayers*2*HeadDim*FP32Bytes)</f>
        <v>341237760</v>
      </c>
      <c r="X32" s="32">
        <f>LongLayers*(2*HiddenSize*HeadDim*FP32Bytes+LongRatio*HeadDim*FP32Bytes+HeadDim*FP32Bytes)</f>
        <v>340828160</v>
      </c>
      <c r="Y32" s="32">
        <f>DC_Rows*LongLayers*4*HiddenSize*HeadDim</f>
        <v>167772160</v>
      </c>
      <c r="Z32" s="32">
        <f>(LongLayers*(2*HiddenSize*HeadDim*FP32Bytes+LongRatio*HeadDim*FP32Bytes+HeadDim*FP32Bytes)+DC_Rows*LongLayers*HiddenSize*FP32Bytes)+(DC_Rows*LongLayers*2*HeadDim*FP32Bytes)</f>
        <v>341237760</v>
      </c>
      <c r="AA32" s="32">
        <f>0</f>
        <v>0</v>
      </c>
      <c r="AB32" s="32">
        <f>0</f>
        <v>0</v>
      </c>
    </row>
    <row r="33" spans="1:50">
      <c r="A33" s="4" t="s">
        <v>40</v>
      </c>
      <c r="B33" s="4" t="s">
        <v>291</v>
      </c>
      <c r="C33" s="4" t="s">
        <v>158</v>
      </c>
      <c r="D33" s="33" t="str">
        <f>TEXT(IF(ABS(U33)&gt;=1E12,U33/1E12,IF(ABS(U33)&gt;=1E9,U33/1E9,IF(ABS(U33)&gt;=1E6,U33/1E6,IF(ABS(U33)&gt;=1E3,U33/1E3,U33)))),"#,##0.000")&amp;IF((IF(ABS(U33)&gt;=1E12,"TB",IF(ABS(U33)&gt;=1E9,"GB",IF(ABS(U33)&gt;=1E6,"MB",IF(ABS(U33)&gt;=1E3,"KB","bytes")))))="",""," "&amp;(IF(ABS(U33)&gt;=1E12,"TB",IF(ABS(U33)&gt;=1E9,"GB",IF(ABS(U33)&gt;=1E6,"MB",IF(ABS(U33)&gt;=1E3,"KB","bytes"))))))</f>
        <v>176.258 MB</v>
      </c>
      <c r="E33" s="33" t="str">
        <f>TEXT(IF(ABS(V33)&gt;=1E15,V33/1E15,IF(ABS(V33)&gt;=1E12,V33/1E12,IF(ABS(V33)&gt;=1E9,V33/1E9,IF(ABS(V33)&gt;=1E6,V33/1E6,V33)))),"#,##0.000")&amp;IF((IF(ABS(V33)&gt;=1E15,"PFLOPs",IF(ABS(V33)&gt;=1E12,"TFLOPs",IF(ABS(V33)&gt;=1E9,"GFLOPs",IF(ABS(V33)&gt;=1E6,"MFLOPs","flops")))))="",""," "&amp;(IF(ABS(V33)&gt;=1E15,"PFLOPs",IF(ABS(V33)&gt;=1E12,"TFLOPs",IF(ABS(V33)&gt;=1E9,"GFLOPs",IF(ABS(V33)&gt;=1E6,"MFLOPs","flops"))))))</f>
        <v>88.080 MFLOPs</v>
      </c>
      <c r="F33" s="33" t="str">
        <f>TEXT(IF(ABS(AA33)&gt;=1E12,AA33/1E12,IF(ABS(AA33)&gt;=1E9,AA33/1E9,IF(ABS(AA33)&gt;=1E6,AA33/1E6,IF(ABS(AA33)&gt;=1E3,AA33/1E3,AA33)))),"#,##0.000")&amp;IF((IF(ABS(AA33)&gt;=1E12,"TB",IF(ABS(AA33)&gt;=1E9,"GB",IF(ABS(AA33)&gt;=1E6,"MB",IF(ABS(AA33)&gt;=1E3,"KB","bytes")))))="",""," "&amp;(IF(ABS(AA33)&gt;=1E12,"TB",IF(ABS(AA33)&gt;=1E9,"GB",IF(ABS(AA33)&gt;=1E6,"MB",IF(ABS(AA33)&gt;=1E3,"KB","bytes"))))))</f>
        <v>0.000 B</v>
      </c>
      <c r="G33" s="33" t="str">
        <f>TEXT(IF(ABS(X33)&gt;=1E12,X33/1E12,IF(ABS(X33)&gt;=1E9,X33/1E9,IF(ABS(X33)&gt;=1E6,X33/1E6,IF(ABS(X33)&gt;=1E3,X33/1E3,X33)))),"#,##0.000")&amp;IF((IF(ABS(X33)&gt;=1E12,"TB",IF(ABS(X33)&gt;=1E9,"GB",IF(ABS(X33)&gt;=1E6,"MB",IF(ABS(X33)&gt;=1E3,"KB","bytes")))))="",""," "&amp;(IF(ABS(X33)&gt;=1E12,"TB",IF(ABS(X33)&gt;=1E9,"GB",IF(ABS(X33)&gt;=1E6,"MB",IF(ABS(X33)&gt;=1E3,"KB","bytes"))))))</f>
        <v>176.258 MB</v>
      </c>
      <c r="H33" s="33" t="str">
        <f>TEXT(IF(ABS(Y33)&gt;=1E15,Y33/1E15,IF(ABS(Y33)&gt;=1E12,Y33/1E12,IF(ABS(Y33)&gt;=1E9,Y33/1E9,IF(ABS(Y33)&gt;=1E6,Y33/1E6,Y33)))),"#,##0.000")&amp;IF((IF(ABS(Y33)&gt;=1E15,"PFLOPs",IF(ABS(Y33)&gt;=1E12,"TFLOPs",IF(ABS(Y33)&gt;=1E9,"GFLOPs",IF(ABS(Y33)&gt;=1E6,"MFLOPs","flops")))))="",""," "&amp;(IF(ABS(Y33)&gt;=1E15,"PFLOPs",IF(ABS(Y33)&gt;=1E12,"TFLOPs",IF(ABS(Y33)&gt;=1E9,"GFLOPs",IF(ABS(Y33)&gt;=1E6,"MFLOPs","flops"))))))</f>
        <v>88.080 MFLOPs</v>
      </c>
      <c r="I33" s="33" t="str">
        <f>TEXT(IF(ABS(AB33)&gt;=1E12,AB33/1E12,IF(ABS(AB33)&gt;=1E9,AB33/1E9,IF(ABS(AB33)&gt;=1E6,AB33/1E6,IF(ABS(AB33)&gt;=1E3,AB33/1E3,AB33)))),"#,##0.000")&amp;IF((IF(ABS(AB33)&gt;=1E12,"TB",IF(ABS(AB33)&gt;=1E9,"GB",IF(ABS(AB33)&gt;=1E6,"MB",IF(ABS(AB33)&gt;=1E3,"KB","bytes")))))="",""," "&amp;(IF(ABS(AB33)&gt;=1E12,"TB",IF(ABS(AB33)&gt;=1E9,"GB",IF(ABS(AB33)&gt;=1E6,"MB",IF(ABS(AB33)&gt;=1E3,"KB","bytes"))))))</f>
        <v>0.000 B</v>
      </c>
      <c r="J33" s="4" t="s">
        <v>292</v>
      </c>
      <c r="K33" s="4" t="s">
        <v>293</v>
      </c>
      <c r="L33" s="4" t="s">
        <v>294</v>
      </c>
      <c r="U33" s="32">
        <f>ShortLayers*(2*HiddenSize*(2*IndexHeadDim)*FP32Bytes+ShortRatio*2*IndexHeadDim*FP32Bytes+IndexHeadDim*FP32Bytes)</f>
        <v>176257536</v>
      </c>
      <c r="V33" s="32">
        <f>DC_Rows*ShortLayers*8*HiddenSize*IndexHeadDim</f>
        <v>88080384</v>
      </c>
      <c r="W33" s="32">
        <f>(ShortLayers*(2*HiddenSize*(2*IndexHeadDim)*FP32Bytes+ShortRatio*2*IndexHeadDim*FP32Bytes+IndexHeadDim*FP32Bytes)+DC_Rows*ShortLayers*HiddenSize*FP32Bytes)+(DC_Rows*ShortLayers*4*IndexHeadDim*FP32Bytes)</f>
        <v>176644608</v>
      </c>
      <c r="X33" s="32">
        <f>ShortLayers*(2*HiddenSize*(2*IndexHeadDim)*FP32Bytes+ShortRatio*2*IndexHeadDim*FP32Bytes+IndexHeadDim*FP32Bytes)</f>
        <v>176257536</v>
      </c>
      <c r="Y33" s="32">
        <f>DC_Rows*ShortLayers*8*HiddenSize*IndexHeadDim</f>
        <v>88080384</v>
      </c>
      <c r="Z33" s="32">
        <f>(ShortLayers*(2*HiddenSize*(2*IndexHeadDim)*FP32Bytes+ShortRatio*2*IndexHeadDim*FP32Bytes+IndexHeadDim*FP32Bytes)+DC_Rows*ShortLayers*HiddenSize*FP32Bytes)+(DC_Rows*ShortLayers*4*IndexHeadDim*FP32Bytes)</f>
        <v>176644608</v>
      </c>
      <c r="AA33" s="32">
        <f>0</f>
        <v>0</v>
      </c>
      <c r="AB33" s="32">
        <f>0</f>
        <v>0</v>
      </c>
    </row>
    <row r="34" spans="1:50">
      <c r="A34" s="4" t="s">
        <v>40</v>
      </c>
      <c r="B34" s="4" t="s">
        <v>295</v>
      </c>
      <c r="C34" s="4" t="s">
        <v>296</v>
      </c>
      <c r="D34" s="33" t="str">
        <f>TEXT(IF(ABS(U34)&gt;=1E12,U34/1E12,IF(ABS(U34)&gt;=1E9,U34/1E9,IF(ABS(U34)&gt;=1E6,U34/1E6,IF(ABS(U34)&gt;=1E3,U34/1E3,U34)))),"#,##0.000")&amp;IF((IF(ABS(U34)&gt;=1E12,"TB",IF(ABS(U34)&gt;=1E9,"GB",IF(ABS(U34)&gt;=1E6,"MB",IF(ABS(U34)&gt;=1E3,"KB","bytes")))))="",""," "&amp;(IF(ABS(U34)&gt;=1E12,"TB",IF(ABS(U34)&gt;=1E9,"GB",IF(ABS(U34)&gt;=1E6,"MB",IF(ABS(U34)&gt;=1E3,"KB","bytes"))))))</f>
        <v>0.000 B</v>
      </c>
      <c r="E34" s="33" t="str">
        <f>TEXT(IF(ABS(V34)&gt;=1E15,V34/1E15,IF(ABS(V34)&gt;=1E12,V34/1E12,IF(ABS(V34)&gt;=1E9,V34/1E9,IF(ABS(V34)&gt;=1E6,V34/1E6,V34)))),"#,##0.000")&amp;IF((IF(ABS(V34)&gt;=1E15,"PFLOPs",IF(ABS(V34)&gt;=1E12,"TFLOPs",IF(ABS(V34)&gt;=1E9,"GFLOPs",IF(ABS(V34)&gt;=1E6,"MFLOPs","flops")))))="",""," "&amp;(IF(ABS(V34)&gt;=1E15,"PFLOPs",IF(ABS(V34)&gt;=1E12,"TFLOPs",IF(ABS(V34)&gt;=1E9,"GFLOPs",IF(ABS(V34)&gt;=1E6,"MFLOPs","flops"))))))</f>
        <v>0.000 FLOPs</v>
      </c>
      <c r="F34" s="33" t="str">
        <f>TEXT(IF(ABS(AA34)&gt;=1E12,AA34/1E12,IF(ABS(AA34)&gt;=1E9,AA34/1E9,IF(ABS(AA34)&gt;=1E6,AA34/1E6,IF(ABS(AA34)&gt;=1E3,AA34/1E3,AA34)))),"#,##0.000")&amp;IF((IF(ABS(AA34)&gt;=1E12,"TB",IF(ABS(AA34)&gt;=1E9,"GB",IF(ABS(AA34)&gt;=1E6,"MB",IF(ABS(AA34)&gt;=1E3,"KB","bytes")))))="",""," "&amp;(IF(ABS(AA34)&gt;=1E12,"TB",IF(ABS(AA34)&gt;=1E9,"GB",IF(ABS(AA34)&gt;=1E6,"MB",IF(ABS(AA34)&gt;=1E3,"KB","bytes"))))))</f>
        <v>0.000 B</v>
      </c>
      <c r="G34" s="33" t="str">
        <f>TEXT(IF(ABS(X34)&gt;=1E12,X34/1E12,IF(ABS(X34)&gt;=1E9,X34/1E9,IF(ABS(X34)&gt;=1E6,X34/1E6,IF(ABS(X34)&gt;=1E3,X34/1E3,X34)))),"#,##0.000")&amp;IF((IF(ABS(X34)&gt;=1E12,"TB",IF(ABS(X34)&gt;=1E9,"GB",IF(ABS(X34)&gt;=1E6,"MB",IF(ABS(X34)&gt;=1E3,"KB","bytes")))))="",""," "&amp;(IF(ABS(X34)&gt;=1E12,"TB",IF(ABS(X34)&gt;=1E9,"GB",IF(ABS(X34)&gt;=1E6,"MB",IF(ABS(X34)&gt;=1E3,"KB","bytes"))))))</f>
        <v>0.000 B</v>
      </c>
      <c r="H34" s="33" t="str">
        <f>TEXT(IF(ABS(Y34)&gt;=1E15,Y34/1E15,IF(ABS(Y34)&gt;=1E12,Y34/1E12,IF(ABS(Y34)&gt;=1E9,Y34/1E9,IF(ABS(Y34)&gt;=1E6,Y34/1E6,Y34)))),"#,##0.000")&amp;IF((IF(ABS(Y34)&gt;=1E15,"PFLOPs",IF(ABS(Y34)&gt;=1E12,"TFLOPs",IF(ABS(Y34)&gt;=1E9,"GFLOPs",IF(ABS(Y34)&gt;=1E6,"MFLOPs","flops")))))="",""," "&amp;(IF(ABS(Y34)&gt;=1E15,"PFLOPs",IF(ABS(Y34)&gt;=1E12,"TFLOPs",IF(ABS(Y34)&gt;=1E9,"GFLOPs",IF(ABS(Y34)&gt;=1E6,"MFLOPs","flops"))))))</f>
        <v>0.000 FLOPs</v>
      </c>
      <c r="I34" s="33" t="str">
        <f>TEXT(IF(ABS(AB34)&gt;=1E12,AB34/1E12,IF(ABS(AB34)&gt;=1E9,AB34/1E9,IF(ABS(AB34)&gt;=1E6,AB34/1E6,IF(ABS(AB34)&gt;=1E3,AB34/1E3,AB34)))),"#,##0.000")&amp;IF((IF(ABS(AB34)&gt;=1E12,"TB",IF(ABS(AB34)&gt;=1E9,"GB",IF(ABS(AB34)&gt;=1E6,"MB",IF(ABS(AB34)&gt;=1E3,"KB","bytes")))))="",""," "&amp;(IF(ABS(AB34)&gt;=1E12,"TB",IF(ABS(AB34)&gt;=1E9,"GB",IF(ABS(AB34)&gt;=1E6,"MB",IF(ABS(AB34)&gt;=1E3,"KB","bytes"))))))</f>
        <v>2.466 MB</v>
      </c>
      <c r="J34" s="4" t="s">
        <v>256</v>
      </c>
      <c r="K34" s="4" t="s">
        <v>297</v>
      </c>
      <c r="L34" s="4" t="s">
        <v>298</v>
      </c>
      <c r="U34" s="32">
        <f>0</f>
        <v>0</v>
      </c>
      <c r="V34" s="32">
        <f>0</f>
        <v>0</v>
      </c>
      <c r="W34" s="32">
        <f>(0)+(0)</f>
        <v>0</v>
      </c>
      <c r="X34" s="32">
        <f>0</f>
        <v>0</v>
      </c>
      <c r="Y34" s="32">
        <f>0</f>
        <v>0</v>
      </c>
      <c r="Z34" s="32">
        <f>(0)+(0)</f>
        <v>0</v>
      </c>
      <c r="AA34" s="32">
        <f>4*(TP1Size-1)/TP1Size*DC_Rows*HiddenSize*FP32Bytes*TotalLayers</f>
        <v>0.0</v>
      </c>
      <c r="AB34" s="32">
        <f>4*(TP8Size-1)/TP8Size*DC_Rows*HiddenSize*FP32Bytes*TotalLayers</f>
        <v>2465792.0</v>
      </c>
    </row>
    <row r="35" spans="1:50">
      <c r="A35" s="4" t="s">
        <v>40</v>
      </c>
      <c r="B35" s="4" t="s">
        <v>348</v>
      </c>
      <c r="C35" s="4" t="s">
        <v>300</v>
      </c>
      <c r="D35" s="33" t="str">
        <f>TEXT(IF(ABS(U35)&gt;=1E12,U35/1E12,IF(ABS(U35)&gt;=1E9,U35/1E9,IF(ABS(U35)&gt;=1E6,U35/1E6,IF(ABS(U35)&gt;=1E3,U35/1E3,U35)))),"#,##0.000")&amp;IF((IF(ABS(U35)&gt;=1E12,"TB",IF(ABS(U35)&gt;=1E9,"GB",IF(ABS(U35)&gt;=1E6,"MB",IF(ABS(U35)&gt;=1E3,"KB","bytes")))))="",""," "&amp;(IF(ABS(U35)&gt;=1E12,"TB",IF(ABS(U35)&gt;=1E9,"GB",IF(ABS(U35)&gt;=1E6,"MB",IF(ABS(U35)&gt;=1E3,"KB","bytes"))))))</f>
        <v>5.811 GB</v>
      </c>
      <c r="E35" s="33" t="str">
        <f>TEXT(IF(ABS(V35)&gt;=1E15,V35/1E15,IF(ABS(V35)&gt;=1E12,V35/1E12,IF(ABS(V35)&gt;=1E9,V35/1E9,IF(ABS(V35)&gt;=1E6,V35/1E6,V35)))),"#,##0.000")&amp;IF((IF(ABS(V35)&gt;=1E15,"PFLOPs",IF(ABS(V35)&gt;=1E12,"TFLOPs",IF(ABS(V35)&gt;=1E9,"GFLOPs",IF(ABS(V35)&gt;=1E6,"MFLOPs","flops")))))="",""," "&amp;(IF(ABS(V35)&gt;=1E15,"PFLOPs",IF(ABS(V35)&gt;=1E12,"TFLOPs",IF(ABS(V35)&gt;=1E9,"GFLOPs",IF(ABS(V35)&gt;=1E6,"MFLOPs","flops"))))))</f>
        <v>0.000 FLOPs</v>
      </c>
      <c r="F35" s="33" t="str">
        <f>TEXT(IF(ABS(AA35)&gt;=1E12,AA35/1E12,IF(ABS(AA35)&gt;=1E9,AA35/1E9,IF(ABS(AA35)&gt;=1E6,AA35/1E6,IF(ABS(AA35)&gt;=1E3,AA35/1E3,AA35)))),"#,##0.000")&amp;IF((IF(ABS(AA35)&gt;=1E12,"TB",IF(ABS(AA35)&gt;=1E9,"GB",IF(ABS(AA35)&gt;=1E6,"MB",IF(ABS(AA35)&gt;=1E3,"KB","bytes")))))="",""," "&amp;(IF(ABS(AA35)&gt;=1E12,"TB",IF(ABS(AA35)&gt;=1E9,"GB",IF(ABS(AA35)&gt;=1E6,"MB",IF(ABS(AA35)&gt;=1E3,"KB","bytes"))))))</f>
        <v>0.000 B</v>
      </c>
      <c r="G35" s="33" t="str">
        <f>TEXT(IF(ABS(X35)&gt;=1E12,X35/1E12,IF(ABS(X35)&gt;=1E9,X35/1E9,IF(ABS(X35)&gt;=1E6,X35/1E6,IF(ABS(X35)&gt;=1E3,X35/1E3,X35)))),"#,##0.000")&amp;IF((IF(ABS(X35)&gt;=1E12,"TB",IF(ABS(X35)&gt;=1E9,"GB",IF(ABS(X35)&gt;=1E6,"MB",IF(ABS(X35)&gt;=1E3,"KB","bytes")))))="",""," "&amp;(IF(ABS(X35)&gt;=1E12,"TB",IF(ABS(X35)&gt;=1E9,"GB",IF(ABS(X35)&gt;=1E6,"MB",IF(ABS(X35)&gt;=1E3,"KB","bytes"))))))</f>
        <v>5.811 GB</v>
      </c>
      <c r="H35" s="33" t="str">
        <f>TEXT(IF(ABS(Y35)&gt;=1E15,Y35/1E15,IF(ABS(Y35)&gt;=1E12,Y35/1E12,IF(ABS(Y35)&gt;=1E9,Y35/1E9,IF(ABS(Y35)&gt;=1E6,Y35/1E6,Y35)))),"#,##0.000")&amp;IF((IF(ABS(Y35)&gt;=1E15,"PFLOPs",IF(ABS(Y35)&gt;=1E12,"TFLOPs",IF(ABS(Y35)&gt;=1E9,"GFLOPs",IF(ABS(Y35)&gt;=1E6,"MFLOPs","flops")))))="",""," "&amp;(IF(ABS(Y35)&gt;=1E15,"PFLOPs",IF(ABS(Y35)&gt;=1E12,"TFLOPs",IF(ABS(Y35)&gt;=1E9,"GFLOPs",IF(ABS(Y35)&gt;=1E6,"MFLOPs","flops"))))))</f>
        <v>0.000 FLOPs</v>
      </c>
      <c r="I35" s="33" t="str">
        <f>TEXT(IF(ABS(AB35)&gt;=1E12,AB35/1E12,IF(ABS(AB35)&gt;=1E9,AB35/1E9,IF(ABS(AB35)&gt;=1E6,AB35/1E6,IF(ABS(AB35)&gt;=1E3,AB35/1E3,AB35)))),"#,##0.000")&amp;IF((IF(ABS(AB35)&gt;=1E12,"TB",IF(ABS(AB35)&gt;=1E9,"GB",IF(ABS(AB35)&gt;=1E6,"MB",IF(ABS(AB35)&gt;=1E3,"KB","bytes")))))="",""," "&amp;(IF(ABS(AB35)&gt;=1E12,"TB",IF(ABS(AB35)&gt;=1E9,"GB",IF(ABS(AB35)&gt;=1E6,"MB",IF(ABS(AB35)&gt;=1E3,"KB","bytes"))))))</f>
        <v>0.000 B</v>
      </c>
      <c r="J35" s="4" t="s">
        <v>256</v>
      </c>
      <c r="K35" s="4" t="s">
        <v>301</v>
      </c>
      <c r="L35" s="4" t="s">
        <v>349</v>
      </c>
      <c r="U35" s="32">
        <f>DecodeBatch*HeadDim*BF16Bytes*(WindowLayers*MIN(DecodeContext,WindowSize)+ShortLayers*(MIN(DecodeContext,WindowSize)+INT(DecodeContext/ShortRatio))+LongLayers*(MIN(DecodeContext,WindowSize)+INT(DecodeContext/LongRatio)))</f>
        <v>5810552832</v>
      </c>
      <c r="V35" s="32">
        <f>0</f>
        <v>0</v>
      </c>
      <c r="W35" s="32">
        <f>(0)+(0)</f>
        <v>0</v>
      </c>
      <c r="X35" s="32">
        <f>DecodeBatch*HeadDim*BF16Bytes*(WindowLayers*MIN(DecodeContext,WindowSize)+ShortLayers*(MIN(DecodeContext,WindowSize)+INT(DecodeContext/ShortRatio))+LongLayers*(MIN(DecodeContext,WindowSize)+INT(DecodeContext/LongRatio)))</f>
        <v>5810552832</v>
      </c>
      <c r="Y35" s="32">
        <f>0</f>
        <v>0</v>
      </c>
      <c r="Z35" s="32">
        <f>(0)+(0)</f>
        <v>0</v>
      </c>
      <c r="AA35" s="32">
        <f>0</f>
        <v>0</v>
      </c>
      <c r="AB35" s="32">
        <f>0</f>
        <v>0</v>
      </c>
    </row>
    <row r="36" spans="1:50">
      <c r="A36" s="4" t="s">
        <v>40</v>
      </c>
      <c r="B36" s="4" t="s">
        <v>350</v>
      </c>
      <c r="C36" s="4" t="s">
        <v>300</v>
      </c>
      <c r="D36" s="33" t="str">
        <f>TEXT(IF(ABS(U36)&gt;=1E12,U36/1E12,IF(ABS(U36)&gt;=1E9,U36/1E9,IF(ABS(U36)&gt;=1E6,U36/1E6,IF(ABS(U36)&gt;=1E3,U36/1E3,U36)))),"#,##0.000")&amp;IF((IF(ABS(U36)&gt;=1E12,"TB",IF(ABS(U36)&gt;=1E9,"GB",IF(ABS(U36)&gt;=1E6,"MB",IF(ABS(U36)&gt;=1E3,"KB","bytes")))))="",""," "&amp;(IF(ABS(U36)&gt;=1E12,"TB",IF(ABS(U36)&gt;=1E9,"GB",IF(ABS(U36)&gt;=1E6,"MB",IF(ABS(U36)&gt;=1E3,"KB","bytes"))))))</f>
        <v>1.409 GB</v>
      </c>
      <c r="E36" s="33" t="str">
        <f>TEXT(IF(ABS(V36)&gt;=1E15,V36/1E15,IF(ABS(V36)&gt;=1E12,V36/1E12,IF(ABS(V36)&gt;=1E9,V36/1E9,IF(ABS(V36)&gt;=1E6,V36/1E6,V36)))),"#,##0.000")&amp;IF((IF(ABS(V36)&gt;=1E15,"PFLOPs",IF(ABS(V36)&gt;=1E12,"TFLOPs",IF(ABS(V36)&gt;=1E9,"GFLOPs",IF(ABS(V36)&gt;=1E6,"MFLOPs","flops")))))="",""," "&amp;(IF(ABS(V36)&gt;=1E15,"PFLOPs",IF(ABS(V36)&gt;=1E12,"TFLOPs",IF(ABS(V36)&gt;=1E9,"GFLOPs",IF(ABS(V36)&gt;=1E6,"MFLOPs","flops"))))))</f>
        <v>0.000 FLOPs</v>
      </c>
      <c r="F36" s="33" t="str">
        <f>TEXT(IF(ABS(AA36)&gt;=1E12,AA36/1E12,IF(ABS(AA36)&gt;=1E9,AA36/1E9,IF(ABS(AA36)&gt;=1E6,AA36/1E6,IF(ABS(AA36)&gt;=1E3,AA36/1E3,AA36)))),"#,##0.000")&amp;IF((IF(ABS(AA36)&gt;=1E12,"TB",IF(ABS(AA36)&gt;=1E9,"GB",IF(ABS(AA36)&gt;=1E6,"MB",IF(ABS(AA36)&gt;=1E3,"KB","bytes")))))="",""," "&amp;(IF(ABS(AA36)&gt;=1E12,"TB",IF(ABS(AA36)&gt;=1E9,"GB",IF(ABS(AA36)&gt;=1E6,"MB",IF(ABS(AA36)&gt;=1E3,"KB","bytes"))))))</f>
        <v>0.000 B</v>
      </c>
      <c r="G36" s="33" t="str">
        <f>TEXT(IF(ABS(X36)&gt;=1E12,X36/1E12,IF(ABS(X36)&gt;=1E9,X36/1E9,IF(ABS(X36)&gt;=1E6,X36/1E6,IF(ABS(X36)&gt;=1E3,X36/1E3,X36)))),"#,##0.000")&amp;IF((IF(ABS(X36)&gt;=1E12,"TB",IF(ABS(X36)&gt;=1E9,"GB",IF(ABS(X36)&gt;=1E6,"MB",IF(ABS(X36)&gt;=1E3,"KB","bytes")))))="",""," "&amp;(IF(ABS(X36)&gt;=1E12,"TB",IF(ABS(X36)&gt;=1E9,"GB",IF(ABS(X36)&gt;=1E6,"MB",IF(ABS(X36)&gt;=1E3,"KB","bytes"))))))</f>
        <v>1.409 GB</v>
      </c>
      <c r="H36" s="33" t="str">
        <f>TEXT(IF(ABS(Y36)&gt;=1E15,Y36/1E15,IF(ABS(Y36)&gt;=1E12,Y36/1E12,IF(ABS(Y36)&gt;=1E9,Y36/1E9,IF(ABS(Y36)&gt;=1E6,Y36/1E6,Y36)))),"#,##0.000")&amp;IF((IF(ABS(Y36)&gt;=1E15,"PFLOPs",IF(ABS(Y36)&gt;=1E12,"TFLOPs",IF(ABS(Y36)&gt;=1E9,"GFLOPs",IF(ABS(Y36)&gt;=1E6,"MFLOPs","flops")))))="",""," "&amp;(IF(ABS(Y36)&gt;=1E15,"PFLOPs",IF(ABS(Y36)&gt;=1E12,"TFLOPs",IF(ABS(Y36)&gt;=1E9,"GFLOPs",IF(ABS(Y36)&gt;=1E6,"MFLOPs","flops"))))))</f>
        <v>0.000 FLOPs</v>
      </c>
      <c r="I36" s="33" t="str">
        <f>TEXT(IF(ABS(AB36)&gt;=1E12,AB36/1E12,IF(ABS(AB36)&gt;=1E9,AB36/1E9,IF(ABS(AB36)&gt;=1E6,AB36/1E6,IF(ABS(AB36)&gt;=1E3,AB36/1E3,AB36)))),"#,##0.000")&amp;IF((IF(ABS(AB36)&gt;=1E12,"TB",IF(ABS(AB36)&gt;=1E9,"GB",IF(ABS(AB36)&gt;=1E6,"MB",IF(ABS(AB36)&gt;=1E3,"KB","bytes")))))="",""," "&amp;(IF(ABS(AB36)&gt;=1E12,"TB",IF(ABS(AB36)&gt;=1E9,"GB",IF(ABS(AB36)&gt;=1E6,"MB",IF(ABS(AB36)&gt;=1E3,"KB","bytes"))))))</f>
        <v>0.000 B</v>
      </c>
      <c r="J36" s="4" t="s">
        <v>256</v>
      </c>
      <c r="K36" s="4" t="s">
        <v>304</v>
      </c>
      <c r="L36" s="4" t="s">
        <v>351</v>
      </c>
      <c r="U36" s="32">
        <f>DecodeBatch*ShortLayers*INT(DecodeContext/ShortRatio)*IndexHeadDim*BF16Bytes</f>
        <v>1409286144</v>
      </c>
      <c r="V36" s="32">
        <f>0</f>
        <v>0</v>
      </c>
      <c r="W36" s="32">
        <f>(0)+(0)</f>
        <v>0</v>
      </c>
      <c r="X36" s="32">
        <f>DecodeBatch*ShortLayers*INT(DecodeContext/ShortRatio)*IndexHeadDim*BF16Bytes</f>
        <v>1409286144</v>
      </c>
      <c r="Y36" s="32">
        <f>0</f>
        <v>0</v>
      </c>
      <c r="Z36" s="32">
        <f>(0)+(0)</f>
        <v>0</v>
      </c>
      <c r="AA36" s="32">
        <f>0</f>
        <v>0</v>
      </c>
      <c r="AB36" s="32">
        <f>0</f>
        <v>0</v>
      </c>
    </row>
    <row r="37" spans="1:50">
      <c r="A37" s="4" t="s">
        <v>40</v>
      </c>
      <c r="B37" s="4" t="s">
        <v>352</v>
      </c>
      <c r="C37" s="4" t="s">
        <v>300</v>
      </c>
      <c r="D37" s="33" t="str">
        <f>TEXT(IF(ABS(U37)&gt;=1E12,U37/1E12,IF(ABS(U37)&gt;=1E9,U37/1E9,IF(ABS(U37)&gt;=1E6,U37/1E6,IF(ABS(U37)&gt;=1E3,U37/1E3,U37)))),"#,##0.000")&amp;IF((IF(ABS(U37)&gt;=1E12,"TB",IF(ABS(U37)&gt;=1E9,"GB",IF(ABS(U37)&gt;=1E6,"MB",IF(ABS(U37)&gt;=1E3,"KB","bytes")))))="",""," "&amp;(IF(ABS(U37)&gt;=1E12,"TB",IF(ABS(U37)&gt;=1E9,"GB",IF(ABS(U37)&gt;=1E6,"MB",IF(ABS(U37)&gt;=1E3,"KB","bytes"))))))</f>
        <v>12.206 MB</v>
      </c>
      <c r="E37" s="33" t="str">
        <f>TEXT(IF(ABS(V37)&gt;=1E15,V37/1E15,IF(ABS(V37)&gt;=1E12,V37/1E12,IF(ABS(V37)&gt;=1E9,V37/1E9,IF(ABS(V37)&gt;=1E6,V37/1E6,V37)))),"#,##0.000")&amp;IF((IF(ABS(V37)&gt;=1E15,"PFLOPs",IF(ABS(V37)&gt;=1E12,"TFLOPs",IF(ABS(V37)&gt;=1E9,"GFLOPs",IF(ABS(V37)&gt;=1E6,"MFLOPs","flops")))))="",""," "&amp;(IF(ABS(V37)&gt;=1E15,"PFLOPs",IF(ABS(V37)&gt;=1E12,"TFLOPs",IF(ABS(V37)&gt;=1E9,"GFLOPs",IF(ABS(V37)&gt;=1E6,"MFLOPs","flops"))))))</f>
        <v>0.000 FLOPs</v>
      </c>
      <c r="F37" s="33" t="str">
        <f>TEXT(IF(ABS(AA37)&gt;=1E12,AA37/1E12,IF(ABS(AA37)&gt;=1E9,AA37/1E9,IF(ABS(AA37)&gt;=1E6,AA37/1E6,IF(ABS(AA37)&gt;=1E3,AA37/1E3,AA37)))),"#,##0.000")&amp;IF((IF(ABS(AA37)&gt;=1E12,"TB",IF(ABS(AA37)&gt;=1E9,"GB",IF(ABS(AA37)&gt;=1E6,"MB",IF(ABS(AA37)&gt;=1E3,"KB","bytes")))))="",""," "&amp;(IF(ABS(AA37)&gt;=1E12,"TB",IF(ABS(AA37)&gt;=1E9,"GB",IF(ABS(AA37)&gt;=1E6,"MB",IF(ABS(AA37)&gt;=1E3,"KB","bytes"))))))</f>
        <v>0.000 B</v>
      </c>
      <c r="G37" s="33" t="str">
        <f>TEXT(IF(ABS(X37)&gt;=1E12,X37/1E12,IF(ABS(X37)&gt;=1E9,X37/1E9,IF(ABS(X37)&gt;=1E6,X37/1E6,IF(ABS(X37)&gt;=1E3,X37/1E3,X37)))),"#,##0.000")&amp;IF((IF(ABS(X37)&gt;=1E12,"TB",IF(ABS(X37)&gt;=1E9,"GB",IF(ABS(X37)&gt;=1E6,"MB",IF(ABS(X37)&gt;=1E3,"KB","bytes")))))="",""," "&amp;(IF(ABS(X37)&gt;=1E12,"TB",IF(ABS(X37)&gt;=1E9,"GB",IF(ABS(X37)&gt;=1E6,"MB",IF(ABS(X37)&gt;=1E3,"KB","bytes"))))))</f>
        <v>12.206 MB</v>
      </c>
      <c r="H37" s="33" t="str">
        <f>TEXT(IF(ABS(Y37)&gt;=1E15,Y37/1E15,IF(ABS(Y37)&gt;=1E12,Y37/1E12,IF(ABS(Y37)&gt;=1E9,Y37/1E9,IF(ABS(Y37)&gt;=1E6,Y37/1E6,Y37)))),"#,##0.000")&amp;IF((IF(ABS(Y37)&gt;=1E15,"PFLOPs",IF(ABS(Y37)&gt;=1E12,"TFLOPs",IF(ABS(Y37)&gt;=1E9,"GFLOPs",IF(ABS(Y37)&gt;=1E6,"MFLOPs","flops")))))="",""," "&amp;(IF(ABS(Y37)&gt;=1E15,"PFLOPs",IF(ABS(Y37)&gt;=1E12,"TFLOPs",IF(ABS(Y37)&gt;=1E9,"GFLOPs",IF(ABS(Y37)&gt;=1E6,"MFLOPs","flops"))))))</f>
        <v>0.000 FLOPs</v>
      </c>
      <c r="I37" s="33" t="str">
        <f>TEXT(IF(ABS(AB37)&gt;=1E12,AB37/1E12,IF(ABS(AB37)&gt;=1E9,AB37/1E9,IF(ABS(AB37)&gt;=1E6,AB37/1E6,IF(ABS(AB37)&gt;=1E3,AB37/1E3,AB37)))),"#,##0.000")&amp;IF((IF(ABS(AB37)&gt;=1E12,"TB",IF(ABS(AB37)&gt;=1E9,"GB",IF(ABS(AB37)&gt;=1E6,"MB",IF(ABS(AB37)&gt;=1E3,"KB","bytes")))))="",""," "&amp;(IF(ABS(AB37)&gt;=1E12,"TB",IF(ABS(AB37)&gt;=1E9,"GB",IF(ABS(AB37)&gt;=1E6,"MB",IF(ABS(AB37)&gt;=1E3,"KB","bytes"))))))</f>
        <v>0.000 B</v>
      </c>
      <c r="J37" s="4" t="s">
        <v>256</v>
      </c>
      <c r="K37" s="4" t="s">
        <v>307</v>
      </c>
      <c r="L37" s="4" t="s">
        <v>353</v>
      </c>
      <c r="U37" s="32">
        <f>DecodeBatch*FP32Bytes*(ShortLayers*2*(2*ShortRatio)*(2*HeadDim)+LongLayers*2*LongRatio*HeadDim+ShortLayers*2*(2*ShortRatio)*(2*IndexHeadDim))</f>
        <v>12206080</v>
      </c>
      <c r="V37" s="32">
        <f>0</f>
        <v>0</v>
      </c>
      <c r="W37" s="32">
        <f>(0)+(0)</f>
        <v>0</v>
      </c>
      <c r="X37" s="32">
        <f>DecodeBatch*FP32Bytes*(ShortLayers*2*(2*ShortRatio)*(2*HeadDim)+LongLayers*2*LongRatio*HeadDim+ShortLayers*2*(2*ShortRatio)*(2*IndexHeadDim))</f>
        <v>12206080</v>
      </c>
      <c r="Y37" s="32">
        <f>0</f>
        <v>0</v>
      </c>
      <c r="Z37" s="32">
        <f>(0)+(0)</f>
        <v>0</v>
      </c>
      <c r="AA37" s="32">
        <f>0</f>
        <v>0</v>
      </c>
      <c r="AB37" s="32">
        <f>0</f>
        <v>0</v>
      </c>
    </row>
    <row r="38" spans="1:50">
      <c r="A38" s="4" t="s">
        <v>40</v>
      </c>
      <c r="B38" s="4" t="s">
        <v>354</v>
      </c>
      <c r="C38" s="4" t="s">
        <v>300</v>
      </c>
      <c r="D38" s="33" t="str">
        <f>TEXT(IF(ABS(U38)&gt;=1E12,U38/1E12,IF(ABS(U38)&gt;=1E9,U38/1E9,IF(ABS(U38)&gt;=1E6,U38/1E6,IF(ABS(U38)&gt;=1E3,U38/1E3,U38)))),"#,##0.000")&amp;IF((IF(ABS(U38)&gt;=1E12,"TB",IF(ABS(U38)&gt;=1E9,"GB",IF(ABS(U38)&gt;=1E6,"MB",IF(ABS(U38)&gt;=1E3,"KB","bytes")))))="",""," "&amp;(IF(ABS(U38)&gt;=1E12,"TB",IF(ABS(U38)&gt;=1E9,"GB",IF(ABS(U38)&gt;=1E6,"MB",IF(ABS(U38)&gt;=1E3,"KB","bytes"))))))</f>
        <v>7.232 GB</v>
      </c>
      <c r="E38" s="33" t="str">
        <f>TEXT(IF(ABS(V38)&gt;=1E15,V38/1E15,IF(ABS(V38)&gt;=1E12,V38/1E12,IF(ABS(V38)&gt;=1E9,V38/1E9,IF(ABS(V38)&gt;=1E6,V38/1E6,V38)))),"#,##0.000")&amp;IF((IF(ABS(V38)&gt;=1E15,"PFLOPs",IF(ABS(V38)&gt;=1E12,"TFLOPs",IF(ABS(V38)&gt;=1E9,"GFLOPs",IF(ABS(V38)&gt;=1E6,"MFLOPs","flops")))))="",""," "&amp;(IF(ABS(V38)&gt;=1E15,"PFLOPs",IF(ABS(V38)&gt;=1E12,"TFLOPs",IF(ABS(V38)&gt;=1E9,"GFLOPs",IF(ABS(V38)&gt;=1E6,"MFLOPs","flops"))))))</f>
        <v>0.000 FLOPs</v>
      </c>
      <c r="F38" s="33" t="str">
        <f>TEXT(IF(ABS(AA38)&gt;=1E12,AA38/1E12,IF(ABS(AA38)&gt;=1E9,AA38/1E9,IF(ABS(AA38)&gt;=1E6,AA38/1E6,IF(ABS(AA38)&gt;=1E3,AA38/1E3,AA38)))),"#,##0.000")&amp;IF((IF(ABS(AA38)&gt;=1E12,"TB",IF(ABS(AA38)&gt;=1E9,"GB",IF(ABS(AA38)&gt;=1E6,"MB",IF(ABS(AA38)&gt;=1E3,"KB","bytes")))))="",""," "&amp;(IF(ABS(AA38)&gt;=1E12,"TB",IF(ABS(AA38)&gt;=1E9,"GB",IF(ABS(AA38)&gt;=1E6,"MB",IF(ABS(AA38)&gt;=1E3,"KB","bytes"))))))</f>
        <v>0.000 B</v>
      </c>
      <c r="G38" s="33" t="str">
        <f>TEXT(IF(ABS(X38)&gt;=1E12,X38/1E12,IF(ABS(X38)&gt;=1E9,X38/1E9,IF(ABS(X38)&gt;=1E6,X38/1E6,IF(ABS(X38)&gt;=1E3,X38/1E3,X38)))),"#,##0.000")&amp;IF((IF(ABS(X38)&gt;=1E12,"TB",IF(ABS(X38)&gt;=1E9,"GB",IF(ABS(X38)&gt;=1E6,"MB",IF(ABS(X38)&gt;=1E3,"KB","bytes")))))="",""," "&amp;(IF(ABS(X38)&gt;=1E12,"TB",IF(ABS(X38)&gt;=1E9,"GB",IF(ABS(X38)&gt;=1E6,"MB",IF(ABS(X38)&gt;=1E3,"KB","bytes"))))))</f>
        <v>7.232 GB</v>
      </c>
      <c r="H38" s="33" t="str">
        <f>TEXT(IF(ABS(Y38)&gt;=1E15,Y38/1E15,IF(ABS(Y38)&gt;=1E12,Y38/1E12,IF(ABS(Y38)&gt;=1E9,Y38/1E9,IF(ABS(Y38)&gt;=1E6,Y38/1E6,Y38)))),"#,##0.000")&amp;IF((IF(ABS(Y38)&gt;=1E15,"PFLOPs",IF(ABS(Y38)&gt;=1E12,"TFLOPs",IF(ABS(Y38)&gt;=1E9,"GFLOPs",IF(ABS(Y38)&gt;=1E6,"MFLOPs","flops")))))="",""," "&amp;(IF(ABS(Y38)&gt;=1E15,"PFLOPs",IF(ABS(Y38)&gt;=1E12,"TFLOPs",IF(ABS(Y38)&gt;=1E9,"GFLOPs",IF(ABS(Y38)&gt;=1E6,"MFLOPs","flops"))))))</f>
        <v>0.000 FLOPs</v>
      </c>
      <c r="I38" s="33" t="str">
        <f>TEXT(IF(ABS(AB38)&gt;=1E12,AB38/1E12,IF(ABS(AB38)&gt;=1E9,AB38/1E9,IF(ABS(AB38)&gt;=1E6,AB38/1E6,IF(ABS(AB38)&gt;=1E3,AB38/1E3,AB38)))),"#,##0.000")&amp;IF((IF(ABS(AB38)&gt;=1E12,"TB",IF(ABS(AB38)&gt;=1E9,"GB",IF(ABS(AB38)&gt;=1E6,"MB",IF(ABS(AB38)&gt;=1E3,"KB","bytes")))))="",""," "&amp;(IF(ABS(AB38)&gt;=1E12,"TB",IF(ABS(AB38)&gt;=1E9,"GB",IF(ABS(AB38)&gt;=1E6,"MB",IF(ABS(AB38)&gt;=1E3,"KB","bytes"))))))</f>
        <v>0.000 B</v>
      </c>
      <c r="J38" s="4" t="s">
        <v>256</v>
      </c>
      <c r="K38" s="4" t="s">
        <v>310</v>
      </c>
      <c r="L38" s="4" t="s">
        <v>355</v>
      </c>
      <c r="U38" s="32">
        <f>DecodeBatch*(HeadDim*BF16Bytes*(WindowLayers*WindowSize+ShortLayers*(WindowSize+INT(MaxContext/ShortRatio))+LongLayers*(WindowSize+INT(MaxContext/LongRatio)))+ShortLayers*INT(MaxContext/ShortRatio)*IndexHeadDim*BF16Bytes)+DecodeBatch*FP32Bytes*(ShortLayers*2*(2*ShortRatio)*(2*HeadDim)+LongLayers*2*LongRatio*HeadDim+ShortLayers*2*(2*ShortRatio)*(2*IndexHeadDim))</f>
        <v>7232045056</v>
      </c>
      <c r="V38" s="32">
        <f>0</f>
        <v>0</v>
      </c>
      <c r="W38" s="32">
        <f>(0)+(0)</f>
        <v>0</v>
      </c>
      <c r="X38" s="32">
        <f>DecodeBatch*(HeadDim*BF16Bytes*(WindowLayers*WindowSize+ShortLayers*(WindowSize+INT(MaxContext/ShortRatio))+LongLayers*(WindowSize+INT(MaxContext/LongRatio)))+ShortLayers*INT(MaxContext/ShortRatio)*IndexHeadDim*BF16Bytes)+DecodeBatch*FP32Bytes*(ShortLayers*2*(2*ShortRatio)*(2*HeadDim)+LongLayers*2*LongRatio*HeadDim+ShortLayers*2*(2*ShortRatio)*(2*IndexHeadDim))</f>
        <v>7232045056</v>
      </c>
      <c r="Y38" s="32">
        <f>0</f>
        <v>0</v>
      </c>
      <c r="Z38" s="32">
        <f>(0)+(0)</f>
        <v>0</v>
      </c>
      <c r="AA38" s="32">
        <f>0</f>
        <v>0</v>
      </c>
      <c r="AB38" s="32">
        <f>0</f>
        <v>0</v>
      </c>
    </row>
    <row r="39" spans="1:50">
      <c r="A39" s="4" t="s">
        <v>59</v>
      </c>
      <c r="B39" s="4" t="s">
        <v>312</v>
      </c>
      <c r="C39" s="4" t="s">
        <v>265</v>
      </c>
      <c r="D39" s="33" t="str">
        <f>TEXT(IF(ABS(U39)&gt;=1E12,U39/1E12,IF(ABS(U39)&gt;=1E9,U39/1E9,IF(ABS(U39)&gt;=1E6,U39/1E6,IF(ABS(U39)&gt;=1E3,U39/1E3,U39)))),"#,##0.000")&amp;IF((IF(ABS(U39)&gt;=1E12,"TB",IF(ABS(U39)&gt;=1E9,"GB",IF(ABS(U39)&gt;=1E6,"MB",IF(ABS(U39)&gt;=1E3,"KB","bytes")))))="",""," "&amp;(IF(ABS(U39)&gt;=1E12,"TB",IF(ABS(U39)&gt;=1E9,"GB",IF(ABS(U39)&gt;=1E6,"MB",IF(ABS(U39)&gt;=1E3,"KB","bytes"))))))</f>
        <v>99.527 MB</v>
      </c>
      <c r="E39" s="33" t="str">
        <f>TEXT(IF(ABS(V39)&gt;=1E15,V39/1E15,IF(ABS(V39)&gt;=1E12,V39/1E12,IF(ABS(V39)&gt;=1E9,V39/1E9,IF(ABS(V39)&gt;=1E6,V39/1E6,V39)))),"#,##0.000")&amp;IF((IF(ABS(V39)&gt;=1E15,"PFLOPs",IF(ABS(V39)&gt;=1E12,"TFLOPs",IF(ABS(V39)&gt;=1E9,"GFLOPs",IF(ABS(V39)&gt;=1E6,"MFLOPs","flops")))))="",""," "&amp;(IF(ABS(V39)&gt;=1E15,"PFLOPs",IF(ABS(V39)&gt;=1E12,"TFLOPs",IF(ABS(V39)&gt;=1E9,"GFLOPs",IF(ABS(V39)&gt;=1E6,"MFLOPs","flops"))))))</f>
        <v>90.178 MFLOPs</v>
      </c>
      <c r="F39" s="33" t="str">
        <f>TEXT(IF(ABS(AA39)&gt;=1E12,AA39/1E12,IF(ABS(AA39)&gt;=1E9,AA39/1E9,IF(ABS(AA39)&gt;=1E6,AA39/1E6,IF(ABS(AA39)&gt;=1E3,AA39/1E3,AA39)))),"#,##0.000")&amp;IF((IF(ABS(AA39)&gt;=1E12,"TB",IF(ABS(AA39)&gt;=1E9,"GB",IF(ABS(AA39)&gt;=1E6,"MB",IF(ABS(AA39)&gt;=1E3,"KB","bytes")))))="",""," "&amp;(IF(ABS(AA39)&gt;=1E12,"TB",IF(ABS(AA39)&gt;=1E9,"GB",IF(ABS(AA39)&gt;=1E6,"MB",IF(ABS(AA39)&gt;=1E3,"KB","bytes"))))))</f>
        <v>0.000 B</v>
      </c>
      <c r="G39" s="33" t="str">
        <f>TEXT(IF(ABS(X39)&gt;=1E12,X39/1E12,IF(ABS(X39)&gt;=1E9,X39/1E9,IF(ABS(X39)&gt;=1E6,X39/1E6,IF(ABS(X39)&gt;=1E3,X39/1E3,X39)))),"#,##0.000")&amp;IF((IF(ABS(X39)&gt;=1E12,"TB",IF(ABS(X39)&gt;=1E9,"GB",IF(ABS(X39)&gt;=1E6,"MB",IF(ABS(X39)&gt;=1E3,"KB","bytes")))))="",""," "&amp;(IF(ABS(X39)&gt;=1E12,"TB",IF(ABS(X39)&gt;=1E9,"GB",IF(ABS(X39)&gt;=1E6,"MB",IF(ABS(X39)&gt;=1E3,"KB","bytes"))))))</f>
        <v>99.527 MB</v>
      </c>
      <c r="H39" s="33" t="str">
        <f>TEXT(IF(ABS(Y39)&gt;=1E15,Y39/1E15,IF(ABS(Y39)&gt;=1E12,Y39/1E12,IF(ABS(Y39)&gt;=1E9,Y39/1E9,IF(ABS(Y39)&gt;=1E6,Y39/1E6,Y39)))),"#,##0.000")&amp;IF((IF(ABS(Y39)&gt;=1E15,"PFLOPs",IF(ABS(Y39)&gt;=1E12,"TFLOPs",IF(ABS(Y39)&gt;=1E9,"GFLOPs",IF(ABS(Y39)&gt;=1E6,"MFLOPs","flops")))))="",""," "&amp;(IF(ABS(Y39)&gt;=1E15,"PFLOPs",IF(ABS(Y39)&gt;=1E12,"TFLOPs",IF(ABS(Y39)&gt;=1E9,"GFLOPs",IF(ABS(Y39)&gt;=1E6,"MFLOPs","flops"))))))</f>
        <v>90.178 MFLOPs</v>
      </c>
      <c r="I39" s="33" t="str">
        <f>TEXT(IF(ABS(AB39)&gt;=1E12,AB39/1E12,IF(ABS(AB39)&gt;=1E9,AB39/1E9,IF(ABS(AB39)&gt;=1E6,AB39/1E6,IF(ABS(AB39)&gt;=1E3,AB39/1E3,AB39)))),"#,##0.000")&amp;IF((IF(ABS(AB39)&gt;=1E12,"TB",IF(ABS(AB39)&gt;=1E9,"GB",IF(ABS(AB39)&gt;=1E6,"MB",IF(ABS(AB39)&gt;=1E3,"KB","bytes")))))="",""," "&amp;(IF(ABS(AB39)&gt;=1E12,"TB",IF(ABS(AB39)&gt;=1E9,"GB",IF(ABS(AB39)&gt;=1E6,"MB",IF(ABS(AB39)&gt;=1E3,"KB","bytes"))))))</f>
        <v>0.000 B</v>
      </c>
      <c r="J39" s="4" t="s">
        <v>313</v>
      </c>
      <c r="K39" s="4" t="s">
        <v>314</v>
      </c>
      <c r="L39" s="4" t="s">
        <v>315</v>
      </c>
      <c r="U39" s="32">
        <f>TotalLayers*RoutedExperts*HiddenSize*BF16Bytes+(TotalLayers-ActiveHashLayers)*RoutedExperts*FP32Bytes+ActiveHashLayers*VocabSize*ActivatedExperts*INT32Bytes</f>
        <v>99526656</v>
      </c>
      <c r="V39" s="32">
        <f>2*DC_Rows*TotalLayers*HiddenSize*RoutedExperts</f>
        <v>90177536</v>
      </c>
      <c r="W39" s="32">
        <f>(TotalLayers*RoutedExperts*HiddenSize*BF16Bytes+(TotalLayers-ActiveHashLayers)*RoutedExperts*FP32Bytes+DC_Rows*TotalLayers*HiddenSize*BF16Bytes+DC_Rows*ActiveHashLayers*ActivatedExperts*INT32Bytes)+(DC_Rows*TotalLayers*RoutedExperts*FP32Bytes)</f>
        <v>90614856</v>
      </c>
      <c r="X39" s="32">
        <f>TotalLayers*RoutedExperts*HiddenSize*BF16Bytes+(TotalLayers-ActiveHashLayers)*RoutedExperts*FP32Bytes+ActiveHashLayers*VocabSize*ActivatedExperts*INT32Bytes</f>
        <v>99526656</v>
      </c>
      <c r="Y39" s="32">
        <f>2*DC_Rows*TotalLayers*HiddenSize*RoutedExperts</f>
        <v>90177536</v>
      </c>
      <c r="Z39" s="32">
        <f>(TotalLayers*RoutedExperts*HiddenSize*BF16Bytes+(TotalLayers-ActiveHashLayers)*RoutedExperts*FP32Bytes+DC_Rows*TotalLayers*HiddenSize*BF16Bytes+DC_Rows*ActiveHashLayers*ActivatedExperts*INT32Bytes)+(DC_Rows*TotalLayers*RoutedExperts*FP32Bytes)</f>
        <v>90614856</v>
      </c>
      <c r="AA39" s="32">
        <f>0</f>
        <v>0</v>
      </c>
      <c r="AB39" s="32">
        <f>0</f>
        <v>0</v>
      </c>
    </row>
    <row r="40" spans="1:50">
      <c r="A40" s="4" t="s">
        <v>59</v>
      </c>
      <c r="B40" s="4" t="s">
        <v>316</v>
      </c>
      <c r="C40" s="4" t="s">
        <v>265</v>
      </c>
      <c r="D40" s="33" t="str">
        <f>TEXT(IF(ABS(U40)&gt;=1E12,U40/1E12,IF(ABS(U40)&gt;=1E9,U40/1E9,IF(ABS(U40)&gt;=1E6,U40/1E6,IF(ABS(U40)&gt;=1E3,U40/1E3,U40)))),"#,##0.000")&amp;IF((IF(ABS(U40)&gt;=1E12,"TB",IF(ABS(U40)&gt;=1E9,"GB",IF(ABS(U40)&gt;=1E6,"MB",IF(ABS(U40)&gt;=1E3,"KB","bytes")))))="",""," "&amp;(IF(ABS(U40)&gt;=1E12,"TB",IF(ABS(U40)&gt;=1E9,"GB",IF(ABS(U40)&gt;=1E6,"MB",IF(ABS(U40)&gt;=1E3,"KB","bytes"))))))</f>
        <v>147.170 GB</v>
      </c>
      <c r="E40" s="33" t="str">
        <f>TEXT(IF(ABS(V40)&gt;=1E15,V40/1E15,IF(ABS(V40)&gt;=1E12,V40/1E12,IF(ABS(V40)&gt;=1E9,V40/1E9,IF(ABS(V40)&gt;=1E6,V40/1E6,V40)))),"#,##0.000")&amp;IF((IF(ABS(V40)&gt;=1E15,"PFLOPs",IF(ABS(V40)&gt;=1E12,"TFLOPs",IF(ABS(V40)&gt;=1E9,"GFLOPs",IF(ABS(V40)&gt;=1E6,"MFLOPs","flops")))))="",""," "&amp;(IF(ABS(V40)&gt;=1E15,"PFLOPs",IF(ABS(V40)&gt;=1E12,"TFLOPs",IF(ABS(V40)&gt;=1E9,"GFLOPs",IF(ABS(V40)&gt;=1E6,"MFLOPs","flops"))))))</f>
        <v>12.986 GFLOPs</v>
      </c>
      <c r="F40" s="33" t="str">
        <f>TEXT(IF(ABS(AA40)&gt;=1E12,AA40/1E12,IF(ABS(AA40)&gt;=1E9,AA40/1E9,IF(ABS(AA40)&gt;=1E6,AA40/1E6,IF(ABS(AA40)&gt;=1E3,AA40/1E3,AA40)))),"#,##0.000")&amp;IF((IF(ABS(AA40)&gt;=1E12,"TB",IF(ABS(AA40)&gt;=1E9,"GB",IF(ABS(AA40)&gt;=1E6,"MB",IF(ABS(AA40)&gt;=1E3,"KB","bytes")))))="",""," "&amp;(IF(ABS(AA40)&gt;=1E12,"TB",IF(ABS(AA40)&gt;=1E9,"GB",IF(ABS(AA40)&gt;=1E6,"MB",IF(ABS(AA40)&gt;=1E3,"KB","bytes"))))))</f>
        <v>0.000 B</v>
      </c>
      <c r="G40" s="33" t="str">
        <f>TEXT(IF(ABS(X40)&gt;=1E12,X40/1E12,IF(ABS(X40)&gt;=1E9,X40/1E9,IF(ABS(X40)&gt;=1E6,X40/1E6,IF(ABS(X40)&gt;=1E3,X40/1E3,X40)))),"#,##0.000")&amp;IF((IF(ABS(X40)&gt;=1E12,"TB",IF(ABS(X40)&gt;=1E9,"GB",IF(ABS(X40)&gt;=1E6,"MB",IF(ABS(X40)&gt;=1E3,"KB","bytes")))))="",""," "&amp;(IF(ABS(X40)&gt;=1E12,"TB",IF(ABS(X40)&gt;=1E9,"GB",IF(ABS(X40)&gt;=1E6,"MB",IF(ABS(X40)&gt;=1E3,"KB","bytes"))))))</f>
        <v>18.396 GB</v>
      </c>
      <c r="H40" s="33" t="str">
        <f>TEXT(IF(ABS(Y40)&gt;=1E15,Y40/1E15,IF(ABS(Y40)&gt;=1E12,Y40/1E12,IF(ABS(Y40)&gt;=1E9,Y40/1E9,IF(ABS(Y40)&gt;=1E6,Y40/1E6,Y40)))),"#,##0.000")&amp;IF((IF(ABS(Y40)&gt;=1E15,"PFLOPs",IF(ABS(Y40)&gt;=1E12,"TFLOPs",IF(ABS(Y40)&gt;=1E9,"GFLOPs",IF(ABS(Y40)&gt;=1E6,"MFLOPs","flops")))))="",""," "&amp;(IF(ABS(Y40)&gt;=1E15,"PFLOPs",IF(ABS(Y40)&gt;=1E12,"TFLOPs",IF(ABS(Y40)&gt;=1E9,"GFLOPs",IF(ABS(Y40)&gt;=1E6,"MFLOPs","flops"))))))</f>
        <v>1.623 GFLOPs</v>
      </c>
      <c r="I40" s="33" t="str">
        <f>TEXT(IF(ABS(AB40)&gt;=1E12,AB40/1E12,IF(ABS(AB40)&gt;=1E9,AB40/1E9,IF(ABS(AB40)&gt;=1E6,AB40/1E6,IF(ABS(AB40)&gt;=1E3,AB40/1E3,AB40)))),"#,##0.000")&amp;IF((IF(ABS(AB40)&gt;=1E12,"TB",IF(ABS(AB40)&gt;=1E9,"GB",IF(ABS(AB40)&gt;=1E6,"MB",IF(ABS(AB40)&gt;=1E3,"KB","bytes")))))="",""," "&amp;(IF(ABS(AB40)&gt;=1E12,"TB",IF(ABS(AB40)&gt;=1E9,"GB",IF(ABS(AB40)&gt;=1E6,"MB",IF(ABS(AB40)&gt;=1E3,"KB","bytes"))))))</f>
        <v>0.000 B</v>
      </c>
      <c r="J40" s="4" t="s">
        <v>317</v>
      </c>
      <c r="K40" s="4" t="s">
        <v>318</v>
      </c>
      <c r="L40" s="4" t="s">
        <v>319</v>
      </c>
      <c r="U40" s="32">
        <f>TotalLayers*TP1LocalExperts*(3*HiddenSize*ExpertInter*FP4Bytes+3*HiddenSize*ExpertInter/FP4Block*ScaleBytes)</f>
        <v>147169738752.0</v>
      </c>
      <c r="V40" s="32">
        <f>DC_Rows*TotalLayers*(ActivatedExperts/TP1Size)*6*HiddenSize*ExpertInter</f>
        <v>12985565184.0</v>
      </c>
      <c r="W40" s="32">
        <f>(TotalLayers*TP1LocalExperts*DC_ExpertActiveProbability*(3*HiddenSize*ExpertInter*FP4Bytes+3*HiddenSize*ExpertInter/FP4Block*ScaleBytes)+DC_Rows*TotalLayers*(ActivatedExperts/TP1Size)*HiddenSize*BF16Bytes)+(DC_Rows*TotalLayers*(ActivatedExperts/TP1Size)*HiddenSize*BF16Bytes)</f>
        <v>3453517824.0</v>
      </c>
      <c r="X40" s="32">
        <f>TotalLayers*TP8LocalExperts*(3*HiddenSize*ExpertInter*FP4Bytes+3*HiddenSize*ExpertInter/FP4Block*ScaleBytes)</f>
        <v>18396217344.0</v>
      </c>
      <c r="Y40" s="32">
        <f>DC_Rows*TotalLayers*(ActivatedExperts/TP8Size)*6*HiddenSize*ExpertInter</f>
        <v>1623195648.0</v>
      </c>
      <c r="Z40" s="32">
        <f>(TotalLayers*TP8LocalExperts*DC_ExpertActiveProbability*(3*HiddenSize*ExpertInter*FP4Bytes+3*HiddenSize*ExpertInter/FP4Block*ScaleBytes)+DC_Rows*TotalLayers*(ActivatedExperts/TP8Size)*HiddenSize*BF16Bytes)+(DC_Rows*TotalLayers*(ActivatedExperts/TP8Size)*HiddenSize*BF16Bytes)</f>
        <v>431689728.0</v>
      </c>
      <c r="AA40" s="32">
        <f>0</f>
        <v>0</v>
      </c>
      <c r="AB40" s="32">
        <f>0</f>
        <v>0</v>
      </c>
    </row>
    <row r="41" spans="1:50">
      <c r="A41" s="4" t="s">
        <v>59</v>
      </c>
      <c r="B41" s="4" t="s">
        <v>320</v>
      </c>
      <c r="C41" s="4" t="s">
        <v>265</v>
      </c>
      <c r="D41" s="33" t="str">
        <f>TEXT(IF(ABS(U41)&gt;=1E12,U41/1E12,IF(ABS(U41)&gt;=1E9,U41/1E9,IF(ABS(U41)&gt;=1E6,U41/1E6,IF(ABS(U41)&gt;=1E3,U41/1E3,U41)))),"#,##0.000")&amp;IF((IF(ABS(U41)&gt;=1E12,"TB",IF(ABS(U41)&gt;=1E9,"GB",IF(ABS(U41)&gt;=1E6,"MB",IF(ABS(U41)&gt;=1E3,"KB","bytes")))))="",""," "&amp;(IF(ABS(U41)&gt;=1E12,"TB",IF(ABS(U41)&gt;=1E9,"GB",IF(ABS(U41)&gt;=1E6,"MB",IF(ABS(U41)&gt;=1E3,"KB","bytes"))))))</f>
        <v>1.082 GB</v>
      </c>
      <c r="E41" s="33" t="str">
        <f>TEXT(IF(ABS(V41)&gt;=1E15,V41/1E15,IF(ABS(V41)&gt;=1E12,V41/1E12,IF(ABS(V41)&gt;=1E9,V41/1E9,IF(ABS(V41)&gt;=1E6,V41/1E6,V41)))),"#,##0.000")&amp;IF((IF(ABS(V41)&gt;=1E15,"PFLOPs",IF(ABS(V41)&gt;=1E12,"TFLOPs",IF(ABS(V41)&gt;=1E9,"GFLOPs",IF(ABS(V41)&gt;=1E6,"MFLOPs","flops")))))="",""," "&amp;(IF(ABS(V41)&gt;=1E15,"PFLOPs",IF(ABS(V41)&gt;=1E12,"TFLOPs",IF(ABS(V41)&gt;=1E9,"GFLOPs",IF(ABS(V41)&gt;=1E6,"MFLOPs","flops"))))))</f>
        <v>2.164 GFLOPs</v>
      </c>
      <c r="F41" s="33" t="str">
        <f>TEXT(IF(ABS(AA41)&gt;=1E12,AA41/1E12,IF(ABS(AA41)&gt;=1E9,AA41/1E9,IF(ABS(AA41)&gt;=1E6,AA41/1E6,IF(ABS(AA41)&gt;=1E3,AA41/1E3,AA41)))),"#,##0.000")&amp;IF((IF(ABS(AA41)&gt;=1E12,"TB",IF(ABS(AA41)&gt;=1E9,"GB",IF(ABS(AA41)&gt;=1E6,"MB",IF(ABS(AA41)&gt;=1E3,"KB","bytes")))))="",""," "&amp;(IF(ABS(AA41)&gt;=1E12,"TB",IF(ABS(AA41)&gt;=1E9,"GB",IF(ABS(AA41)&gt;=1E6,"MB",IF(ABS(AA41)&gt;=1E3,"KB","bytes"))))))</f>
        <v>0.000 B</v>
      </c>
      <c r="G41" s="33" t="str">
        <f>TEXT(IF(ABS(X41)&gt;=1E12,X41/1E12,IF(ABS(X41)&gt;=1E9,X41/1E9,IF(ABS(X41)&gt;=1E6,X41/1E6,IF(ABS(X41)&gt;=1E3,X41/1E3,X41)))),"#,##0.000")&amp;IF((IF(ABS(X41)&gt;=1E12,"TB",IF(ABS(X41)&gt;=1E9,"GB",IF(ABS(X41)&gt;=1E6,"MB",IF(ABS(X41)&gt;=1E3,"KB","bytes")))))="",""," "&amp;(IF(ABS(X41)&gt;=1E12,"TB",IF(ABS(X41)&gt;=1E9,"GB",IF(ABS(X41)&gt;=1E6,"MB",IF(ABS(X41)&gt;=1E3,"KB","bytes"))))))</f>
        <v>1.082 GB</v>
      </c>
      <c r="H41" s="33" t="str">
        <f>TEXT(IF(ABS(Y41)&gt;=1E15,Y41/1E15,IF(ABS(Y41)&gt;=1E12,Y41/1E12,IF(ABS(Y41)&gt;=1E9,Y41/1E9,IF(ABS(Y41)&gt;=1E6,Y41/1E6,Y41)))),"#,##0.000")&amp;IF((IF(ABS(Y41)&gt;=1E15,"PFLOPs",IF(ABS(Y41)&gt;=1E12,"TFLOPs",IF(ABS(Y41)&gt;=1E9,"GFLOPs",IF(ABS(Y41)&gt;=1E6,"MFLOPs","flops")))))="",""," "&amp;(IF(ABS(Y41)&gt;=1E15,"PFLOPs",IF(ABS(Y41)&gt;=1E12,"TFLOPs",IF(ABS(Y41)&gt;=1E9,"GFLOPs",IF(ABS(Y41)&gt;=1E6,"MFLOPs","flops"))))))</f>
        <v>2.164 GFLOPs</v>
      </c>
      <c r="I41" s="33" t="str">
        <f>TEXT(IF(ABS(AB41)&gt;=1E12,AB41/1E12,IF(ABS(AB41)&gt;=1E9,AB41/1E9,IF(ABS(AB41)&gt;=1E6,AB41/1E6,IF(ABS(AB41)&gt;=1E3,AB41/1E3,AB41)))),"#,##0.000")&amp;IF((IF(ABS(AB41)&gt;=1E12,"TB",IF(ABS(AB41)&gt;=1E9,"GB",IF(ABS(AB41)&gt;=1E6,"MB",IF(ABS(AB41)&gt;=1E3,"KB","bytes")))))="",""," "&amp;(IF(ABS(AB41)&gt;=1E12,"TB",IF(ABS(AB41)&gt;=1E9,"GB",IF(ABS(AB41)&gt;=1E6,"MB",IF(ABS(AB41)&gt;=1E3,"KB","bytes"))))))</f>
        <v>0.000 B</v>
      </c>
      <c r="J41" s="4" t="s">
        <v>321</v>
      </c>
      <c r="K41" s="4" t="s">
        <v>318</v>
      </c>
      <c r="L41" s="4" t="s">
        <v>322</v>
      </c>
      <c r="U41" s="32">
        <f>TotalLayers*SharedExperts*(2*((HiddenSize)*(ExpertInter)*FP8Bytes+ROUNDUP((HiddenSize)/FP8Block,0)*ROUNDUP((ExpertInter)/FP8Block,0)*ScaleBytes)+((ExpertInter)*(HiddenSize)*FP8Bytes+ROUNDUP((ExpertInter)/FP8Block,0)*ROUNDUP((HiddenSize)/FP8Block,0)*ScaleBytes))</f>
        <v>1082196480</v>
      </c>
      <c r="V41" s="32">
        <f>DC_Rows*TotalLayers*SharedExperts*6*HiddenSize*ExpertInter</f>
        <v>2164260864</v>
      </c>
      <c r="W41" s="32">
        <f>(TotalLayers*SharedExperts*(2*((HiddenSize)*(ExpertInter)*FP8Bytes+ROUNDUP((HiddenSize)/FP8Block,0)*ROUNDUP((ExpertInter)/FP8Block,0)*ScaleBytes)+((ExpertInter)*(HiddenSize)*FP8Bytes+ROUNDUP((ExpertInter)/FP8Block,0)*ROUNDUP((HiddenSize)/FP8Block,0)*ScaleBytes))+DC_Rows*TotalLayers*SharedExperts*HiddenSize*BF16Bytes)+(DC_Rows*TotalLayers*SharedExperts*HiddenSize*BF16Bytes)</f>
        <v>1082900992</v>
      </c>
      <c r="X41" s="32">
        <f>TotalLayers*SharedExperts*(2*((HiddenSize)*(ExpertInter)*FP8Bytes+ROUNDUP((HiddenSize)/FP8Block,0)*ROUNDUP((ExpertInter)/FP8Block,0)*ScaleBytes)+((ExpertInter)*(HiddenSize)*FP8Bytes+ROUNDUP((ExpertInter)/FP8Block,0)*ROUNDUP((HiddenSize)/FP8Block,0)*ScaleBytes))</f>
        <v>1082196480</v>
      </c>
      <c r="Y41" s="32">
        <f>DC_Rows*TotalLayers*SharedExperts*6*HiddenSize*ExpertInter</f>
        <v>2164260864</v>
      </c>
      <c r="Z41" s="32">
        <f>(TotalLayers*SharedExperts*(2*((HiddenSize)*(ExpertInter)*FP8Bytes+ROUNDUP((HiddenSize)/FP8Block,0)*ROUNDUP((ExpertInter)/FP8Block,0)*ScaleBytes)+((ExpertInter)*(HiddenSize)*FP8Bytes+ROUNDUP((ExpertInter)/FP8Block,0)*ROUNDUP((HiddenSize)/FP8Block,0)*ScaleBytes))+DC_Rows*TotalLayers*SharedExperts*HiddenSize*BF16Bytes)+(DC_Rows*TotalLayers*SharedExperts*HiddenSize*BF16Bytes)</f>
        <v>1082900992</v>
      </c>
      <c r="AA41" s="32">
        <f>0</f>
        <v>0</v>
      </c>
      <c r="AB41" s="32">
        <f>0</f>
        <v>0</v>
      </c>
    </row>
    <row r="42" spans="1:50">
      <c r="A42" s="4" t="s">
        <v>59</v>
      </c>
      <c r="B42" s="4" t="s">
        <v>323</v>
      </c>
      <c r="C42" s="4" t="s">
        <v>296</v>
      </c>
      <c r="D42" s="33" t="str">
        <f>TEXT(IF(ABS(U42)&gt;=1E12,U42/1E12,IF(ABS(U42)&gt;=1E9,U42/1E9,IF(ABS(U42)&gt;=1E6,U42/1E6,IF(ABS(U42)&gt;=1E3,U42/1E3,U42)))),"#,##0.000")&amp;IF((IF(ABS(U42)&gt;=1E12,"TB",IF(ABS(U42)&gt;=1E9,"GB",IF(ABS(U42)&gt;=1E6,"MB",IF(ABS(U42)&gt;=1E3,"KB","bytes")))))="",""," "&amp;(IF(ABS(U42)&gt;=1E12,"TB",IF(ABS(U42)&gt;=1E9,"GB",IF(ABS(U42)&gt;=1E6,"MB",IF(ABS(U42)&gt;=1E3,"KB","bytes"))))))</f>
        <v>0.000 B</v>
      </c>
      <c r="E42" s="33" t="str">
        <f>TEXT(IF(ABS(V42)&gt;=1E15,V42/1E15,IF(ABS(V42)&gt;=1E12,V42/1E12,IF(ABS(V42)&gt;=1E9,V42/1E9,IF(ABS(V42)&gt;=1E6,V42/1E6,V42)))),"#,##0.000")&amp;IF((IF(ABS(V42)&gt;=1E15,"PFLOPs",IF(ABS(V42)&gt;=1E12,"TFLOPs",IF(ABS(V42)&gt;=1E9,"GFLOPs",IF(ABS(V42)&gt;=1E6,"MFLOPs","flops")))))="",""," "&amp;(IF(ABS(V42)&gt;=1E15,"PFLOPs",IF(ABS(V42)&gt;=1E12,"TFLOPs",IF(ABS(V42)&gt;=1E9,"GFLOPs",IF(ABS(V42)&gt;=1E6,"MFLOPs","flops"))))))</f>
        <v>0.000 FLOPs</v>
      </c>
      <c r="F42" s="33" t="str">
        <f>TEXT(IF(ABS(AA42)&gt;=1E12,AA42/1E12,IF(ABS(AA42)&gt;=1E9,AA42/1E9,IF(ABS(AA42)&gt;=1E6,AA42/1E6,IF(ABS(AA42)&gt;=1E3,AA42/1E3,AA42)))),"#,##0.000")&amp;IF((IF(ABS(AA42)&gt;=1E12,"TB",IF(ABS(AA42)&gt;=1E9,"GB",IF(ABS(AA42)&gt;=1E6,"MB",IF(ABS(AA42)&gt;=1E3,"KB","bytes")))))="",""," "&amp;(IF(ABS(AA42)&gt;=1E12,"TB",IF(ABS(AA42)&gt;=1E9,"GB",IF(ABS(AA42)&gt;=1E6,"MB",IF(ABS(AA42)&gt;=1E3,"KB","bytes"))))))</f>
        <v>0.000 B</v>
      </c>
      <c r="G42" s="33" t="str">
        <f>TEXT(IF(ABS(X42)&gt;=1E12,X42/1E12,IF(ABS(X42)&gt;=1E9,X42/1E9,IF(ABS(X42)&gt;=1E6,X42/1E6,IF(ABS(X42)&gt;=1E3,X42/1E3,X42)))),"#,##0.000")&amp;IF((IF(ABS(X42)&gt;=1E12,"TB",IF(ABS(X42)&gt;=1E9,"GB",IF(ABS(X42)&gt;=1E6,"MB",IF(ABS(X42)&gt;=1E3,"KB","bytes")))))="",""," "&amp;(IF(ABS(X42)&gt;=1E12,"TB",IF(ABS(X42)&gt;=1E9,"GB",IF(ABS(X42)&gt;=1E6,"MB",IF(ABS(X42)&gt;=1E3,"KB","bytes"))))))</f>
        <v>0.000 B</v>
      </c>
      <c r="H42" s="33" t="str">
        <f>TEXT(IF(ABS(Y42)&gt;=1E15,Y42/1E15,IF(ABS(Y42)&gt;=1E12,Y42/1E12,IF(ABS(Y42)&gt;=1E9,Y42/1E9,IF(ABS(Y42)&gt;=1E6,Y42/1E6,Y42)))),"#,##0.000")&amp;IF((IF(ABS(Y42)&gt;=1E15,"PFLOPs",IF(ABS(Y42)&gt;=1E12,"TFLOPs",IF(ABS(Y42)&gt;=1E9,"GFLOPs",IF(ABS(Y42)&gt;=1E6,"MFLOPs","flops")))))="",""," "&amp;(IF(ABS(Y42)&gt;=1E15,"PFLOPs",IF(ABS(Y42)&gt;=1E12,"TFLOPs",IF(ABS(Y42)&gt;=1E9,"GFLOPs",IF(ABS(Y42)&gt;=1E6,"MFLOPs","flops"))))))</f>
        <v>0.000 FLOPs</v>
      </c>
      <c r="I42" s="33" t="str">
        <f>TEXT(IF(ABS(AB42)&gt;=1E12,AB42/1E12,IF(ABS(AB42)&gt;=1E9,AB42/1E9,IF(ABS(AB42)&gt;=1E6,AB42/1E6,IF(ABS(AB42)&gt;=1E3,AB42/1E3,AB42)))),"#,##0.000")&amp;IF((IF(ABS(AB42)&gt;=1E12,"TB",IF(ABS(AB42)&gt;=1E9,"GB",IF(ABS(AB42)&gt;=1E6,"MB",IF(ABS(AB42)&gt;=1E3,"KB","bytes")))))="",""," "&amp;(IF(ABS(AB42)&gt;=1E12,"TB",IF(ABS(AB42)&gt;=1E9,"GB",IF(ABS(AB42)&gt;=1E6,"MB",IF(ABS(AB42)&gt;=1E3,"KB","bytes"))))))</f>
        <v>2.466 MB</v>
      </c>
      <c r="J42" s="4" t="s">
        <v>256</v>
      </c>
      <c r="K42" s="4" t="s">
        <v>297</v>
      </c>
      <c r="L42" s="4" t="s">
        <v>324</v>
      </c>
      <c r="U42" s="32">
        <f>0</f>
        <v>0</v>
      </c>
      <c r="V42" s="32">
        <f>0</f>
        <v>0</v>
      </c>
      <c r="W42" s="32">
        <f>(0)+(0)</f>
        <v>0</v>
      </c>
      <c r="X42" s="32">
        <f>0</f>
        <v>0</v>
      </c>
      <c r="Y42" s="32">
        <f>0</f>
        <v>0</v>
      </c>
      <c r="Z42" s="32">
        <f>(0)+(0)</f>
        <v>0</v>
      </c>
      <c r="AA42" s="32">
        <f>4*(TP1Size-1)/TP1Size*DC_Rows*HiddenSize*FP32Bytes*TotalLayers</f>
        <v>0.0</v>
      </c>
      <c r="AB42" s="32">
        <f>4*(TP8Size-1)/TP8Size*DC_Rows*HiddenSize*FP32Bytes*TotalLayers</f>
        <v>2465792.0</v>
      </c>
    </row>
    <row r="43" spans="1:50">
      <c r="A43" s="4" t="s">
        <v>92</v>
      </c>
      <c r="B43" s="4" t="s">
        <v>325</v>
      </c>
      <c r="C43" s="4" t="s">
        <v>326</v>
      </c>
      <c r="D43" s="33" t="str">
        <f>TEXT(IF(ABS(U43)&gt;=1E12,U43/1E12,IF(ABS(U43)&gt;=1E9,U43/1E9,IF(ABS(U43)&gt;=1E6,U43/1E6,IF(ABS(U43)&gt;=1E3,U43/1E3,U43)))),"#,##0.000")&amp;IF((IF(ABS(U43)&gt;=1E12,"TB",IF(ABS(U43)&gt;=1E9,"GB",IF(ABS(U43)&gt;=1E6,"MB",IF(ABS(U43)&gt;=1E3,"KB","bytes")))))="",""," "&amp;(IF(ABS(U43)&gt;=1E12,"TB",IF(ABS(U43)&gt;=1E9,"GB",IF(ABS(U43)&gt;=1E6,"MB",IF(ABS(U43)&gt;=1E3,"KB","bytes"))))))</f>
        <v>135.538 MB</v>
      </c>
      <c r="E43" s="33" t="str">
        <f>TEXT(IF(ABS(V43)&gt;=1E15,V43/1E15,IF(ABS(V43)&gt;=1E12,V43/1E12,IF(ABS(V43)&gt;=1E9,V43/1E9,IF(ABS(V43)&gt;=1E6,V43/1E6,V43)))),"#,##0.000")&amp;IF((IF(ABS(V43)&gt;=1E15,"PFLOPs",IF(ABS(V43)&gt;=1E12,"TFLOPs",IF(ABS(V43)&gt;=1E9,"GFLOPs",IF(ABS(V43)&gt;=1E6,"MFLOPs","flops")))))="",""," "&amp;(IF(ABS(V43)&gt;=1E15,"PFLOPs",IF(ABS(V43)&gt;=1E12,"TFLOPs",IF(ABS(V43)&gt;=1E9,"GFLOPs",IF(ABS(V43)&gt;=1E6,"MFLOPs","flops"))))))</f>
        <v>85.791 MFLOPs</v>
      </c>
      <c r="F43" s="33" t="str">
        <f>TEXT(IF(ABS(AA43)&gt;=1E12,AA43/1E12,IF(ABS(AA43)&gt;=1E9,AA43/1E9,IF(ABS(AA43)&gt;=1E6,AA43/1E6,IF(ABS(AA43)&gt;=1E3,AA43/1E3,AA43)))),"#,##0.000")&amp;IF((IF(ABS(AA43)&gt;=1E12,"TB",IF(ABS(AA43)&gt;=1E9,"GB",IF(ABS(AA43)&gt;=1E6,"MB",IF(ABS(AA43)&gt;=1E3,"KB","bytes")))))="",""," "&amp;(IF(ABS(AA43)&gt;=1E12,"TB",IF(ABS(AA43)&gt;=1E9,"GB",IF(ABS(AA43)&gt;=1E6,"MB",IF(ABS(AA43)&gt;=1E3,"KB","bytes"))))))</f>
        <v>0.000 B</v>
      </c>
      <c r="G43" s="33" t="str">
        <f>TEXT(IF(ABS(X43)&gt;=1E12,X43/1E12,IF(ABS(X43)&gt;=1E9,X43/1E9,IF(ABS(X43)&gt;=1E6,X43/1E6,IF(ABS(X43)&gt;=1E3,X43/1E3,X43)))),"#,##0.000")&amp;IF((IF(ABS(X43)&gt;=1E12,"TB",IF(ABS(X43)&gt;=1E9,"GB",IF(ABS(X43)&gt;=1E6,"MB",IF(ABS(X43)&gt;=1E3,"KB","bytes")))))="",""," "&amp;(IF(ABS(X43)&gt;=1E12,"TB",IF(ABS(X43)&gt;=1E9,"GB",IF(ABS(X43)&gt;=1E6,"MB",IF(ABS(X43)&gt;=1E3,"KB","bytes"))))))</f>
        <v>135.538 MB</v>
      </c>
      <c r="H43" s="33" t="str">
        <f>TEXT(IF(ABS(Y43)&gt;=1E15,Y43/1E15,IF(ABS(Y43)&gt;=1E12,Y43/1E12,IF(ABS(Y43)&gt;=1E9,Y43/1E9,IF(ABS(Y43)&gt;=1E6,Y43/1E6,Y43)))),"#,##0.000")&amp;IF((IF(ABS(Y43)&gt;=1E15,"PFLOPs",IF(ABS(Y43)&gt;=1E12,"TFLOPs",IF(ABS(Y43)&gt;=1E9,"GFLOPs",IF(ABS(Y43)&gt;=1E6,"MFLOPs","flops")))))="",""," "&amp;(IF(ABS(Y43)&gt;=1E15,"PFLOPs",IF(ABS(Y43)&gt;=1E12,"TFLOPs",IF(ABS(Y43)&gt;=1E9,"GFLOPs",IF(ABS(Y43)&gt;=1E6,"MFLOPs","flops"))))))</f>
        <v>85.791 MFLOPs</v>
      </c>
      <c r="I43" s="33" t="str">
        <f>TEXT(IF(ABS(AB43)&gt;=1E12,AB43/1E12,IF(ABS(AB43)&gt;=1E9,AB43/1E9,IF(ABS(AB43)&gt;=1E6,AB43/1E6,IF(ABS(AB43)&gt;=1E3,AB43/1E3,AB43)))),"#,##0.000")&amp;IF((IF(ABS(AB43)&gt;=1E12,"TB",IF(ABS(AB43)&gt;=1E9,"GB",IF(ABS(AB43)&gt;=1E6,"MB",IF(ABS(AB43)&gt;=1E3,"KB","bytes")))))="",""," "&amp;(IF(ABS(AB43)&gt;=1E12,"TB",IF(ABS(AB43)&gt;=1E9,"GB",IF(ABS(AB43)&gt;=1E6,"MB",IF(ABS(AB43)&gt;=1E3,"KB","bytes"))))))</f>
        <v>0.000 B</v>
      </c>
      <c r="J43" s="4" t="s">
        <v>327</v>
      </c>
      <c r="K43" s="4" t="s">
        <v>328</v>
      </c>
      <c r="L43" s="4" t="s">
        <v>329</v>
      </c>
      <c r="U43" s="32">
        <f>(TotalLayers*2*(((2+HCSlots)*HCSlots)*HCSlots*HiddenSize+((2+HCSlots)*HCSlots)+3))*FP32Bytes+(HCSlots*HCSlots*HiddenSize+HCSlots+1)*FP32Bytes</f>
        <v>135537756</v>
      </c>
      <c r="V43" s="32">
        <f>TotalLayers*2*(2*DC_Rows*HCSlots*HiddenSize*((2+HCSlots)*HCSlots)+DC_Rows*(2*HCSlots*HiddenSize+1)+DC_Rows*HiddenSize*(2*HCSlots-1)+DC_Rows*HCSlots*HiddenSize*(2*HCSlots+1))+2*DC_Rows*HCSlots*HiddenSize*HCSlots+DC_Rows*(2*HCSlots*HiddenSize+1)+DC_Rows*HiddenSize*(2*HCSlots-1)</f>
        <v>85790807</v>
      </c>
      <c r="W43" s="32">
        <f>(TotalLayers*2*((2+HCSlots)*HCSlots*HCSlots*HiddenSize*FP32Bytes+((2+HCSlots)*HCSlots+3)*FP32Bytes)+DC_Rows*TotalLayers*4*HCSlots*HiddenSize*BF16Bytes+(HCSlots*HCSlots*HiddenSize+HCSlots+1)*FP32Bytes+DC_Rows*HCSlots*HiddenSize*BF16Bytes)+(DC_Rows*TotalLayers*4*HCSlots*HiddenSize*BF16Bytes+DC_Rows*HiddenSize*BF16Bytes)</f>
        <v>146850908.0</v>
      </c>
      <c r="X43" s="32">
        <f>(TotalLayers*2*(((2+HCSlots)*HCSlots)*HCSlots*HiddenSize+((2+HCSlots)*HCSlots)+3))*FP32Bytes+(HCSlots*HCSlots*HiddenSize+HCSlots+1)*FP32Bytes</f>
        <v>135537756</v>
      </c>
      <c r="Y43" s="32">
        <f>TotalLayers*2*(2*DC_Rows*HCSlots*HiddenSize*((2+HCSlots)*HCSlots)+DC_Rows*(2*HCSlots*HiddenSize+1)+DC_Rows*HiddenSize*(2*HCSlots-1)+DC_Rows*HCSlots*HiddenSize*(2*HCSlots+1))+2*DC_Rows*HCSlots*HiddenSize*HCSlots+DC_Rows*(2*HCSlots*HiddenSize+1)+DC_Rows*HiddenSize*(2*HCSlots-1)</f>
        <v>85790807</v>
      </c>
      <c r="Z43" s="32">
        <f>(TotalLayers*2*((2+HCSlots)*HCSlots*HCSlots*HiddenSize*FP32Bytes+((2+HCSlots)*HCSlots+3)*FP32Bytes)+DC_Rows*TotalLayers*4*HCSlots*HiddenSize*BF16Bytes+(HCSlots*HCSlots*HiddenSize+HCSlots+1)*FP32Bytes+DC_Rows*HCSlots*HiddenSize*BF16Bytes)+(DC_Rows*TotalLayers*4*HCSlots*HiddenSize*BF16Bytes+DC_Rows*HiddenSize*BF16Bytes)</f>
        <v>146850908.0</v>
      </c>
      <c r="AA43" s="32">
        <f>0</f>
        <v>0</v>
      </c>
      <c r="AB43" s="32">
        <f>0</f>
        <v>0</v>
      </c>
    </row>
    <row r="44" spans="1:50">
      <c r="A44" s="4" t="s">
        <v>249</v>
      </c>
      <c r="B44" s="4" t="s">
        <v>249</v>
      </c>
      <c r="C44" s="4" t="s">
        <v>330</v>
      </c>
      <c r="D44" s="33" t="str">
        <f>TEXT(IF(ABS(U44)&gt;=1E12,U44/1E12,IF(ABS(U44)&gt;=1E9,U44/1E9,IF(ABS(U44)&gt;=1E6,U44/1E6,IF(ABS(U44)&gt;=1E3,U44/1E3,U44)))),"#,##0.000")&amp;IF((IF(ABS(U44)&gt;=1E12,"TB",IF(ABS(U44)&gt;=1E9,"GB",IF(ABS(U44)&gt;=1E6,"MB",IF(ABS(U44)&gt;=1E3,"KB","bytes")))))="",""," "&amp;(IF(ABS(U44)&gt;=1E12,"TB",IF(ABS(U44)&gt;=1E9,"GB",IF(ABS(U44)&gt;=1E6,"MB",IF(ABS(U44)&gt;=1E3,"KB","bytes"))))))</f>
        <v>1.701 MB</v>
      </c>
      <c r="E44" s="33" t="str">
        <f>TEXT(IF(ABS(V44)&gt;=1E15,V44/1E15,IF(ABS(V44)&gt;=1E12,V44/1E12,IF(ABS(V44)&gt;=1E9,V44/1E9,IF(ABS(V44)&gt;=1E6,V44/1E6,V44)))),"#,##0.000")&amp;IF((IF(ABS(V44)&gt;=1E15,"PFLOPs",IF(ABS(V44)&gt;=1E12,"TFLOPs",IF(ABS(V44)&gt;=1E9,"GFLOPs",IF(ABS(V44)&gt;=1E6,"MFLOPs","flops")))))="",""," "&amp;(IF(ABS(V44)&gt;=1E15,"PFLOPs",IF(ABS(V44)&gt;=1E12,"TFLOPs",IF(ABS(V44)&gt;=1E9,"GFLOPs",IF(ABS(V44)&gt;=1E6,"MFLOPs","flops"))))))</f>
        <v>1.425 MFLOPs</v>
      </c>
      <c r="F44" s="33" t="str">
        <f>TEXT(IF(ABS(AA44)&gt;=1E12,AA44/1E12,IF(ABS(AA44)&gt;=1E9,AA44/1E9,IF(ABS(AA44)&gt;=1E6,AA44/1E6,IF(ABS(AA44)&gt;=1E3,AA44/1E3,AA44)))),"#,##0.000")&amp;IF((IF(ABS(AA44)&gt;=1E12,"TB",IF(ABS(AA44)&gt;=1E9,"GB",IF(ABS(AA44)&gt;=1E6,"MB",IF(ABS(AA44)&gt;=1E3,"KB","bytes")))))="",""," "&amp;(IF(ABS(AA44)&gt;=1E12,"TB",IF(ABS(AA44)&gt;=1E9,"GB",IF(ABS(AA44)&gt;=1E6,"MB",IF(ABS(AA44)&gt;=1E3,"KB","bytes"))))))</f>
        <v>0.000 B</v>
      </c>
      <c r="G44" s="33" t="str">
        <f>TEXT(IF(ABS(X44)&gt;=1E12,X44/1E12,IF(ABS(X44)&gt;=1E9,X44/1E9,IF(ABS(X44)&gt;=1E6,X44/1E6,IF(ABS(X44)&gt;=1E3,X44/1E3,X44)))),"#,##0.000")&amp;IF((IF(ABS(X44)&gt;=1E12,"TB",IF(ABS(X44)&gt;=1E9,"GB",IF(ABS(X44)&gt;=1E6,"MB",IF(ABS(X44)&gt;=1E3,"KB","bytes")))))="",""," "&amp;(IF(ABS(X44)&gt;=1E12,"TB",IF(ABS(X44)&gt;=1E9,"GB",IF(ABS(X44)&gt;=1E6,"MB",IF(ABS(X44)&gt;=1E3,"KB","bytes"))))))</f>
        <v>1.691 MB</v>
      </c>
      <c r="H44" s="33" t="str">
        <f>TEXT(IF(ABS(Y44)&gt;=1E15,Y44/1E15,IF(ABS(Y44)&gt;=1E12,Y44/1E12,IF(ABS(Y44)&gt;=1E9,Y44/1E9,IF(ABS(Y44)&gt;=1E6,Y44/1E6,Y44)))),"#,##0.000")&amp;IF((IF(ABS(Y44)&gt;=1E15,"PFLOPs",IF(ABS(Y44)&gt;=1E12,"TFLOPs",IF(ABS(Y44)&gt;=1E9,"GFLOPs",IF(ABS(Y44)&gt;=1E6,"MFLOPs","flops")))))="",""," "&amp;(IF(ABS(Y44)&gt;=1E15,"PFLOPs",IF(ABS(Y44)&gt;=1E12,"TFLOPs",IF(ABS(Y44)&gt;=1E9,"GFLOPs",IF(ABS(Y44)&gt;=1E6,"MFLOPs","flops"))))))</f>
        <v>1.425 MFLOPs</v>
      </c>
      <c r="I44" s="33" t="str">
        <f>TEXT(IF(ABS(AB44)&gt;=1E12,AB44/1E12,IF(ABS(AB44)&gt;=1E9,AB44/1E9,IF(ABS(AB44)&gt;=1E6,AB44/1E6,IF(ABS(AB44)&gt;=1E3,AB44/1E3,AB44)))),"#,##0.000")&amp;IF((IF(ABS(AB44)&gt;=1E12,"TB",IF(ABS(AB44)&gt;=1E9,"GB",IF(ABS(AB44)&gt;=1E6,"MB",IF(ABS(AB44)&gt;=1E3,"KB","bytes")))))="",""," "&amp;(IF(ABS(AB44)&gt;=1E12,"TB",IF(ABS(AB44)&gt;=1E9,"GB",IF(ABS(AB44)&gt;=1E6,"MB",IF(ABS(AB44)&gt;=1E3,"KB","bytes"))))))</f>
        <v>0.000 B</v>
      </c>
      <c r="J44" s="4" t="s">
        <v>331</v>
      </c>
      <c r="K44" s="4" t="s">
        <v>332</v>
      </c>
      <c r="L44" s="4" t="s">
        <v>333</v>
      </c>
      <c r="U44" s="32">
        <f>(TotalLayers*(2*HiddenSize+QLoraRank+HeadDim+TP1LocalHeads))*FP32Bytes+(HiddenSize)*FP32Bytes</f>
        <v>1700608</v>
      </c>
      <c r="V44" s="32">
        <f>DC_Rows*TotalLayers*2*(4*HiddenSize+1)+DC_Rows*(4*HiddenSize+1)</f>
        <v>1425495</v>
      </c>
      <c r="W44" s="32">
        <f>(TotalLayers*(2*HiddenSize+QLoraRank+HeadDim+TP1LocalHeads)*FP32Bytes+HiddenSize*FP32Bytes+DC_Rows*TotalLayers*2*HiddenSize*BF16Bytes+DC_Rows*HiddenSize*BF16Bytes)+(DC_Rows*TotalLayers*2*HiddenSize*BF16Bytes+DC_Rows*HiddenSize*BF16Bytes)</f>
        <v>3126016</v>
      </c>
      <c r="X44" s="32">
        <f>(TotalLayers*(2*HiddenSize+QLoraRank+HeadDim+TP8LocalHeads))*FP32Bytes+(HiddenSize)*FP32Bytes</f>
        <v>1690976</v>
      </c>
      <c r="Y44" s="32">
        <f>DC_Rows*TotalLayers*2*(4*HiddenSize+1)+DC_Rows*(4*HiddenSize+1)</f>
        <v>1425495</v>
      </c>
      <c r="Z44" s="32">
        <f>(TotalLayers*(2*HiddenSize+QLoraRank+HeadDim+TP8LocalHeads)*FP32Bytes+HiddenSize*FP32Bytes+DC_Rows*TotalLayers*2*HiddenSize*BF16Bytes+DC_Rows*HiddenSize*BF16Bytes)+(DC_Rows*TotalLayers*2*HiddenSize*BF16Bytes+DC_Rows*HiddenSize*BF16Bytes)</f>
        <v>3116384</v>
      </c>
      <c r="AA44" s="32">
        <f>0</f>
        <v>0</v>
      </c>
      <c r="AB44" s="32">
        <f>0</f>
        <v>0</v>
      </c>
    </row>
    <row r="45" spans="1:50">
      <c r="A45" s="4" t="s">
        <v>254</v>
      </c>
      <c r="B45" s="4" t="s">
        <v>254</v>
      </c>
      <c r="C45" s="4" t="s">
        <v>334</v>
      </c>
      <c r="D45" s="33" t="str">
        <f>TEXT(IF(ABS(U45)&gt;=1E12,U45/1E12,IF(ABS(U45)&gt;=1E9,U45/1E9,IF(ABS(U45)&gt;=1E6,U45/1E6,IF(ABS(U45)&gt;=1E3,U45/1E3,U45)))),"#,##0.000")&amp;IF((IF(ABS(U45)&gt;=1E12,"TB",IF(ABS(U45)&gt;=1E9,"GB",IF(ABS(U45)&gt;=1E6,"MB",IF(ABS(U45)&gt;=1E3,"KB","bytes")))))="",""," "&amp;(IF(ABS(U45)&gt;=1E12,"TB",IF(ABS(U45)&gt;=1E9,"GB",IF(ABS(U45)&gt;=1E6,"MB",IF(ABS(U45)&gt;=1E3,"KB","bytes"))))))</f>
        <v>0.000 B</v>
      </c>
      <c r="E45" s="33" t="str">
        <f>TEXT(IF(ABS(V45)&gt;=1E15,V45/1E15,IF(ABS(V45)&gt;=1E12,V45/1E12,IF(ABS(V45)&gt;=1E9,V45/1E9,IF(ABS(V45)&gt;=1E6,V45/1E6,V45)))),"#,##0.000")&amp;IF((IF(ABS(V45)&gt;=1E15,"PFLOPs",IF(ABS(V45)&gt;=1E12,"TFLOPs",IF(ABS(V45)&gt;=1E9,"GFLOPs",IF(ABS(V45)&gt;=1E6,"MFLOPs","flops")))))="",""," "&amp;(IF(ABS(V45)&gt;=1E15,"PFLOPs",IF(ABS(V45)&gt;=1E12,"TFLOPs",IF(ABS(V45)&gt;=1E9,"GFLOPs",IF(ABS(V45)&gt;=1E6,"MFLOPs","flops"))))))</f>
        <v>0.000 FLOPs</v>
      </c>
      <c r="F45" s="33" t="str">
        <f>TEXT(IF(ABS(AA45)&gt;=1E12,AA45/1E12,IF(ABS(AA45)&gt;=1E9,AA45/1E9,IF(ABS(AA45)&gt;=1E6,AA45/1E6,IF(ABS(AA45)&gt;=1E3,AA45/1E3,AA45)))),"#,##0.000")&amp;IF((IF(ABS(AA45)&gt;=1E12,"TB",IF(ABS(AA45)&gt;=1E9,"GB",IF(ABS(AA45)&gt;=1E6,"MB",IF(ABS(AA45)&gt;=1E3,"KB","bytes")))))="",""," "&amp;(IF(ABS(AA45)&gt;=1E12,"TB",IF(ABS(AA45)&gt;=1E9,"GB",IF(ABS(AA45)&gt;=1E6,"MB",IF(ABS(AA45)&gt;=1E3,"KB","bytes"))))))</f>
        <v>0.000 B</v>
      </c>
      <c r="G45" s="33" t="str">
        <f>TEXT(IF(ABS(X45)&gt;=1E12,X45/1E12,IF(ABS(X45)&gt;=1E9,X45/1E9,IF(ABS(X45)&gt;=1E6,X45/1E6,IF(ABS(X45)&gt;=1E3,X45/1E3,X45)))),"#,##0.000")&amp;IF((IF(ABS(X45)&gt;=1E12,"TB",IF(ABS(X45)&gt;=1E9,"GB",IF(ABS(X45)&gt;=1E6,"MB",IF(ABS(X45)&gt;=1E3,"KB","bytes")))))="",""," "&amp;(IF(ABS(X45)&gt;=1E12,"TB",IF(ABS(X45)&gt;=1E9,"GB",IF(ABS(X45)&gt;=1E6,"MB",IF(ABS(X45)&gt;=1E3,"KB","bytes"))))))</f>
        <v>0.000 B</v>
      </c>
      <c r="H45" s="33" t="str">
        <f>TEXT(IF(ABS(Y45)&gt;=1E15,Y45/1E15,IF(ABS(Y45)&gt;=1E12,Y45/1E12,IF(ABS(Y45)&gt;=1E9,Y45/1E9,IF(ABS(Y45)&gt;=1E6,Y45/1E6,Y45)))),"#,##0.000")&amp;IF((IF(ABS(Y45)&gt;=1E15,"PFLOPs",IF(ABS(Y45)&gt;=1E12,"TFLOPs",IF(ABS(Y45)&gt;=1E9,"GFLOPs",IF(ABS(Y45)&gt;=1E6,"MFLOPs","flops")))))="",""," "&amp;(IF(ABS(Y45)&gt;=1E15,"PFLOPs",IF(ABS(Y45)&gt;=1E12,"TFLOPs",IF(ABS(Y45)&gt;=1E9,"GFLOPs",IF(ABS(Y45)&gt;=1E6,"MFLOPs","flops"))))))</f>
        <v>0.000 FLOPs</v>
      </c>
      <c r="I45" s="33" t="str">
        <f>TEXT(IF(ABS(AB45)&gt;=1E12,AB45/1E12,IF(ABS(AB45)&gt;=1E9,AB45/1E9,IF(ABS(AB45)&gt;=1E6,AB45/1E6,IF(ABS(AB45)&gt;=1E3,AB45/1E3,AB45)))),"#,##0.000")&amp;IF((IF(ABS(AB45)&gt;=1E12,"TB",IF(ABS(AB45)&gt;=1E9,"GB",IF(ABS(AB45)&gt;=1E6,"MB",IF(ABS(AB45)&gt;=1E3,"KB","bytes")))))="",""," "&amp;(IF(ABS(AB45)&gt;=1E12,"TB",IF(ABS(AB45)&gt;=1E9,"GB",IF(ABS(AB45)&gt;=1E6,"MB",IF(ABS(AB45)&gt;=1E3,"KB","bytes"))))))</f>
        <v>0.000 B</v>
      </c>
      <c r="J45" s="4" t="s">
        <v>256</v>
      </c>
      <c r="K45" s="4" t="s">
        <v>257</v>
      </c>
      <c r="L45" s="4" t="s">
        <v>335</v>
      </c>
      <c r="U45" s="32">
        <f>0</f>
        <v>0</v>
      </c>
      <c r="V45" s="32">
        <f>0</f>
        <v>0</v>
      </c>
      <c r="W45" s="32">
        <f>(0)+(0)</f>
        <v>0</v>
      </c>
      <c r="X45" s="32">
        <f>0</f>
        <v>0</v>
      </c>
      <c r="Y45" s="32">
        <f>0</f>
        <v>0</v>
      </c>
      <c r="Z45" s="32">
        <f>(0)+(0)</f>
        <v>0</v>
      </c>
      <c r="AA45" s="32">
        <f>0</f>
        <v>0</v>
      </c>
      <c r="AB45" s="32">
        <f>0</f>
        <v>0</v>
      </c>
    </row>
    <row r="46" spans="1:50">
      <c r="A46" s="4" t="s">
        <v>245</v>
      </c>
      <c r="B46" s="4" t="s">
        <v>245</v>
      </c>
      <c r="C46" s="4" t="s">
        <v>336</v>
      </c>
      <c r="D46" s="33" t="str">
        <f>TEXT(IF(ABS(U46)&gt;=1E12,U46/1E12,IF(ABS(U46)&gt;=1E9,U46/1E9,IF(ABS(U46)&gt;=1E6,U46/1E6,IF(ABS(U46)&gt;=1E3,U46/1E3,U46)))),"#,##0.000")&amp;IF((IF(ABS(U46)&gt;=1E12,"TB",IF(ABS(U46)&gt;=1E9,"GB",IF(ABS(U46)&gt;=1E6,"MB",IF(ABS(U46)&gt;=1E3,"KB","bytes")))))="",""," "&amp;(IF(ABS(U46)&gt;=1E12,"TB",IF(ABS(U46)&gt;=1E9,"GB",IF(ABS(U46)&gt;=1E6,"MB",IF(ABS(U46)&gt;=1E3,"KB","bytes"))))))</f>
        <v>2.118 GB</v>
      </c>
      <c r="E46" s="33" t="str">
        <f>TEXT(IF(ABS(V46)&gt;=1E15,V46/1E15,IF(ABS(V46)&gt;=1E12,V46/1E12,IF(ABS(V46)&gt;=1E9,V46/1E9,IF(ABS(V46)&gt;=1E6,V46/1E6,V46)))),"#,##0.000")&amp;IF((IF(ABS(V46)&gt;=1E15,"PFLOPs",IF(ABS(V46)&gt;=1E12,"TFLOPs",IF(ABS(V46)&gt;=1E9,"GFLOPs",IF(ABS(V46)&gt;=1E6,"MFLOPs","flops")))))="",""," "&amp;(IF(ABS(V46)&gt;=1E15,"PFLOPs",IF(ABS(V46)&gt;=1E12,"TFLOPs",IF(ABS(V46)&gt;=1E9,"GFLOPs",IF(ABS(V46)&gt;=1E6,"MFLOPs","flops"))))))</f>
        <v>1.059 GFLOPs</v>
      </c>
      <c r="F46" s="33" t="str">
        <f>TEXT(IF(ABS(AA46)&gt;=1E12,AA46/1E12,IF(ABS(AA46)&gt;=1E9,AA46/1E9,IF(ABS(AA46)&gt;=1E6,AA46/1E6,IF(ABS(AA46)&gt;=1E3,AA46/1E3,AA46)))),"#,##0.000")&amp;IF((IF(ABS(AA46)&gt;=1E12,"TB",IF(ABS(AA46)&gt;=1E9,"GB",IF(ABS(AA46)&gt;=1E6,"MB",IF(ABS(AA46)&gt;=1E3,"KB","bytes")))))="",""," "&amp;(IF(ABS(AA46)&gt;=1E12,"TB",IF(ABS(AA46)&gt;=1E9,"GB",IF(ABS(AA46)&gt;=1E6,"MB",IF(ABS(AA46)&gt;=1E3,"KB","bytes"))))))</f>
        <v>0.000 B</v>
      </c>
      <c r="G46" s="33" t="str">
        <f>TEXT(IF(ABS(X46)&gt;=1E12,X46/1E12,IF(ABS(X46)&gt;=1E9,X46/1E9,IF(ABS(X46)&gt;=1E6,X46/1E6,IF(ABS(X46)&gt;=1E3,X46/1E3,X46)))),"#,##0.000")&amp;IF((IF(ABS(X46)&gt;=1E12,"TB",IF(ABS(X46)&gt;=1E9,"GB",IF(ABS(X46)&gt;=1E6,"MB",IF(ABS(X46)&gt;=1E3,"KB","bytes")))))="",""," "&amp;(IF(ABS(X46)&gt;=1E12,"TB",IF(ABS(X46)&gt;=1E9,"GB",IF(ABS(X46)&gt;=1E6,"MB",IF(ABS(X46)&gt;=1E3,"KB","bytes"))))))</f>
        <v>264.765 MB</v>
      </c>
      <c r="H46" s="33" t="str">
        <f>TEXT(IF(ABS(Y46)&gt;=1E15,Y46/1E15,IF(ABS(Y46)&gt;=1E12,Y46/1E12,IF(ABS(Y46)&gt;=1E9,Y46/1E9,IF(ABS(Y46)&gt;=1E6,Y46/1E6,Y46)))),"#,##0.000")&amp;IF((IF(ABS(Y46)&gt;=1E15,"PFLOPs",IF(ABS(Y46)&gt;=1E12,"TFLOPs",IF(ABS(Y46)&gt;=1E9,"GFLOPs",IF(ABS(Y46)&gt;=1E6,"MFLOPs","flops")))))="",""," "&amp;(IF(ABS(Y46)&gt;=1E15,"PFLOPs",IF(ABS(Y46)&gt;=1E12,"TFLOPs",IF(ABS(Y46)&gt;=1E9,"GFLOPs",IF(ABS(Y46)&gt;=1E6,"MFLOPs","flops"))))))</f>
        <v>132.383 MFLOPs</v>
      </c>
      <c r="I46" s="33" t="str">
        <f>TEXT(IF(ABS(AB46)&gt;=1E12,AB46/1E12,IF(ABS(AB46)&gt;=1E9,AB46/1E9,IF(ABS(AB46)&gt;=1E6,AB46/1E6,IF(ABS(AB46)&gt;=1E3,AB46/1E3,AB46)))),"#,##0.000")&amp;IF((IF(ABS(AB46)&gt;=1E12,"TB",IF(ABS(AB46)&gt;=1E9,"GB",IF(ABS(AB46)&gt;=1E6,"MB",IF(ABS(AB46)&gt;=1E3,"KB","bytes")))))="",""," "&amp;(IF(ABS(AB46)&gt;=1E12,"TB",IF(ABS(AB46)&gt;=1E9,"GB",IF(ABS(AB46)&gt;=1E6,"MB",IF(ABS(AB46)&gt;=1E3,"KB","bytes"))))))</f>
        <v>904.960 KB</v>
      </c>
      <c r="J46" s="4" t="s">
        <v>337</v>
      </c>
      <c r="K46" s="4" t="s">
        <v>248</v>
      </c>
      <c r="L46" s="4" t="s">
        <v>338</v>
      </c>
      <c r="U46" s="32">
        <f>TP1LocalVocab*HiddenSize*FP32Bytes</f>
        <v>2118123520.0</v>
      </c>
      <c r="V46" s="32">
        <f>2*DC_Rows*HiddenSize*TP1LocalVocab</f>
        <v>1059061760.0</v>
      </c>
      <c r="W46" s="32">
        <f>(TP1LocalVocab*HiddenSize*FP32Bytes+DC_Rows*HiddenSize*FP32Bytes)+(DC_Rows*TP1LocalVocab*FP32Bytes)</f>
        <v>2118657024.0</v>
      </c>
      <c r="X46" s="32">
        <f>TP8LocalVocab*HiddenSize*FP32Bytes</f>
        <v>264765440.0</v>
      </c>
      <c r="Y46" s="32">
        <f>2*DC_Rows*HiddenSize*TP8LocalVocab</f>
        <v>132382720.0</v>
      </c>
      <c r="Z46" s="32">
        <f>(TP8LocalVocab*HiddenSize*FP32Bytes+DC_Rows*HiddenSize*FP32Bytes)+(DC_Rows*TP8LocalVocab*FP32Bytes)</f>
        <v>264846464.0</v>
      </c>
      <c r="AA46" s="32">
        <f>2*(TP1Size-1)*DC_Rows*TP1LocalVocab*FP32Bytes</f>
        <v>0.0</v>
      </c>
      <c r="AB46" s="32">
        <f>2*(TP8Size-1)*DC_Rows*TP8LocalVocab*FP32Bytes</f>
        <v>904960.0</v>
      </c>
    </row>
    <row r="48" spans="1:50" hidden="1">
      <c r="AO48" s="32">
        <f>(0)+(TotalLayers*2*(2*DC_Rows*HCSlots*HiddenSize*((2+HCSlots)*HCSlots)+DC_Rows*(2*HCSlots*HiddenSize+1)+DC_Rows*HiddenSize*(2*HCSlots-1)+DC_Rows*HCSlots*HiddenSize*(2*HCSlots+1))+2*DC_Rows*HCSlots*HiddenSize*HCSlots+DC_Rows*(2*HCSlots*HiddenSize+1)+DC_Rows*HiddenSize*(2*HCSlots-1))+(DC_Rows*TotalLayers*2*(4*HiddenSize+1)+DC_Rows*(4*HiddenSize+1))+(0)+(2*DC_Rows*HiddenSize*TP1LocalVocab)</f>
        <v>1146278062.0</v>
      </c>
      <c r="AP48" s="32">
        <f>(0)+(TotalLayers*2*(2*DC_Rows*HCSlots*HiddenSize*((2+HCSlots)*HCSlots)+DC_Rows*(2*HCSlots*HiddenSize+1)+DC_Rows*HiddenSize*(2*HCSlots-1)+DC_Rows*HCSlots*HiddenSize*(2*HCSlots+1))+2*DC_Rows*HCSlots*HiddenSize*HCSlots+DC_Rows*(2*HCSlots*HiddenSize+1)+DC_Rows*HiddenSize*(2*HCSlots-1))+(DC_Rows*TotalLayers*2*(4*HiddenSize+1)+DC_Rows*(4*HiddenSize+1))+(0)+(2*DC_Rows*HiddenSize*TP8LocalVocab)</f>
        <v>219599022.0</v>
      </c>
      <c r="AQ48" s="32">
        <f>((DC_Rows*HiddenSize*BF16Bytes)+(DC_Rows*HiddenSize*BF16Bytes))+((TotalLayers*2*((2+HCSlots)*HCSlots*HCSlots*HiddenSize*FP32Bytes+((2+HCSlots)*HCSlots+3)*FP32Bytes)+DC_Rows*TotalLayers*4*HCSlots*HiddenSize*BF16Bytes+(HCSlots*HCSlots*HiddenSize+HCSlots+1)*FP32Bytes+DC_Rows*HCSlots*HiddenSize*BF16Bytes)+(DC_Rows*TotalLayers*4*HCSlots*HiddenSize*BF16Bytes+DC_Rows*HiddenSize*BF16Bytes))+((TotalLayers*(2*HiddenSize+QLoraRank+HeadDim+TP1LocalHeads)*FP32Bytes+HiddenSize*FP32Bytes+DC_Rows*TotalLayers*2*HiddenSize*BF16Bytes+DC_Rows*HiddenSize*BF16Bytes)+(DC_Rows*TotalLayers*2*HiddenSize*BF16Bytes+DC_Rows*HiddenSize*BF16Bytes))+((0)+(0))+((TP1LocalVocab*HiddenSize*FP32Bytes+DC_Rows*HiddenSize*FP32Bytes)+(DC_Rows*TP1LocalVocab*FP32Bytes))</f>
        <v>2268650332.0</v>
      </c>
      <c r="AR48" s="32">
        <f>((DC_Rows*HiddenSize*BF16Bytes)+(DC_Rows*HiddenSize*BF16Bytes))+((TotalLayers*2*((2+HCSlots)*HCSlots*HCSlots*HiddenSize*FP32Bytes+((2+HCSlots)*HCSlots+3)*FP32Bytes)+DC_Rows*TotalLayers*4*HCSlots*HiddenSize*BF16Bytes+(HCSlots*HCSlots*HiddenSize+HCSlots+1)*FP32Bytes+DC_Rows*HCSlots*HiddenSize*BF16Bytes)+(DC_Rows*TotalLayers*4*HCSlots*HiddenSize*BF16Bytes+DC_Rows*HiddenSize*BF16Bytes))+((TotalLayers*(2*HiddenSize+QLoraRank+HeadDim+TP8LocalHeads)*FP32Bytes+HiddenSize*FP32Bytes+DC_Rows*TotalLayers*2*HiddenSize*BF16Bytes+DC_Rows*HiddenSize*BF16Bytes)+(DC_Rows*TotalLayers*2*HiddenSize*BF16Bytes+DC_Rows*HiddenSize*BF16Bytes))+((0)+(0))+((TP8LocalVocab*HiddenSize*FP32Bytes+DC_Rows*HiddenSize*FP32Bytes)+(DC_Rows*TP8LocalVocab*FP32Bytes))</f>
        <v>414830140.0</v>
      </c>
      <c r="AS48" s="32">
        <f>(4*(TP1Size-1)/TP1Size*DC_Rows*HiddenSize*BF16Bytes)+(0)+(0)+(0)+(0)+(0)+(0)+(0)+(0)+(0)+(0)+(0)+(0)+(0)+(0)+(0)+(2*(TP1Size-1)*DC_Rows*TP1LocalVocab*FP32Bytes)+(4*(TP1Size-1)/TP1Size*DC_Rows*HiddenSize*FP32Bytes*TotalLayers)+(4*(TP1Size-1)/TP1Size*DC_Rows*HiddenSize*FP32Bytes*TotalLayers)</f>
        <v>0.0</v>
      </c>
      <c r="AT48" s="32">
        <f>(4*(TP8Size-1)/TP8Size*DC_Rows*HiddenSize*BF16Bytes)+(0)+(0)+(0)+(0)+(0)+(0)+(0)+(0)+(0)+(0)+(0)+(0)+(0)+(0)+(0)+(2*(TP8Size-1)*DC_Rows*TP8LocalVocab*FP32Bytes)+(4*(TP8Size-1)/TP8Size*DC_Rows*HiddenSize*FP32Bytes*TotalLayers)+(4*(TP8Size-1)/TP8Size*DC_Rows*HiddenSize*FP32Bytes*TotalLayers)</f>
        <v>5865216.0</v>
      </c>
      <c r="AU48" s="32">
        <f>'Decode_1M'!$AF$13/'Decode_1M'!$AG$13</f>
        <v>8.07203011128405</v>
      </c>
      <c r="AV48" s="32">
        <f>'Decode_1M'!$AI$13/'Decode_1M'!$AJ$13</f>
        <v>3.889124837588285</v>
      </c>
      <c r="AW48" s="32">
        <f>'Decode_1M'!$AG$13/(DecodeTargetMs/1000)/1E9</f>
        <v>1738.7912356</v>
      </c>
      <c r="AX48" s="32">
        <f>'Decode_1M'!$AJ$13/(DecodeTargetMs/1000)/1E9</f>
        <v>605.5268244</v>
      </c>
    </row>
    <row r="49" spans="51:54" hidden="1">
      <c r="AY49" s="32">
        <f>(TotalLayers*(HiddenSize*QLoraRank+QLoraRank*TP1LocalHeads*HeadDim+HiddenSize*HeadDim+TP1LocalHeads*HeadDim*OLoraRank+TP1LocalOGroups*OLoraRank*HiddenSize))+(ShortLayers*(2*HiddenSize*(2*HeadDim)+ShortRatio*2*HeadDim+HeadDim))+(LongLayers*(2*HiddenSize*HeadDim+LongRatio*HeadDim+HeadDim))+(ShortLayers*(QLoraRank*TP1LocalIndexHeads*IndexHeadDim+HiddenSize*TP1LocalIndexHeads))+(ShortLayers*(2*HiddenSize*(2*IndexHeadDim)+ShortRatio*2*IndexHeadDim+IndexHeadDim))</f>
        <v>5086249088.0</v>
      </c>
      <c r="AZ49" s="32">
        <f>(TotalLayers*(HiddenSize*QLoraRank+QLoraRank*TP8LocalHeads*HeadDim+HiddenSize*HeadDim+TP8LocalHeads*HeadDim*OLoraRank+TP8LocalOGroups*OLoraRank*HiddenSize))+(ShortLayers*(2*HiddenSize*(2*HeadDim)+ShortRatio*2*HeadDim+HeadDim))+(LongLayers*(2*HiddenSize*HeadDim+LongRatio*HeadDim+HeadDim))+(ShortLayers*(QLoraRank*TP8LocalIndexHeads*IndexHeadDim+HiddenSize*TP8LocalIndexHeads))+(ShortLayers*(2*HiddenSize*(2*IndexHeadDim)+ShortRatio*2*IndexHeadDim+IndexHeadDim))</f>
        <v>1139835008.0</v>
      </c>
      <c r="BA49" s="32">
        <f>(TotalLayers*(((HiddenSize)*(QLoraRank)*FP8Bytes+ROUNDUP((HiddenSize)/FP8Block,0)*ROUNDUP((QLoraRank)/FP8Block,0)*ScaleBytes)+((QLoraRank)*(TP1LocalHeads*HeadDim)*FP8Bytes+ROUNDUP((QLoraRank)/FP8Block,0)*ROUNDUP((TP1LocalHeads*HeadDim)/FP8Block,0)*ScaleBytes)+((HiddenSize)*(HeadDim)*FP8Bytes+ROUNDUP((HiddenSize)/FP8Block,0)*ROUNDUP((HeadDim)/FP8Block,0)*ScaleBytes)+TP1LocalHeads*HeadDim*OLoraRank*BF16Bytes+((TP1LocalOGroups*OLoraRank)*(HiddenSize)*FP8Bytes+ROUNDUP((TP1LocalOGroups*OLoraRank)/FP8Block,0)*ROUNDUP((HiddenSize)/FP8Block,0)*ScaleBytes)))+(ShortLayers*(2*HiddenSize*(2*HeadDim)*FP32Bytes+ShortRatio*2*HeadDim*FP32Bytes+HeadDim*FP32Bytes))+(LongLayers*(2*HiddenSize*HeadDim*FP32Bytes+LongRatio*HeadDim*FP32Bytes+HeadDim*FP32Bytes))+(ShortLayers*(((QLoraRank)*(TP1LocalIndexHeads*IndexHeadDim)*FP8Bytes+ROUNDUP((QLoraRank)/FP8Block,0)*ROUNDUP((TP1LocalIndexHeads*IndexHeadDim)/FP8Block,0)*ScaleBytes)+HiddenSize*TP1LocalIndexHeads*BF16Bytes))+(ShortLayers*(2*HiddenSize*(2*IndexHeadDim)*FP32Bytes+ShortRatio*2*IndexHeadDim*FP32Bytes+IndexHeadDim*FP32Bytes))</f>
        <v>7451384960</v>
      </c>
      <c r="BB49" s="32">
        <f>(TotalLayers*(((HiddenSize)*(QLoraRank)*FP8Bytes+ROUNDUP((HiddenSize)/FP8Block,0)*ROUNDUP((QLoraRank)/FP8Block,0)*ScaleBytes)+((QLoraRank)*(TP8LocalHeads*HeadDim)*FP8Bytes+ROUNDUP((QLoraRank)/FP8Block,0)*ROUNDUP((TP8LocalHeads*HeadDim)/FP8Block,0)*ScaleBytes)+((HiddenSize)*(HeadDim)*FP8Bytes+ROUNDUP((HiddenSize)/FP8Block,0)*ROUNDUP((HeadDim)/FP8Block,0)*ScaleBytes)+TP8LocalHeads*HeadDim*OLoraRank*BF16Bytes+((TP8LocalOGroups*OLoraRank)*(HiddenSize)*FP8Bytes+ROUNDUP((TP8LocalOGroups*OLoraRank)/FP8Block,0)*ROUNDUP((HiddenSize)/FP8Block,0)*ScaleBytes)))+(ShortLayers*(2*HiddenSize*(2*HeadDim)*FP32Bytes+ShortRatio*2*HeadDim*FP32Bytes+HeadDim*FP32Bytes))+(LongLayers*(2*HiddenSize*HeadDim*FP32Bytes+LongRatio*HeadDim*FP32Bytes+HeadDim*FP32Bytes))+(ShortLayers*(((QLoraRank)*(TP8LocalIndexHeads*IndexHeadDim)*FP8Bytes+ROUNDUP((QLoraRank)/FP8Block,0)*ROUNDUP((TP8LocalIndexHeads*IndexHeadDim)/FP8Block,0)*ScaleBytes)+HiddenSize*TP8LocalIndexHeads*BF16Bytes))+(ShortLayers*(2*HiddenSize*(2*IndexHeadDim)*FP32Bytes+ShortRatio*2*IndexHeadDim*FP32Bytes+IndexHeadDim*FP32Bytes))</f>
        <v>2237504960</v>
      </c>
    </row>
    <row r="50" spans="51:54">
      <c r="AY50" s="32">
        <f>(TotalLayers*TP1LocalExperts*3*HiddenSize*ExpertInter)+(TotalLayers*SharedExperts*3*HiddenSize*ExpertInter)+(TotalLayers*RoutedExperts*HiddenSize+(TotalLayers-ActiveHashLayers)*RoutedExperts+ActiveHashLayers*VocabSize*ActivatedExperts)</f>
        <v>278154947072.0</v>
      </c>
      <c r="AZ50" s="32">
        <f>(TotalLayers*TP8LocalExperts*3*HiddenSize*ExpertInter)+(TotalLayers*SharedExperts*3*HiddenSize*ExpertInter)+(TotalLayers*RoutedExperts*HiddenSize+(TotalLayers-ActiveHashLayers)*RoutedExperts+ActiveHashLayers*VocabSize*ActivatedExperts)</f>
        <v>35757730304.0</v>
      </c>
      <c r="BA50" s="32">
        <f>(TotalLayers*TP1LocalExperts*(3*HiddenSize*ExpertInter*FP4Bytes+3*HiddenSize*ExpertInter/FP4Block*ScaleBytes))+(TotalLayers*SharedExperts*(2*((HiddenSize)*(ExpertInter)*FP8Bytes+ROUNDUP((HiddenSize)/FP8Block,0)*ROUNDUP((ExpertInter)/FP8Block,0)*ScaleBytes)+((ExpertInter)*(HiddenSize)*FP8Bytes+ROUNDUP((ExpertInter)/FP8Block,0)*ROUNDUP((HiddenSize)/FP8Block,0)*ScaleBytes)))+(TotalLayers*RoutedExperts*HiddenSize*BF16Bytes+(TotalLayers-ActiveHashLayers)*RoutedExperts*FP32Bytes+ActiveHashLayers*VocabSize*ActivatedExperts*INT32Bytes)</f>
        <v>148351461888.0</v>
      </c>
      <c r="BB50" s="32">
        <f>(TotalLayers*TP8LocalExperts*(3*HiddenSize*ExpertInter*FP4Bytes+3*HiddenSize*ExpertInter/FP4Block*ScaleBytes))+(TotalLayers*SharedExperts*(2*((HiddenSize)*(ExpertInter)*FP8Bytes+ROUNDUP((HiddenSize)/FP8Block,0)*ROUNDUP((ExpertInter)/FP8Block,0)*ScaleBytes)+((ExpertInter)*(HiddenSize)*FP8Bytes+ROUNDUP((ExpertInter)/FP8Block,0)*ROUNDUP((HiddenSize)/FP8Block,0)*ScaleBytes)))+(TotalLayers*RoutedExperts*HiddenSize*BF16Bytes+(TotalLayers-ActiveHashLayers)*RoutedExperts*FP32Bytes+ActiveHashLayers*VocabSize*ActivatedExperts*INT32Bytes)</f>
        <v>19577940480.0</v>
      </c>
    </row>
    <row r="51" spans="51:54">
      <c r="AY51" s="32">
        <f>(TP1LocalVocab*HiddenSize)+(TP1LocalVocab*HiddenSize)+(TotalLayers*2*(((2+HCSlots)*HCSlots)*HCSlots*HiddenSize+((2+HCSlots)*HCSlots)+3))+(TotalLayers*(2*HiddenSize+QLoraRank+HeadDim+TP1LocalHeads))+(HCSlots*HCSlots*HiddenSize+HCSlots+1)+(HiddenSize)</f>
        <v>1093371351.0</v>
      </c>
      <c r="AZ51" s="32">
        <f>(TP8LocalVocab*HiddenSize)+(TP8LocalVocab*HiddenSize)+(TotalLayers*2*(((2+HCSlots)*HCSlots)*HCSlots*HiddenSize+((2+HCSlots)*HCSlots)+3))+(TotalLayers*(2*HiddenSize+QLoraRank+HeadDim+TP8LocalHeads))+(HCSlots*HCSlots*HiddenSize+HCSlots+1)+(HiddenSize)</f>
        <v>166689903.0</v>
      </c>
      <c r="BA51" s="32">
        <f>(TP1LocalVocab*HiddenSize*BF16Bytes)+(TP1LocalVocab*HiddenSize*FP32Bytes)+((TotalLayers*2*(((2+HCSlots)*HCSlots)*HCSlots*HiddenSize+((2+HCSlots)*HCSlots)+3))*FP32Bytes)+((TotalLayers*(2*HiddenSize+QLoraRank+HeadDim+TP1LocalHeads))*FP32Bytes)+((HCSlots*HCSlots*HiddenSize+HCSlots+1)*FP32Bytes)+((HiddenSize)*FP32Bytes)</f>
        <v>3314423644.0</v>
      </c>
      <c r="BB51" s="32">
        <f>(TP8LocalVocab*HiddenSize*BF16Bytes)+(TP8LocalVocab*HiddenSize*FP32Bytes)+((TotalLayers*2*(((2+HCSlots)*HCSlots)*HCSlots*HiddenSize+((2+HCSlots)*HCSlots)+3))*FP32Bytes)+((TotalLayers*(2*HiddenSize+QLoraRank+HeadDim+TP8LocalHeads))*FP32Bytes)+((HCSlots*HCSlots*HiddenSize+HCSlots+1)*FP32Bytes)+((HiddenSize)*FP32Bytes)</f>
        <v>534376892.0</v>
      </c>
    </row>
    <row r="52" spans="51:54">
      <c r="AY52" s="32">
        <f>(TotalLayers*(HiddenSize*QLoraRank+QLoraRank*TP1LocalHeads*HeadDim+HiddenSize*HeadDim+TP1LocalHeads*HeadDim*OLoraRank+TP1LocalOGroups*OLoraRank*HiddenSize))+(ShortLayers*(2*HiddenSize*(2*HeadDim)+ShortRatio*2*HeadDim+HeadDim))+(LongLayers*(2*HiddenSize*HeadDim+LongRatio*HeadDim+HeadDim))+(ShortLayers*(QLoraRank*TP1LocalIndexHeads*IndexHeadDim+HiddenSize*TP1LocalIndexHeads))+(ShortLayers*(2*HiddenSize*(2*IndexHeadDim)+ShortRatio*2*IndexHeadDim+IndexHeadDim))+(TotalLayers*TP1LocalExperts*3*HiddenSize*ExpertInter)+(TotalLayers*SharedExperts*3*HiddenSize*ExpertInter)+(TotalLayers*RoutedExperts*HiddenSize+(TotalLayers-ActiveHashLayers)*RoutedExperts+ActiveHashLayers*VocabSize*ActivatedExperts)+(TP1LocalVocab*HiddenSize)+(TP1LocalVocab*HiddenSize)+(TotalLayers*2*(((2+HCSlots)*HCSlots)*HCSlots*HiddenSize+((2+HCSlots)*HCSlots)+3))+(TotalLayers*(2*HiddenSize+QLoraRank+HeadDim+TP1LocalHeads))+(HCSlots*HCSlots*HiddenSize+HCSlots+1)+(HiddenSize)</f>
        <v>284334567511.0</v>
      </c>
      <c r="AZ52" s="32">
        <f>(TotalLayers*(HiddenSize*QLoraRank+QLoraRank*TP8LocalHeads*HeadDim+HiddenSize*HeadDim+TP8LocalHeads*HeadDim*OLoraRank+TP8LocalOGroups*OLoraRank*HiddenSize))+(ShortLayers*(2*HiddenSize*(2*HeadDim)+ShortRatio*2*HeadDim+HeadDim))+(LongLayers*(2*HiddenSize*HeadDim+LongRatio*HeadDim+HeadDim))+(ShortLayers*(QLoraRank*TP8LocalIndexHeads*IndexHeadDim+HiddenSize*TP8LocalIndexHeads))+(ShortLayers*(2*HiddenSize*(2*IndexHeadDim)+ShortRatio*2*IndexHeadDim+IndexHeadDim))+(TotalLayers*TP8LocalExperts*3*HiddenSize*ExpertInter)+(TotalLayers*SharedExperts*3*HiddenSize*ExpertInter)+(TotalLayers*RoutedExperts*HiddenSize+(TotalLayers-ActiveHashLayers)*RoutedExperts+ActiveHashLayers*VocabSize*ActivatedExperts)+(TP8LocalVocab*HiddenSize)+(TP8LocalVocab*HiddenSize)+(TotalLayers*2*(((2+HCSlots)*HCSlots)*HCSlots*HiddenSize+((2+HCSlots)*HCSlots)+3))+(TotalLayers*(2*HiddenSize+QLoraRank+HeadDim+TP8LocalHeads))+(HCSlots*HCSlots*HiddenSize+HCSlots+1)+(HiddenSize)</f>
        <v>37064255215.0</v>
      </c>
      <c r="BA52" s="32">
        <f>(TotalLayers*(((HiddenSize)*(QLoraRank)*FP8Bytes+ROUNDUP((HiddenSize)/FP8Block,0)*ROUNDUP((QLoraRank)/FP8Block,0)*ScaleBytes)+((QLoraRank)*(TP1LocalHeads*HeadDim)*FP8Bytes+ROUNDUP((QLoraRank)/FP8Block,0)*ROUNDUP((TP1LocalHeads*HeadDim)/FP8Block,0)*ScaleBytes)+((HiddenSize)*(HeadDim)*FP8Bytes+ROUNDUP((HiddenSize)/FP8Block,0)*ROUNDUP((HeadDim)/FP8Block,0)*ScaleBytes)+TP1LocalHeads*HeadDim*OLoraRank*BF16Bytes+((TP1LocalOGroups*OLoraRank)*(HiddenSize)*FP8Bytes+ROUNDUP((TP1LocalOGroups*OLoraRank)/FP8Block,0)*ROUNDUP((HiddenSize)/FP8Block,0)*ScaleBytes)))+(ShortLayers*(2*HiddenSize*(2*HeadDim)*FP32Bytes+ShortRatio*2*HeadDim*FP32Bytes+HeadDim*FP32Bytes))+(LongLayers*(2*HiddenSize*HeadDim*FP32Bytes+LongRatio*HeadDim*FP32Bytes+HeadDim*FP32Bytes))+(ShortLayers*(((QLoraRank)*(TP1LocalIndexHeads*IndexHeadDim)*FP8Bytes+ROUNDUP((QLoraRank)/FP8Block,0)*ROUNDUP((TP1LocalIndexHeads*IndexHeadDim)/FP8Block,0)*ScaleBytes)+HiddenSize*TP1LocalIndexHeads*BF16Bytes))+(ShortLayers*(2*HiddenSize*(2*IndexHeadDim)*FP32Bytes+ShortRatio*2*IndexHeadDim*FP32Bytes+IndexHeadDim*FP32Bytes))+(TotalLayers*TP1LocalExperts*(3*HiddenSize*ExpertInter*FP4Bytes+3*HiddenSize*ExpertInter/FP4Block*ScaleBytes))+(TotalLayers*SharedExperts*(2*((HiddenSize)*(ExpertInter)*FP8Bytes+ROUNDUP((HiddenSize)/FP8Block,0)*ROUNDUP((ExpertInter)/FP8Block,0)*ScaleBytes)+((ExpertInter)*(HiddenSize)*FP8Bytes+ROUNDUP((ExpertInter)/FP8Block,0)*ROUNDUP((HiddenSize)/FP8Block,0)*ScaleBytes)))+(TotalLayers*RoutedExperts*HiddenSize*BF16Bytes+(TotalLayers-ActiveHashLayers)*RoutedExperts*FP32Bytes+ActiveHashLayers*VocabSize*ActivatedExperts*INT32Bytes)+(TP1LocalVocab*HiddenSize*BF16Bytes)+(TP1LocalVocab*HiddenSize*FP32Bytes)+((TotalLayers*2*(((2+HCSlots)*HCSlots)*HCSlots*HiddenSize+((2+HCSlots)*HCSlots)+3))*FP32Bytes)+((TotalLayers*(2*HiddenSize+QLoraRank+HeadDim+TP1LocalHeads))*FP32Bytes)+((HCSlots*HCSlots*HiddenSize+HCSlots+1)*FP32Bytes)+((HiddenSize)*FP32Bytes)</f>
        <v>159117270492.0</v>
      </c>
      <c r="BB52" s="32">
        <f>(TotalLayers*(((HiddenSize)*(QLoraRank)*FP8Bytes+ROUNDUP((HiddenSize)/FP8Block,0)*ROUNDUP((QLoraRank)/FP8Block,0)*ScaleBytes)+((QLoraRank)*(TP8LocalHeads*HeadDim)*FP8Bytes+ROUNDUP((QLoraRank)/FP8Block,0)*ROUNDUP((TP8LocalHeads*HeadDim)/FP8Block,0)*ScaleBytes)+((HiddenSize)*(HeadDim)*FP8Bytes+ROUNDUP((HiddenSize)/FP8Block,0)*ROUNDUP((HeadDim)/FP8Block,0)*ScaleBytes)+TP8LocalHeads*HeadDim*OLoraRank*BF16Bytes+((TP8LocalOGroups*OLoraRank)*(HiddenSize)*FP8Bytes+ROUNDUP((TP8LocalOGroups*OLoraRank)/FP8Block,0)*ROUNDUP((HiddenSize)/FP8Block,0)*ScaleBytes)))+(ShortLayers*(2*HiddenSize*(2*HeadDim)*FP32Bytes+ShortRatio*2*HeadDim*FP32Bytes+HeadDim*FP32Bytes))+(LongLayers*(2*HiddenSize*HeadDim*FP32Bytes+LongRatio*HeadDim*FP32Bytes+HeadDim*FP32Bytes))+(ShortLayers*(((QLoraRank)*(TP8LocalIndexHeads*IndexHeadDim)*FP8Bytes+ROUNDUP((QLoraRank)/FP8Block,0)*ROUNDUP((TP8LocalIndexHeads*IndexHeadDim)/FP8Block,0)*ScaleBytes)+HiddenSize*TP8LocalIndexHeads*BF16Bytes))+(ShortLayers*(2*HiddenSize*(2*IndexHeadDim)*FP32Bytes+ShortRatio*2*IndexHeadDim*FP32Bytes+IndexHeadDim*FP32Bytes))+(TotalLayers*TP8LocalExperts*(3*HiddenSize*ExpertInter*FP4Bytes+3*HiddenSize*ExpertInter/FP4Block*ScaleBytes))+(TotalLayers*SharedExperts*(2*((HiddenSize)*(ExpertInter)*FP8Bytes+ROUNDUP((HiddenSize)/FP8Block,0)*ROUNDUP((ExpertInter)/FP8Block,0)*ScaleBytes)+((ExpertInter)*(HiddenSize)*FP8Bytes+ROUNDUP((ExpertInter)/FP8Block,0)*ROUNDUP((HiddenSize)/FP8Block,0)*ScaleBytes)))+(TotalLayers*RoutedExperts*HiddenSize*BF16Bytes+(TotalLayers-ActiveHashLayers)*RoutedExperts*FP32Bytes+ActiveHashLayers*VocabSize*ActivatedExperts*INT32Bytes)+(TP8LocalVocab*HiddenSize*BF16Bytes)+(TP8LocalVocab*HiddenSize*FP32Bytes)+((TotalLayers*2*(((2+HCSlots)*HCSlots)*HCSlots*HiddenSize+((2+HCSlots)*HCSlots)+3))*FP32Bytes)+((TotalLayers*(2*HiddenSize+QLoraRank+HeadDim+TP8LocalHeads))*FP32Bytes)+((HCSlots*HCSlots*HiddenSize+HCSlots+1)*FP32Bytes)+((HiddenSize)*FP32Bytes)</f>
        <v>22349822332.0</v>
      </c>
    </row>
  </sheetData>
  <mergeCells count="2">
    <mergeCell ref="A11:J11"/>
    <mergeCell ref="A22:L22"/>
  </mergeCells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I66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20.7109375" customWidth="1"/>
    <col min="2" max="2" width="34.7109375" customWidth="1"/>
    <col min="3" max="3" width="20.7109375" customWidth="1"/>
    <col min="4" max="4" width="28.7109375" customWidth="1"/>
    <col min="5" max="9" width="24.7109375" customWidth="1"/>
  </cols>
  <sheetData>
    <row r="1" spans="1:5">
      <c r="A1" s="1" t="s">
        <v>356</v>
      </c>
    </row>
    <row r="2" spans="1:5">
      <c r="A2" s="2" t="s">
        <v>357</v>
      </c>
    </row>
    <row r="4" spans="1:5">
      <c r="A4" s="30" t="s">
        <v>358</v>
      </c>
      <c r="B4" s="30"/>
      <c r="C4" s="30"/>
      <c r="D4" s="30"/>
      <c r="E4" s="30"/>
    </row>
    <row r="5" spans="1:5">
      <c r="A5" t="s">
        <v>359</v>
      </c>
      <c r="B5" t="s">
        <v>360</v>
      </c>
      <c r="C5" t="s">
        <v>361</v>
      </c>
      <c r="D5" t="s">
        <v>362</v>
      </c>
      <c r="E5" t="s">
        <v>363</v>
      </c>
    </row>
    <row r="6" spans="1:5">
      <c r="A6" s="4" t="s">
        <v>364</v>
      </c>
      <c r="B6" s="4" t="s">
        <v>365</v>
      </c>
      <c r="C6" s="4" t="s">
        <v>243</v>
      </c>
      <c r="D6" s="4" t="s">
        <v>243</v>
      </c>
      <c r="E6" s="4" t="s">
        <v>366</v>
      </c>
    </row>
    <row r="7" spans="1:5">
      <c r="A7" s="4" t="s">
        <v>364</v>
      </c>
      <c r="B7" s="4" t="s">
        <v>367</v>
      </c>
      <c r="C7" s="4" t="s">
        <v>368</v>
      </c>
      <c r="D7" s="4" t="s">
        <v>369</v>
      </c>
      <c r="E7" s="4" t="s">
        <v>370</v>
      </c>
    </row>
    <row r="8" spans="1:5">
      <c r="A8" s="4" t="s">
        <v>371</v>
      </c>
      <c r="B8" s="4" t="s">
        <v>372</v>
      </c>
      <c r="C8" s="4" t="s">
        <v>368</v>
      </c>
      <c r="D8" s="4" t="s">
        <v>373</v>
      </c>
      <c r="E8" s="4" t="s">
        <v>374</v>
      </c>
    </row>
    <row r="9" spans="1:5">
      <c r="A9" s="4" t="s">
        <v>371</v>
      </c>
      <c r="B9" s="4" t="s">
        <v>375</v>
      </c>
      <c r="C9" s="4" t="s">
        <v>243</v>
      </c>
      <c r="D9" s="4" t="s">
        <v>376</v>
      </c>
      <c r="E9" s="4" t="s">
        <v>377</v>
      </c>
    </row>
    <row r="10" spans="1:5">
      <c r="A10" s="4" t="s">
        <v>371</v>
      </c>
      <c r="B10" s="4" t="s">
        <v>378</v>
      </c>
      <c r="C10" s="4" t="s">
        <v>379</v>
      </c>
      <c r="D10" s="4" t="s">
        <v>380</v>
      </c>
      <c r="E10" s="4" t="s">
        <v>381</v>
      </c>
    </row>
    <row r="11" spans="1:5">
      <c r="A11" s="4" t="s">
        <v>382</v>
      </c>
      <c r="B11" s="4" t="s">
        <v>383</v>
      </c>
      <c r="C11" s="4" t="s">
        <v>384</v>
      </c>
      <c r="D11" s="4" t="s">
        <v>385</v>
      </c>
      <c r="E11" s="4" t="s">
        <v>386</v>
      </c>
    </row>
    <row r="12" spans="1:5">
      <c r="A12" s="4" t="s">
        <v>387</v>
      </c>
      <c r="B12" s="4" t="s">
        <v>388</v>
      </c>
      <c r="C12" s="4" t="s">
        <v>389</v>
      </c>
      <c r="D12" s="4" t="s">
        <v>390</v>
      </c>
      <c r="E12" s="4" t="s">
        <v>391</v>
      </c>
    </row>
    <row r="13" spans="1:5">
      <c r="A13" s="4" t="s">
        <v>371</v>
      </c>
      <c r="B13" s="4" t="s">
        <v>392</v>
      </c>
      <c r="C13" s="4" t="s">
        <v>393</v>
      </c>
      <c r="D13" s="4" t="s">
        <v>394</v>
      </c>
      <c r="E13" s="4" t="s">
        <v>395</v>
      </c>
    </row>
    <row r="14" spans="1:5">
      <c r="A14" s="4" t="s">
        <v>371</v>
      </c>
      <c r="B14" s="4" t="s">
        <v>396</v>
      </c>
      <c r="C14" s="4" t="s">
        <v>368</v>
      </c>
      <c r="D14" s="4" t="s">
        <v>397</v>
      </c>
      <c r="E14" s="4" t="s">
        <v>398</v>
      </c>
    </row>
    <row r="15" spans="1:5">
      <c r="A15" s="4" t="s">
        <v>371</v>
      </c>
      <c r="B15" s="4" t="s">
        <v>399</v>
      </c>
      <c r="C15" s="4" t="s">
        <v>400</v>
      </c>
      <c r="D15" s="4" t="s">
        <v>247</v>
      </c>
      <c r="E15" s="4" t="s">
        <v>401</v>
      </c>
    </row>
    <row r="16" spans="1:5">
      <c r="A16" s="4" t="s">
        <v>402</v>
      </c>
      <c r="B16" s="4" t="s">
        <v>403</v>
      </c>
      <c r="C16" s="4" t="s">
        <v>404</v>
      </c>
      <c r="D16" s="4" t="s">
        <v>405</v>
      </c>
      <c r="E16" s="4" t="s">
        <v>406</v>
      </c>
    </row>
    <row r="17" spans="1:9">
      <c r="A17" s="4" t="s">
        <v>371</v>
      </c>
      <c r="B17" s="4" t="s">
        <v>407</v>
      </c>
      <c r="C17" s="4" t="s">
        <v>247</v>
      </c>
      <c r="D17" s="4" t="s">
        <v>247</v>
      </c>
      <c r="E17" s="4" t="s">
        <v>408</v>
      </c>
    </row>
    <row r="18" spans="1:9">
      <c r="A18" s="4" t="s">
        <v>371</v>
      </c>
      <c r="B18" s="4" t="s">
        <v>409</v>
      </c>
      <c r="C18" s="4" t="s">
        <v>243</v>
      </c>
      <c r="D18" s="4" t="s">
        <v>410</v>
      </c>
      <c r="E18" s="4" t="s">
        <v>411</v>
      </c>
    </row>
    <row r="19" spans="1:9">
      <c r="A19" s="4" t="s">
        <v>412</v>
      </c>
      <c r="B19" s="4" t="s">
        <v>413</v>
      </c>
      <c r="C19" s="4" t="s">
        <v>414</v>
      </c>
      <c r="D19" s="4" t="s">
        <v>380</v>
      </c>
      <c r="E19" s="4" t="s">
        <v>415</v>
      </c>
    </row>
    <row r="20" spans="1:9">
      <c r="A20" s="4" t="s">
        <v>412</v>
      </c>
      <c r="B20" s="4" t="s">
        <v>416</v>
      </c>
      <c r="C20" s="4" t="s">
        <v>417</v>
      </c>
      <c r="D20" s="4" t="s">
        <v>418</v>
      </c>
      <c r="E20" s="4" t="s">
        <v>419</v>
      </c>
    </row>
    <row r="22" spans="1:9">
      <c r="A22" s="30" t="s">
        <v>420</v>
      </c>
      <c r="B22" s="30"/>
      <c r="C22" s="30"/>
      <c r="D22" s="30"/>
      <c r="E22" s="30"/>
      <c r="F22" s="30"/>
      <c r="G22" s="30"/>
      <c r="H22" s="30"/>
      <c r="I22" s="30"/>
    </row>
    <row r="23" spans="1:9">
      <c r="A23" t="s">
        <v>421</v>
      </c>
      <c r="B23" t="s">
        <v>422</v>
      </c>
      <c r="C23" t="s">
        <v>423</v>
      </c>
      <c r="D23" t="s">
        <v>424</v>
      </c>
      <c r="E23" t="s">
        <v>425</v>
      </c>
      <c r="F23" t="s">
        <v>426</v>
      </c>
      <c r="G23" t="s">
        <v>60</v>
      </c>
      <c r="H23" t="s">
        <v>66</v>
      </c>
      <c r="I23" t="s">
        <v>427</v>
      </c>
    </row>
    <row r="24" spans="1:9">
      <c r="A24" s="4">
        <v>0</v>
      </c>
      <c r="B24" s="4" t="s">
        <v>428</v>
      </c>
      <c r="C24" s="4">
        <v>0</v>
      </c>
      <c r="D24" s="4" t="s">
        <v>429</v>
      </c>
      <c r="E24" s="4" t="s">
        <v>243</v>
      </c>
      <c r="F24" s="4" t="s">
        <v>430</v>
      </c>
      <c r="G24" s="4" t="s">
        <v>431</v>
      </c>
      <c r="H24" s="4" t="s">
        <v>432</v>
      </c>
      <c r="I24" s="4" t="s">
        <v>247</v>
      </c>
    </row>
    <row r="25" spans="1:9">
      <c r="A25" s="4">
        <v>1</v>
      </c>
      <c r="B25" s="4" t="s">
        <v>428</v>
      </c>
      <c r="C25" s="4">
        <v>0</v>
      </c>
      <c r="D25" s="4" t="s">
        <v>429</v>
      </c>
      <c r="E25" s="4" t="s">
        <v>243</v>
      </c>
      <c r="F25" s="4" t="s">
        <v>430</v>
      </c>
      <c r="G25" s="4" t="s">
        <v>431</v>
      </c>
      <c r="H25" s="4" t="s">
        <v>432</v>
      </c>
      <c r="I25" s="4" t="s">
        <v>247</v>
      </c>
    </row>
    <row r="26" spans="1:9">
      <c r="A26" s="4">
        <v>2</v>
      </c>
      <c r="B26" s="4" t="s">
        <v>433</v>
      </c>
      <c r="C26" s="4">
        <v>4</v>
      </c>
      <c r="D26" s="4" t="s">
        <v>429</v>
      </c>
      <c r="E26" s="4" t="s">
        <v>243</v>
      </c>
      <c r="F26" s="4" t="s">
        <v>430</v>
      </c>
      <c r="G26" s="4" t="s">
        <v>431</v>
      </c>
      <c r="H26" s="4" t="s">
        <v>432</v>
      </c>
      <c r="I26" s="4" t="s">
        <v>247</v>
      </c>
    </row>
    <row r="27" spans="1:9">
      <c r="A27" s="4">
        <v>3</v>
      </c>
      <c r="B27" s="4" t="s">
        <v>434</v>
      </c>
      <c r="C27" s="4">
        <v>128</v>
      </c>
      <c r="D27" s="4" t="s">
        <v>435</v>
      </c>
      <c r="E27" s="4" t="s">
        <v>243</v>
      </c>
      <c r="F27" s="4" t="s">
        <v>430</v>
      </c>
      <c r="G27" s="4" t="s">
        <v>431</v>
      </c>
      <c r="H27" s="4" t="s">
        <v>432</v>
      </c>
      <c r="I27" s="4" t="s">
        <v>247</v>
      </c>
    </row>
    <row r="28" spans="1:9">
      <c r="A28" s="4">
        <v>4</v>
      </c>
      <c r="B28" s="4" t="s">
        <v>433</v>
      </c>
      <c r="C28" s="4">
        <v>4</v>
      </c>
      <c r="D28" s="4" t="s">
        <v>435</v>
      </c>
      <c r="E28" s="4" t="s">
        <v>243</v>
      </c>
      <c r="F28" s="4" t="s">
        <v>430</v>
      </c>
      <c r="G28" s="4" t="s">
        <v>431</v>
      </c>
      <c r="H28" s="4" t="s">
        <v>432</v>
      </c>
      <c r="I28" s="4" t="s">
        <v>247</v>
      </c>
    </row>
    <row r="29" spans="1:9">
      <c r="A29" s="4">
        <v>5</v>
      </c>
      <c r="B29" s="4" t="s">
        <v>434</v>
      </c>
      <c r="C29" s="4">
        <v>128</v>
      </c>
      <c r="D29" s="4" t="s">
        <v>435</v>
      </c>
      <c r="E29" s="4" t="s">
        <v>243</v>
      </c>
      <c r="F29" s="4" t="s">
        <v>430</v>
      </c>
      <c r="G29" s="4" t="s">
        <v>431</v>
      </c>
      <c r="H29" s="4" t="s">
        <v>432</v>
      </c>
      <c r="I29" s="4" t="s">
        <v>247</v>
      </c>
    </row>
    <row r="30" spans="1:9">
      <c r="A30" s="4">
        <v>6</v>
      </c>
      <c r="B30" s="4" t="s">
        <v>433</v>
      </c>
      <c r="C30" s="4">
        <v>4</v>
      </c>
      <c r="D30" s="4" t="s">
        <v>435</v>
      </c>
      <c r="E30" s="4" t="s">
        <v>243</v>
      </c>
      <c r="F30" s="4" t="s">
        <v>430</v>
      </c>
      <c r="G30" s="4" t="s">
        <v>431</v>
      </c>
      <c r="H30" s="4" t="s">
        <v>432</v>
      </c>
      <c r="I30" s="4" t="s">
        <v>247</v>
      </c>
    </row>
    <row r="31" spans="1:9">
      <c r="A31" s="4">
        <v>7</v>
      </c>
      <c r="B31" s="4" t="s">
        <v>434</v>
      </c>
      <c r="C31" s="4">
        <v>128</v>
      </c>
      <c r="D31" s="4" t="s">
        <v>435</v>
      </c>
      <c r="E31" s="4" t="s">
        <v>243</v>
      </c>
      <c r="F31" s="4" t="s">
        <v>430</v>
      </c>
      <c r="G31" s="4" t="s">
        <v>431</v>
      </c>
      <c r="H31" s="4" t="s">
        <v>432</v>
      </c>
      <c r="I31" s="4" t="s">
        <v>247</v>
      </c>
    </row>
    <row r="32" spans="1:9">
      <c r="A32" s="4">
        <v>8</v>
      </c>
      <c r="B32" s="4" t="s">
        <v>433</v>
      </c>
      <c r="C32" s="4">
        <v>4</v>
      </c>
      <c r="D32" s="4" t="s">
        <v>435</v>
      </c>
      <c r="E32" s="4" t="s">
        <v>243</v>
      </c>
      <c r="F32" s="4" t="s">
        <v>430</v>
      </c>
      <c r="G32" s="4" t="s">
        <v>431</v>
      </c>
      <c r="H32" s="4" t="s">
        <v>432</v>
      </c>
      <c r="I32" s="4" t="s">
        <v>247</v>
      </c>
    </row>
    <row r="33" spans="1:9">
      <c r="A33" s="4">
        <v>9</v>
      </c>
      <c r="B33" s="4" t="s">
        <v>434</v>
      </c>
      <c r="C33" s="4">
        <v>128</v>
      </c>
      <c r="D33" s="4" t="s">
        <v>435</v>
      </c>
      <c r="E33" s="4" t="s">
        <v>243</v>
      </c>
      <c r="F33" s="4" t="s">
        <v>430</v>
      </c>
      <c r="G33" s="4" t="s">
        <v>431</v>
      </c>
      <c r="H33" s="4" t="s">
        <v>432</v>
      </c>
      <c r="I33" s="4" t="s">
        <v>247</v>
      </c>
    </row>
    <row r="34" spans="1:9">
      <c r="A34" s="4">
        <v>10</v>
      </c>
      <c r="B34" s="4" t="s">
        <v>433</v>
      </c>
      <c r="C34" s="4">
        <v>4</v>
      </c>
      <c r="D34" s="4" t="s">
        <v>435</v>
      </c>
      <c r="E34" s="4" t="s">
        <v>243</v>
      </c>
      <c r="F34" s="4" t="s">
        <v>430</v>
      </c>
      <c r="G34" s="4" t="s">
        <v>431</v>
      </c>
      <c r="H34" s="4" t="s">
        <v>432</v>
      </c>
      <c r="I34" s="4" t="s">
        <v>247</v>
      </c>
    </row>
    <row r="35" spans="1:9">
      <c r="A35" s="4">
        <v>11</v>
      </c>
      <c r="B35" s="4" t="s">
        <v>434</v>
      </c>
      <c r="C35" s="4">
        <v>128</v>
      </c>
      <c r="D35" s="4" t="s">
        <v>435</v>
      </c>
      <c r="E35" s="4" t="s">
        <v>243</v>
      </c>
      <c r="F35" s="4" t="s">
        <v>430</v>
      </c>
      <c r="G35" s="4" t="s">
        <v>431</v>
      </c>
      <c r="H35" s="4" t="s">
        <v>432</v>
      </c>
      <c r="I35" s="4" t="s">
        <v>247</v>
      </c>
    </row>
    <row r="36" spans="1:9">
      <c r="A36" s="4">
        <v>12</v>
      </c>
      <c r="B36" s="4" t="s">
        <v>433</v>
      </c>
      <c r="C36" s="4">
        <v>4</v>
      </c>
      <c r="D36" s="4" t="s">
        <v>435</v>
      </c>
      <c r="E36" s="4" t="s">
        <v>243</v>
      </c>
      <c r="F36" s="4" t="s">
        <v>430</v>
      </c>
      <c r="G36" s="4" t="s">
        <v>431</v>
      </c>
      <c r="H36" s="4" t="s">
        <v>432</v>
      </c>
      <c r="I36" s="4" t="s">
        <v>247</v>
      </c>
    </row>
    <row r="37" spans="1:9">
      <c r="A37" s="4">
        <v>13</v>
      </c>
      <c r="B37" s="4" t="s">
        <v>434</v>
      </c>
      <c r="C37" s="4">
        <v>128</v>
      </c>
      <c r="D37" s="4" t="s">
        <v>435</v>
      </c>
      <c r="E37" s="4" t="s">
        <v>243</v>
      </c>
      <c r="F37" s="4" t="s">
        <v>430</v>
      </c>
      <c r="G37" s="4" t="s">
        <v>431</v>
      </c>
      <c r="H37" s="4" t="s">
        <v>432</v>
      </c>
      <c r="I37" s="4" t="s">
        <v>247</v>
      </c>
    </row>
    <row r="38" spans="1:9">
      <c r="A38" s="4">
        <v>14</v>
      </c>
      <c r="B38" s="4" t="s">
        <v>433</v>
      </c>
      <c r="C38" s="4">
        <v>4</v>
      </c>
      <c r="D38" s="4" t="s">
        <v>435</v>
      </c>
      <c r="E38" s="4" t="s">
        <v>243</v>
      </c>
      <c r="F38" s="4" t="s">
        <v>430</v>
      </c>
      <c r="G38" s="4" t="s">
        <v>431</v>
      </c>
      <c r="H38" s="4" t="s">
        <v>432</v>
      </c>
      <c r="I38" s="4" t="s">
        <v>247</v>
      </c>
    </row>
    <row r="39" spans="1:9">
      <c r="A39" s="4">
        <v>15</v>
      </c>
      <c r="B39" s="4" t="s">
        <v>434</v>
      </c>
      <c r="C39" s="4">
        <v>128</v>
      </c>
      <c r="D39" s="4" t="s">
        <v>435</v>
      </c>
      <c r="E39" s="4" t="s">
        <v>243</v>
      </c>
      <c r="F39" s="4" t="s">
        <v>430</v>
      </c>
      <c r="G39" s="4" t="s">
        <v>431</v>
      </c>
      <c r="H39" s="4" t="s">
        <v>432</v>
      </c>
      <c r="I39" s="4" t="s">
        <v>247</v>
      </c>
    </row>
    <row r="40" spans="1:9">
      <c r="A40" s="4">
        <v>16</v>
      </c>
      <c r="B40" s="4" t="s">
        <v>433</v>
      </c>
      <c r="C40" s="4">
        <v>4</v>
      </c>
      <c r="D40" s="4" t="s">
        <v>435</v>
      </c>
      <c r="E40" s="4" t="s">
        <v>243</v>
      </c>
      <c r="F40" s="4" t="s">
        <v>430</v>
      </c>
      <c r="G40" s="4" t="s">
        <v>431</v>
      </c>
      <c r="H40" s="4" t="s">
        <v>432</v>
      </c>
      <c r="I40" s="4" t="s">
        <v>247</v>
      </c>
    </row>
    <row r="41" spans="1:9">
      <c r="A41" s="4">
        <v>17</v>
      </c>
      <c r="B41" s="4" t="s">
        <v>434</v>
      </c>
      <c r="C41" s="4">
        <v>128</v>
      </c>
      <c r="D41" s="4" t="s">
        <v>435</v>
      </c>
      <c r="E41" s="4" t="s">
        <v>243</v>
      </c>
      <c r="F41" s="4" t="s">
        <v>430</v>
      </c>
      <c r="G41" s="4" t="s">
        <v>431</v>
      </c>
      <c r="H41" s="4" t="s">
        <v>432</v>
      </c>
      <c r="I41" s="4" t="s">
        <v>247</v>
      </c>
    </row>
    <row r="42" spans="1:9">
      <c r="A42" s="4">
        <v>18</v>
      </c>
      <c r="B42" s="4" t="s">
        <v>433</v>
      </c>
      <c r="C42" s="4">
        <v>4</v>
      </c>
      <c r="D42" s="4" t="s">
        <v>435</v>
      </c>
      <c r="E42" s="4" t="s">
        <v>243</v>
      </c>
      <c r="F42" s="4" t="s">
        <v>430</v>
      </c>
      <c r="G42" s="4" t="s">
        <v>431</v>
      </c>
      <c r="H42" s="4" t="s">
        <v>432</v>
      </c>
      <c r="I42" s="4" t="s">
        <v>247</v>
      </c>
    </row>
    <row r="43" spans="1:9">
      <c r="A43" s="4">
        <v>19</v>
      </c>
      <c r="B43" s="4" t="s">
        <v>434</v>
      </c>
      <c r="C43" s="4">
        <v>128</v>
      </c>
      <c r="D43" s="4" t="s">
        <v>435</v>
      </c>
      <c r="E43" s="4" t="s">
        <v>243</v>
      </c>
      <c r="F43" s="4" t="s">
        <v>430</v>
      </c>
      <c r="G43" s="4" t="s">
        <v>431</v>
      </c>
      <c r="H43" s="4" t="s">
        <v>432</v>
      </c>
      <c r="I43" s="4" t="s">
        <v>247</v>
      </c>
    </row>
    <row r="44" spans="1:9">
      <c r="A44" s="4">
        <v>20</v>
      </c>
      <c r="B44" s="4" t="s">
        <v>433</v>
      </c>
      <c r="C44" s="4">
        <v>4</v>
      </c>
      <c r="D44" s="4" t="s">
        <v>435</v>
      </c>
      <c r="E44" s="4" t="s">
        <v>243</v>
      </c>
      <c r="F44" s="4" t="s">
        <v>430</v>
      </c>
      <c r="G44" s="4" t="s">
        <v>431</v>
      </c>
      <c r="H44" s="4" t="s">
        <v>432</v>
      </c>
      <c r="I44" s="4" t="s">
        <v>247</v>
      </c>
    </row>
    <row r="45" spans="1:9">
      <c r="A45" s="4">
        <v>21</v>
      </c>
      <c r="B45" s="4" t="s">
        <v>434</v>
      </c>
      <c r="C45" s="4">
        <v>128</v>
      </c>
      <c r="D45" s="4" t="s">
        <v>435</v>
      </c>
      <c r="E45" s="4" t="s">
        <v>243</v>
      </c>
      <c r="F45" s="4" t="s">
        <v>430</v>
      </c>
      <c r="G45" s="4" t="s">
        <v>431</v>
      </c>
      <c r="H45" s="4" t="s">
        <v>432</v>
      </c>
      <c r="I45" s="4" t="s">
        <v>247</v>
      </c>
    </row>
    <row r="46" spans="1:9">
      <c r="A46" s="4">
        <v>22</v>
      </c>
      <c r="B46" s="4" t="s">
        <v>433</v>
      </c>
      <c r="C46" s="4">
        <v>4</v>
      </c>
      <c r="D46" s="4" t="s">
        <v>435</v>
      </c>
      <c r="E46" s="4" t="s">
        <v>243</v>
      </c>
      <c r="F46" s="4" t="s">
        <v>430</v>
      </c>
      <c r="G46" s="4" t="s">
        <v>431</v>
      </c>
      <c r="H46" s="4" t="s">
        <v>432</v>
      </c>
      <c r="I46" s="4" t="s">
        <v>247</v>
      </c>
    </row>
    <row r="47" spans="1:9">
      <c r="A47" s="4">
        <v>23</v>
      </c>
      <c r="B47" s="4" t="s">
        <v>434</v>
      </c>
      <c r="C47" s="4">
        <v>128</v>
      </c>
      <c r="D47" s="4" t="s">
        <v>435</v>
      </c>
      <c r="E47" s="4" t="s">
        <v>243</v>
      </c>
      <c r="F47" s="4" t="s">
        <v>430</v>
      </c>
      <c r="G47" s="4" t="s">
        <v>431</v>
      </c>
      <c r="H47" s="4" t="s">
        <v>432</v>
      </c>
      <c r="I47" s="4" t="s">
        <v>247</v>
      </c>
    </row>
    <row r="48" spans="1:9">
      <c r="A48" s="4">
        <v>24</v>
      </c>
      <c r="B48" s="4" t="s">
        <v>433</v>
      </c>
      <c r="C48" s="4">
        <v>4</v>
      </c>
      <c r="D48" s="4" t="s">
        <v>435</v>
      </c>
      <c r="E48" s="4" t="s">
        <v>243</v>
      </c>
      <c r="F48" s="4" t="s">
        <v>430</v>
      </c>
      <c r="G48" s="4" t="s">
        <v>431</v>
      </c>
      <c r="H48" s="4" t="s">
        <v>432</v>
      </c>
      <c r="I48" s="4" t="s">
        <v>247</v>
      </c>
    </row>
    <row r="49" spans="1:9">
      <c r="A49" s="4">
        <v>25</v>
      </c>
      <c r="B49" s="4" t="s">
        <v>434</v>
      </c>
      <c r="C49" s="4">
        <v>128</v>
      </c>
      <c r="D49" s="4" t="s">
        <v>435</v>
      </c>
      <c r="E49" s="4" t="s">
        <v>243</v>
      </c>
      <c r="F49" s="4" t="s">
        <v>430</v>
      </c>
      <c r="G49" s="4" t="s">
        <v>431</v>
      </c>
      <c r="H49" s="4" t="s">
        <v>432</v>
      </c>
      <c r="I49" s="4" t="s">
        <v>247</v>
      </c>
    </row>
    <row r="50" spans="1:9">
      <c r="A50" s="4">
        <v>26</v>
      </c>
      <c r="B50" s="4" t="s">
        <v>433</v>
      </c>
      <c r="C50" s="4">
        <v>4</v>
      </c>
      <c r="D50" s="4" t="s">
        <v>435</v>
      </c>
      <c r="E50" s="4" t="s">
        <v>243</v>
      </c>
      <c r="F50" s="4" t="s">
        <v>430</v>
      </c>
      <c r="G50" s="4" t="s">
        <v>431</v>
      </c>
      <c r="H50" s="4" t="s">
        <v>432</v>
      </c>
      <c r="I50" s="4" t="s">
        <v>247</v>
      </c>
    </row>
    <row r="51" spans="1:9">
      <c r="A51" s="4">
        <v>27</v>
      </c>
      <c r="B51" s="4" t="s">
        <v>434</v>
      </c>
      <c r="C51" s="4">
        <v>128</v>
      </c>
      <c r="D51" s="4" t="s">
        <v>435</v>
      </c>
      <c r="E51" s="4" t="s">
        <v>243</v>
      </c>
      <c r="F51" s="4" t="s">
        <v>430</v>
      </c>
      <c r="G51" s="4" t="s">
        <v>431</v>
      </c>
      <c r="H51" s="4" t="s">
        <v>432</v>
      </c>
      <c r="I51" s="4" t="s">
        <v>247</v>
      </c>
    </row>
    <row r="52" spans="1:9">
      <c r="A52" s="4">
        <v>28</v>
      </c>
      <c r="B52" s="4" t="s">
        <v>433</v>
      </c>
      <c r="C52" s="4">
        <v>4</v>
      </c>
      <c r="D52" s="4" t="s">
        <v>435</v>
      </c>
      <c r="E52" s="4" t="s">
        <v>243</v>
      </c>
      <c r="F52" s="4" t="s">
        <v>430</v>
      </c>
      <c r="G52" s="4" t="s">
        <v>431</v>
      </c>
      <c r="H52" s="4" t="s">
        <v>432</v>
      </c>
      <c r="I52" s="4" t="s">
        <v>247</v>
      </c>
    </row>
    <row r="53" spans="1:9">
      <c r="A53" s="4">
        <v>29</v>
      </c>
      <c r="B53" s="4" t="s">
        <v>434</v>
      </c>
      <c r="C53" s="4">
        <v>128</v>
      </c>
      <c r="D53" s="4" t="s">
        <v>435</v>
      </c>
      <c r="E53" s="4" t="s">
        <v>243</v>
      </c>
      <c r="F53" s="4" t="s">
        <v>430</v>
      </c>
      <c r="G53" s="4" t="s">
        <v>431</v>
      </c>
      <c r="H53" s="4" t="s">
        <v>432</v>
      </c>
      <c r="I53" s="4" t="s">
        <v>247</v>
      </c>
    </row>
    <row r="54" spans="1:9">
      <c r="A54" s="4">
        <v>30</v>
      </c>
      <c r="B54" s="4" t="s">
        <v>433</v>
      </c>
      <c r="C54" s="4">
        <v>4</v>
      </c>
      <c r="D54" s="4" t="s">
        <v>435</v>
      </c>
      <c r="E54" s="4" t="s">
        <v>243</v>
      </c>
      <c r="F54" s="4" t="s">
        <v>430</v>
      </c>
      <c r="G54" s="4" t="s">
        <v>431</v>
      </c>
      <c r="H54" s="4" t="s">
        <v>432</v>
      </c>
      <c r="I54" s="4" t="s">
        <v>247</v>
      </c>
    </row>
    <row r="55" spans="1:9">
      <c r="A55" s="4">
        <v>31</v>
      </c>
      <c r="B55" s="4" t="s">
        <v>434</v>
      </c>
      <c r="C55" s="4">
        <v>128</v>
      </c>
      <c r="D55" s="4" t="s">
        <v>435</v>
      </c>
      <c r="E55" s="4" t="s">
        <v>243</v>
      </c>
      <c r="F55" s="4" t="s">
        <v>430</v>
      </c>
      <c r="G55" s="4" t="s">
        <v>431</v>
      </c>
      <c r="H55" s="4" t="s">
        <v>432</v>
      </c>
      <c r="I55" s="4" t="s">
        <v>247</v>
      </c>
    </row>
    <row r="56" spans="1:9">
      <c r="A56" s="4">
        <v>32</v>
      </c>
      <c r="B56" s="4" t="s">
        <v>433</v>
      </c>
      <c r="C56" s="4">
        <v>4</v>
      </c>
      <c r="D56" s="4" t="s">
        <v>435</v>
      </c>
      <c r="E56" s="4" t="s">
        <v>243</v>
      </c>
      <c r="F56" s="4" t="s">
        <v>430</v>
      </c>
      <c r="G56" s="4" t="s">
        <v>431</v>
      </c>
      <c r="H56" s="4" t="s">
        <v>432</v>
      </c>
      <c r="I56" s="4" t="s">
        <v>247</v>
      </c>
    </row>
    <row r="57" spans="1:9">
      <c r="A57" s="4">
        <v>33</v>
      </c>
      <c r="B57" s="4" t="s">
        <v>434</v>
      </c>
      <c r="C57" s="4">
        <v>128</v>
      </c>
      <c r="D57" s="4" t="s">
        <v>435</v>
      </c>
      <c r="E57" s="4" t="s">
        <v>243</v>
      </c>
      <c r="F57" s="4" t="s">
        <v>430</v>
      </c>
      <c r="G57" s="4" t="s">
        <v>431</v>
      </c>
      <c r="H57" s="4" t="s">
        <v>432</v>
      </c>
      <c r="I57" s="4" t="s">
        <v>247</v>
      </c>
    </row>
    <row r="58" spans="1:9">
      <c r="A58" s="4">
        <v>34</v>
      </c>
      <c r="B58" s="4" t="s">
        <v>433</v>
      </c>
      <c r="C58" s="4">
        <v>4</v>
      </c>
      <c r="D58" s="4" t="s">
        <v>435</v>
      </c>
      <c r="E58" s="4" t="s">
        <v>243</v>
      </c>
      <c r="F58" s="4" t="s">
        <v>430</v>
      </c>
      <c r="G58" s="4" t="s">
        <v>431</v>
      </c>
      <c r="H58" s="4" t="s">
        <v>432</v>
      </c>
      <c r="I58" s="4" t="s">
        <v>247</v>
      </c>
    </row>
    <row r="59" spans="1:9">
      <c r="A59" s="4">
        <v>35</v>
      </c>
      <c r="B59" s="4" t="s">
        <v>434</v>
      </c>
      <c r="C59" s="4">
        <v>128</v>
      </c>
      <c r="D59" s="4" t="s">
        <v>435</v>
      </c>
      <c r="E59" s="4" t="s">
        <v>243</v>
      </c>
      <c r="F59" s="4" t="s">
        <v>430</v>
      </c>
      <c r="G59" s="4" t="s">
        <v>431</v>
      </c>
      <c r="H59" s="4" t="s">
        <v>432</v>
      </c>
      <c r="I59" s="4" t="s">
        <v>247</v>
      </c>
    </row>
    <row r="60" spans="1:9">
      <c r="A60" s="4">
        <v>36</v>
      </c>
      <c r="B60" s="4" t="s">
        <v>433</v>
      </c>
      <c r="C60" s="4">
        <v>4</v>
      </c>
      <c r="D60" s="4" t="s">
        <v>435</v>
      </c>
      <c r="E60" s="4" t="s">
        <v>243</v>
      </c>
      <c r="F60" s="4" t="s">
        <v>430</v>
      </c>
      <c r="G60" s="4" t="s">
        <v>431</v>
      </c>
      <c r="H60" s="4" t="s">
        <v>432</v>
      </c>
      <c r="I60" s="4" t="s">
        <v>247</v>
      </c>
    </row>
    <row r="61" spans="1:9">
      <c r="A61" s="4">
        <v>37</v>
      </c>
      <c r="B61" s="4" t="s">
        <v>434</v>
      </c>
      <c r="C61" s="4">
        <v>128</v>
      </c>
      <c r="D61" s="4" t="s">
        <v>435</v>
      </c>
      <c r="E61" s="4" t="s">
        <v>243</v>
      </c>
      <c r="F61" s="4" t="s">
        <v>430</v>
      </c>
      <c r="G61" s="4" t="s">
        <v>431</v>
      </c>
      <c r="H61" s="4" t="s">
        <v>432</v>
      </c>
      <c r="I61" s="4" t="s">
        <v>247</v>
      </c>
    </row>
    <row r="62" spans="1:9">
      <c r="A62" s="4">
        <v>38</v>
      </c>
      <c r="B62" s="4" t="s">
        <v>433</v>
      </c>
      <c r="C62" s="4">
        <v>4</v>
      </c>
      <c r="D62" s="4" t="s">
        <v>435</v>
      </c>
      <c r="E62" s="4" t="s">
        <v>243</v>
      </c>
      <c r="F62" s="4" t="s">
        <v>430</v>
      </c>
      <c r="G62" s="4" t="s">
        <v>431</v>
      </c>
      <c r="H62" s="4" t="s">
        <v>432</v>
      </c>
      <c r="I62" s="4" t="s">
        <v>247</v>
      </c>
    </row>
    <row r="63" spans="1:9">
      <c r="A63" s="4">
        <v>39</v>
      </c>
      <c r="B63" s="4" t="s">
        <v>434</v>
      </c>
      <c r="C63" s="4">
        <v>128</v>
      </c>
      <c r="D63" s="4" t="s">
        <v>435</v>
      </c>
      <c r="E63" s="4" t="s">
        <v>243</v>
      </c>
      <c r="F63" s="4" t="s">
        <v>430</v>
      </c>
      <c r="G63" s="4" t="s">
        <v>431</v>
      </c>
      <c r="H63" s="4" t="s">
        <v>432</v>
      </c>
      <c r="I63" s="4" t="s">
        <v>247</v>
      </c>
    </row>
    <row r="64" spans="1:9">
      <c r="A64" s="4">
        <v>40</v>
      </c>
      <c r="B64" s="4" t="s">
        <v>433</v>
      </c>
      <c r="C64" s="4">
        <v>4</v>
      </c>
      <c r="D64" s="4" t="s">
        <v>435</v>
      </c>
      <c r="E64" s="4" t="s">
        <v>243</v>
      </c>
      <c r="F64" s="4" t="s">
        <v>430</v>
      </c>
      <c r="G64" s="4" t="s">
        <v>431</v>
      </c>
      <c r="H64" s="4" t="s">
        <v>432</v>
      </c>
      <c r="I64" s="4" t="s">
        <v>247</v>
      </c>
    </row>
    <row r="65" spans="1:9">
      <c r="A65" s="4">
        <v>41</v>
      </c>
      <c r="B65" s="4" t="s">
        <v>434</v>
      </c>
      <c r="C65" s="4">
        <v>128</v>
      </c>
      <c r="D65" s="4" t="s">
        <v>435</v>
      </c>
      <c r="E65" s="4" t="s">
        <v>243</v>
      </c>
      <c r="F65" s="4" t="s">
        <v>430</v>
      </c>
      <c r="G65" s="4" t="s">
        <v>431</v>
      </c>
      <c r="H65" s="4" t="s">
        <v>432</v>
      </c>
      <c r="I65" s="4" t="s">
        <v>247</v>
      </c>
    </row>
    <row r="66" spans="1:9">
      <c r="A66" s="4">
        <v>42</v>
      </c>
      <c r="B66" s="4" t="s">
        <v>433</v>
      </c>
      <c r="C66" s="4">
        <v>4</v>
      </c>
      <c r="D66" s="4" t="s">
        <v>435</v>
      </c>
      <c r="E66" s="4" t="s">
        <v>243</v>
      </c>
      <c r="F66" s="4" t="s">
        <v>430</v>
      </c>
      <c r="G66" s="4" t="s">
        <v>431</v>
      </c>
      <c r="H66" s="4" t="s">
        <v>432</v>
      </c>
      <c r="I66" s="4" t="s">
        <v>247</v>
      </c>
    </row>
  </sheetData>
  <mergeCells count="2">
    <mergeCell ref="A4:E4"/>
    <mergeCell ref="A22:I22"/>
  </mergeCells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U79"/>
  <sheetViews>
    <sheetView showGridLines="0" workbookViewId="0"/>
  </sheetViews>
  <sheetFormatPr defaultRowHeight="15"/>
  <cols>
    <col min="1" max="1" width="30.7109375" customWidth="1"/>
    <col min="2" max="5" width="20.7109375" customWidth="1"/>
    <col min="6" max="6" width="72.7109375" customWidth="1"/>
    <col min="7" max="10" width="0" hidden="1" customWidth="1"/>
    <col min="19" max="21" width="0" hidden="1" customWidth="1"/>
  </cols>
  <sheetData>
    <row r="1" spans="1:10">
      <c r="A1" s="1" t="s">
        <v>436</v>
      </c>
    </row>
    <row r="2" spans="1:10">
      <c r="A2" s="2" t="s">
        <v>437</v>
      </c>
    </row>
    <row r="4" spans="1:10">
      <c r="A4" t="s">
        <v>438</v>
      </c>
      <c r="B4" t="s">
        <v>439</v>
      </c>
      <c r="C4" t="s">
        <v>440</v>
      </c>
      <c r="D4" t="s">
        <v>441</v>
      </c>
      <c r="E4" t="s">
        <v>442</v>
      </c>
      <c r="F4" t="s">
        <v>363</v>
      </c>
    </row>
    <row r="5" spans="1:10">
      <c r="A5" s="4" t="s">
        <v>443</v>
      </c>
      <c r="B5" s="33" t="str">
        <f>TEXT(IF(ABS(G5)&gt;=1E15,G5/1E15,IF(ABS(G5)&gt;=1E12,G5/1E12,IF(ABS(G5)&gt;=1E9,G5/1E9,IF(ABS(G5)&gt;=1E6,G5/1E6,G5)))),"#,##0.000")&amp;IF((IF(ABS(G5)&gt;=1E15,"PFLOPs",IF(ABS(G5)&gt;=1E12,"TFLOPs",IF(ABS(G5)&gt;=1E9,"GFLOPs",IF(ABS(G5)&gt;=1E6,"MFLOPs","flops")))))="",""," "&amp;(IF(ABS(G5)&gt;=1E15,"PFLOPs",IF(ABS(G5)&gt;=1E12,"TFLOPs",IF(ABS(G5)&gt;=1E9,"GFLOPs",IF(ABS(G5)&gt;=1E6,"MFLOPs","flops"))))))</f>
        <v>102.836 TFLOPs</v>
      </c>
      <c r="C5" s="33" t="str">
        <f>TEXT(IF(ABS(H5)&gt;=1E15,H5/1E15,IF(ABS(H5)&gt;=1E12,H5/1E12,IF(ABS(H5)&gt;=1E9,H5/1E9,IF(ABS(H5)&gt;=1E6,H5/1E6,H5)))),"#,##0.000")&amp;IF((IF(ABS(H5)&gt;=1E15,"PFLOPs",IF(ABS(H5)&gt;=1E12,"TFLOPs",IF(ABS(H5)&gt;=1E9,"GFLOPs",IF(ABS(H5)&gt;=1E6,"MFLOPs","flops")))))="",""," "&amp;(IF(ABS(H5)&gt;=1E15,"PFLOPs",IF(ABS(H5)&gt;=1E12,"TFLOPs",IF(ABS(H5)&gt;=1E9,"GFLOPs",IF(ABS(H5)&gt;=1E6,"MFLOPs","flops"))))))</f>
        <v>23.172 TFLOPs</v>
      </c>
      <c r="D5" s="33" t="str">
        <f>TEXT(IF(ABS(I5)&gt;=1E15,I5/1E15,IF(ABS(I5)&gt;=1E12,I5/1E12,IF(ABS(I5)&gt;=1E9,I5/1E9,IF(ABS(I5)&gt;=1E6,I5/1E6,I5)))),"#,##0.000")&amp;IF((IF(ABS(I5)&gt;=1E15,"PFLOPs",IF(ABS(I5)&gt;=1E12,"TFLOPs",IF(ABS(I5)&gt;=1E9,"GFLOPs",IF(ABS(I5)&gt;=1E6,"MFLOPs","flops")))))="",""," "&amp;(IF(ABS(I5)&gt;=1E15,"PFLOPs",IF(ABS(I5)&gt;=1E12,"TFLOPs",IF(ABS(I5)&gt;=1E9,"GFLOPs",IF(ABS(I5)&gt;=1E6,"MFLOPs","flops"))))))</f>
        <v>123.969 GFLOPs</v>
      </c>
      <c r="E5" s="33" t="str">
        <f>TEXT(IF(ABS(J5)&gt;=1E15,J5/1E15,IF(ABS(J5)&gt;=1E12,J5/1E12,IF(ABS(J5)&gt;=1E9,J5/1E9,IF(ABS(J5)&gt;=1E6,J5/1E6,J5)))),"#,##0.000")&amp;IF((IF(ABS(J5)&gt;=1E15,"PFLOPs",IF(ABS(J5)&gt;=1E12,"TFLOPs",IF(ABS(J5)&gt;=1E9,"GFLOPs",IF(ABS(J5)&gt;=1E6,"MFLOPs","flops")))))="",""," "&amp;(IF(ABS(J5)&gt;=1E15,"PFLOPs",IF(ABS(J5)&gt;=1E12,"TFLOPs",IF(ABS(J5)&gt;=1E9,"GFLOPs",IF(ABS(J5)&gt;=1E6,"MFLOPs","flops"))))))</f>
        <v>19.452 GFLOPs</v>
      </c>
      <c r="F5" s="4" t="s">
        <v>444</v>
      </c>
      <c r="G5" s="32">
        <f>'Prefill_8K'!$AF$14</f>
        <v>102836037746688.0</v>
      </c>
      <c r="H5" s="32">
        <f>'Prefill_8K'!$AI$14</f>
        <v>23172382457856.0</v>
      </c>
      <c r="I5" s="32">
        <f>'Decode_1M'!$AF$14</f>
        <v>123969470464.0</v>
      </c>
      <c r="J5" s="32">
        <f>'Decode_1M'!$AI$14</f>
        <v>19452461056.0</v>
      </c>
    </row>
    <row r="6" spans="1:10">
      <c r="A6" s="4" t="s">
        <v>445</v>
      </c>
      <c r="B6" s="33" t="str">
        <f>TEXT(IF(ABS(G6)&gt;=1E15,G6/1E15,IF(ABS(G6)&gt;=1E12,G6/1E12,IF(ABS(G6)&gt;=1E9,G6/1E9,IF(ABS(G6)&gt;=1E6,G6/1E6,G6)))),"#,##0.000")&amp;IF((IF(ABS(G6)&gt;=1E15,"PFLOPs",IF(ABS(G6)&gt;=1E12,"TFLOPs",IF(ABS(G6)&gt;=1E9,"GFLOPs",IF(ABS(G6)&gt;=1E6,"MFLOPs","flops")))))="",""," "&amp;(IF(ABS(G6)&gt;=1E15,"PFLOPs",IF(ABS(G6)&gt;=1E12,"TFLOPs",IF(ABS(G6)&gt;=1E9,"GFLOPs",IF(ABS(G6)&gt;=1E6,"MFLOPs","flops"))))))</f>
        <v>124.846 TFLOPs</v>
      </c>
      <c r="C6" s="33" t="str">
        <f>TEXT(IF(ABS(H6)&gt;=1E15,H6/1E15,IF(ABS(H6)&gt;=1E12,H6/1E12,IF(ABS(H6)&gt;=1E9,H6/1E9,IF(ABS(H6)&gt;=1E6,H6/1E6,H6)))),"#,##0.000")&amp;IF((IF(ABS(H6)&gt;=1E15,"PFLOPs",IF(ABS(H6)&gt;=1E12,"TFLOPs",IF(ABS(H6)&gt;=1E9,"GFLOPs",IF(ABS(H6)&gt;=1E6,"MFLOPs","flops")))))="",""," "&amp;(IF(ABS(H6)&gt;=1E15,"PFLOPs",IF(ABS(H6)&gt;=1E12,"TFLOPs",IF(ABS(H6)&gt;=1E9,"GFLOPs",IF(ABS(H6)&gt;=1E6,"MFLOPs","flops"))))))</f>
        <v>31.766 TFLOPs</v>
      </c>
      <c r="D6" s="33" t="str">
        <f>TEXT(IF(ABS(I6)&gt;=1E15,I6/1E15,IF(ABS(I6)&gt;=1E12,I6/1E12,IF(ABS(I6)&gt;=1E9,I6/1E9,IF(ABS(I6)&gt;=1E6,I6/1E6,I6)))),"#,##0.000")&amp;IF((IF(ABS(I6)&gt;=1E15,"PFLOPs",IF(ABS(I6)&gt;=1E12,"TFLOPs",IF(ABS(I6)&gt;=1E9,"GFLOPs",IF(ABS(I6)&gt;=1E6,"MFLOPs","flops")))))="",""," "&amp;(IF(ABS(I6)&gt;=1E15,"PFLOPs",IF(ABS(I6)&gt;=1E12,"TFLOPs",IF(ABS(I6)&gt;=1E9,"GFLOPs",IF(ABS(I6)&gt;=1E6,"MFLOPs","flops"))))))</f>
        <v>15.240 GFLOPs</v>
      </c>
      <c r="E6" s="33" t="str">
        <f>TEXT(IF(ABS(J6)&gt;=1E15,J6/1E15,IF(ABS(J6)&gt;=1E12,J6/1E12,IF(ABS(J6)&gt;=1E9,J6/1E9,IF(ABS(J6)&gt;=1E6,J6/1E6,J6)))),"#,##0.000")&amp;IF((IF(ABS(J6)&gt;=1E15,"PFLOPs",IF(ABS(J6)&gt;=1E12,"TFLOPs",IF(ABS(J6)&gt;=1E9,"GFLOPs",IF(ABS(J6)&gt;=1E6,"MFLOPs","flops")))))="",""," "&amp;(IF(ABS(J6)&gt;=1E15,"PFLOPs",IF(ABS(J6)&gt;=1E12,"TFLOPs",IF(ABS(J6)&gt;=1E9,"GFLOPs",IF(ABS(J6)&gt;=1E6,"MFLOPs","flops"))))))</f>
        <v>3.878 GFLOPs</v>
      </c>
      <c r="F6" s="4" t="s">
        <v>444</v>
      </c>
      <c r="G6" s="32">
        <f>'Prefill_8K'!$AF$15</f>
        <v>124846109360128.0</v>
      </c>
      <c r="H6" s="32">
        <f>'Prefill_8K'!$AI$15</f>
        <v>31765578121216.0</v>
      </c>
      <c r="I6" s="32">
        <f>'Decode_1M'!$AF$15</f>
        <v>15240003584.0</v>
      </c>
      <c r="J6" s="32">
        <f>'Decode_1M'!$AI$15</f>
        <v>3877634048.0</v>
      </c>
    </row>
    <row r="7" spans="1:10">
      <c r="A7" s="4" t="s">
        <v>446</v>
      </c>
      <c r="B7" s="33" t="str">
        <f>TEXT(IF(ABS(G7)&gt;=1E15,G7/1E15,IF(ABS(G7)&gt;=1E12,G7/1E12,IF(ABS(G7)&gt;=1E9,G7/1E9,IF(ABS(G7)&gt;=1E6,G7/1E6,G7)))),"#,##0.000")&amp;IF((IF(ABS(G7)&gt;=1E15,"PFLOPs",IF(ABS(G7)&gt;=1E12,"TFLOPs",IF(ABS(G7)&gt;=1E9,"GFLOPs",IF(ABS(G7)&gt;=1E6,"MFLOPs","flops")))))="",""," "&amp;(IF(ABS(G7)&gt;=1E15,"PFLOPs",IF(ABS(G7)&gt;=1E12,"TFLOPs",IF(ABS(G7)&gt;=1E9,"GFLOPs",IF(ABS(G7)&gt;=1E6,"MFLOPs","flops"))))))</f>
        <v>715.535 GFLOPs</v>
      </c>
      <c r="C7" s="33" t="str">
        <f>TEXT(IF(ABS(H7)&gt;=1E15,H7/1E15,IF(ABS(H7)&gt;=1E12,H7/1E12,IF(ABS(H7)&gt;=1E9,H7/1E9,IF(ABS(H7)&gt;=1E6,H7/1E6,H7)))),"#,##0.000")&amp;IF((IF(ABS(H7)&gt;=1E15,"PFLOPs",IF(ABS(H7)&gt;=1E12,"TFLOPs",IF(ABS(H7)&gt;=1E9,"GFLOPs",IF(ABS(H7)&gt;=1E6,"MFLOPs","flops")))))="",""," "&amp;(IF(ABS(H7)&gt;=1E15,"PFLOPs",IF(ABS(H7)&gt;=1E12,"TFLOPs",IF(ABS(H7)&gt;=1E9,"GFLOPs",IF(ABS(H7)&gt;=1E6,"MFLOPs","flops"))))))</f>
        <v>714.608 GFLOPs</v>
      </c>
      <c r="D7" s="33" t="str">
        <f>TEXT(IF(ABS(I7)&gt;=1E15,I7/1E15,IF(ABS(I7)&gt;=1E12,I7/1E12,IF(ABS(I7)&gt;=1E9,I7/1E9,IF(ABS(I7)&gt;=1E6,I7/1E6,I7)))),"#,##0.000")&amp;IF((IF(ABS(I7)&gt;=1E15,"PFLOPs",IF(ABS(I7)&gt;=1E12,"TFLOPs",IF(ABS(I7)&gt;=1E9,"GFLOPs",IF(ABS(I7)&gt;=1E6,"MFLOPs","flops")))))="",""," "&amp;(IF(ABS(I7)&gt;=1E15,"PFLOPs",IF(ABS(I7)&gt;=1E12,"TFLOPs",IF(ABS(I7)&gt;=1E9,"GFLOPs",IF(ABS(I7)&gt;=1E6,"MFLOPs","flops"))))))</f>
        <v>1.146 GFLOPs</v>
      </c>
      <c r="E7" s="33" t="str">
        <f>TEXT(IF(ABS(J7)&gt;=1E15,J7/1E15,IF(ABS(J7)&gt;=1E12,J7/1E12,IF(ABS(J7)&gt;=1E9,J7/1E9,IF(ABS(J7)&gt;=1E6,J7/1E6,J7)))),"#,##0.000")&amp;IF((IF(ABS(J7)&gt;=1E15,"PFLOPs",IF(ABS(J7)&gt;=1E12,"TFLOPs",IF(ABS(J7)&gt;=1E9,"GFLOPs",IF(ABS(J7)&gt;=1E6,"MFLOPs","flops")))))="",""," "&amp;(IF(ABS(J7)&gt;=1E15,"PFLOPs",IF(ABS(J7)&gt;=1E12,"TFLOPs",IF(ABS(J7)&gt;=1E9,"GFLOPs",IF(ABS(J7)&gt;=1E6,"MFLOPs","flops"))))))</f>
        <v>219.599 MFLOPs</v>
      </c>
      <c r="F7" s="4" t="s">
        <v>444</v>
      </c>
      <c r="G7" s="32">
        <f>'Prefill_8K'!$AO$48</f>
        <v>715535007744.0</v>
      </c>
      <c r="H7" s="32">
        <f>'Prefill_8K'!$AP$48</f>
        <v>714608328704.0</v>
      </c>
      <c r="I7" s="32">
        <f>'Decode_1M'!$AO$48</f>
        <v>1146278062.0</v>
      </c>
      <c r="J7" s="32">
        <f>'Decode_1M'!$AP$48</f>
        <v>219599022.0</v>
      </c>
    </row>
    <row r="8" spans="1:10">
      <c r="A8" s="31" t="s">
        <v>447</v>
      </c>
      <c r="B8" s="31" t="str">
        <f>TEXT(IF(ABS(G8)&gt;=1E15,G8/1E15,IF(ABS(G8)&gt;=1E12,G8/1E12,IF(ABS(G8)&gt;=1E9,G8/1E9,IF(ABS(G8)&gt;=1E6,G8/1E6,G8)))),"#,##0.000")&amp;IF((IF(ABS(G8)&gt;=1E15,"PFLOPs",IF(ABS(G8)&gt;=1E12,"TFLOPs",IF(ABS(G8)&gt;=1E9,"GFLOPs",IF(ABS(G8)&gt;=1E6,"MFLOPs","flops")))))="",""," "&amp;(IF(ABS(G8)&gt;=1E15,"PFLOPs",IF(ABS(G8)&gt;=1E12,"TFLOPs",IF(ABS(G8)&gt;=1E9,"GFLOPs",IF(ABS(G8)&gt;=1E6,"MFLOPs","flops"))))))</f>
        <v>228.398 TFLOPs</v>
      </c>
      <c r="C8" s="31" t="str">
        <f>TEXT(IF(ABS(H8)&gt;=1E15,H8/1E15,IF(ABS(H8)&gt;=1E12,H8/1E12,IF(ABS(H8)&gt;=1E9,H8/1E9,IF(ABS(H8)&gt;=1E6,H8/1E6,H8)))),"#,##0.000")&amp;IF((IF(ABS(H8)&gt;=1E15,"PFLOPs",IF(ABS(H8)&gt;=1E12,"TFLOPs",IF(ABS(H8)&gt;=1E9,"GFLOPs",IF(ABS(H8)&gt;=1E6,"MFLOPs","flops")))))="",""," "&amp;(IF(ABS(H8)&gt;=1E15,"PFLOPs",IF(ABS(H8)&gt;=1E12,"TFLOPs",IF(ABS(H8)&gt;=1E9,"GFLOPs",IF(ABS(H8)&gt;=1E6,"MFLOPs","flops"))))))</f>
        <v>55.653 TFLOPs</v>
      </c>
      <c r="D8" s="31" t="str">
        <f>TEXT(IF(ABS(I8)&gt;=1E15,I8/1E15,IF(ABS(I8)&gt;=1E12,I8/1E12,IF(ABS(I8)&gt;=1E9,I8/1E9,IF(ABS(I8)&gt;=1E6,I8/1E6,I8)))),"#,##0.000")&amp;IF((IF(ABS(I8)&gt;=1E15,"PFLOPs",IF(ABS(I8)&gt;=1E12,"TFLOPs",IF(ABS(I8)&gt;=1E9,"GFLOPs",IF(ABS(I8)&gt;=1E6,"MFLOPs","flops")))))="",""," "&amp;(IF(ABS(I8)&gt;=1E15,"PFLOPs",IF(ABS(I8)&gt;=1E12,"TFLOPs",IF(ABS(I8)&gt;=1E9,"GFLOPs",IF(ABS(I8)&gt;=1E6,"MFLOPs","flops"))))))</f>
        <v>140.356 GFLOPs</v>
      </c>
      <c r="E8" s="31" t="str">
        <f>TEXT(IF(ABS(J8)&gt;=1E15,J8/1E15,IF(ABS(J8)&gt;=1E12,J8/1E12,IF(ABS(J8)&gt;=1E9,J8/1E9,IF(ABS(J8)&gt;=1E6,J8/1E6,J8)))),"#,##0.000")&amp;IF((IF(ABS(J8)&gt;=1E15,"PFLOPs",IF(ABS(J8)&gt;=1E12,"TFLOPs",IF(ABS(J8)&gt;=1E9,"GFLOPs",IF(ABS(J8)&gt;=1E6,"MFLOPs","flops")))))="",""," "&amp;(IF(ABS(J8)&gt;=1E15,"PFLOPs",IF(ABS(J8)&gt;=1E12,"TFLOPs",IF(ABS(J8)&gt;=1E9,"GFLOPs",IF(ABS(J8)&gt;=1E6,"MFLOPs","flops"))))))</f>
        <v>23.550 GFLOPs</v>
      </c>
      <c r="F8" s="4" t="s">
        <v>444</v>
      </c>
      <c r="G8" s="32">
        <f>'Prefill_8K'!$AF$13</f>
        <v>228397682114560.0</v>
      </c>
      <c r="H8" s="32">
        <f>'Prefill_8K'!$AI$13</f>
        <v>55652568907776.0</v>
      </c>
      <c r="I8" s="32">
        <f>'Decode_1M'!$AF$13</f>
        <v>140355752110.0</v>
      </c>
      <c r="J8" s="32">
        <f>'Decode_1M'!$AI$13</f>
        <v>23549694126.0</v>
      </c>
    </row>
    <row r="9" spans="1:10">
      <c r="A9" s="4" t="s">
        <v>448</v>
      </c>
      <c r="B9" s="33" t="str">
        <f>TEXT(IF(ABS(G9)&gt;=1E12,G9/1E12,IF(ABS(G9)&gt;=1E9,G9/1E9,IF(ABS(G9)&gt;=1E6,G9/1E6,IF(ABS(G9)&gt;=1E3,G9/1E3,G9)))),"#,##0.000")&amp;IF((IF(ABS(G9)&gt;=1E12,"TB",IF(ABS(G9)&gt;=1E9,"GB",IF(ABS(G9)&gt;=1E6,"MB",IF(ABS(G9)&gt;=1E3,"KB","bytes")))))="",""," "&amp;(IF(ABS(G9)&gt;=1E12,"TB",IF(ABS(G9)&gt;=1E9,"GB",IF(ABS(G9)&gt;=1E6,"MB",IF(ABS(G9)&gt;=1E3,"KB","bytes"))))))</f>
        <v>358.038 GB</v>
      </c>
      <c r="C9" s="33" t="str">
        <f>TEXT(IF(ABS(H9)&gt;=1E12,H9/1E12,IF(ABS(H9)&gt;=1E9,H9/1E9,IF(ABS(H9)&gt;=1E6,H9/1E6,IF(ABS(H9)&gt;=1E3,H9/1E3,H9)))),"#,##0.000")&amp;IF((IF(ABS(H9)&gt;=1E12,"TB",IF(ABS(H9)&gt;=1E9,"GB",IF(ABS(H9)&gt;=1E6,"MB",IF(ABS(H9)&gt;=1E3,"KB","bytes")))))="",""," "&amp;(IF(ABS(H9)&gt;=1E12,"TB",IF(ABS(H9)&gt;=1E9,"GB",IF(ABS(H9)&gt;=1E6,"MB",IF(ABS(H9)&gt;=1E3,"KB","bytes"))))))</f>
        <v>231.532 GB</v>
      </c>
      <c r="D9" s="33" t="str">
        <f>TEXT(IF(ABS(I9)&gt;=1E12,I9/1E12,IF(ABS(I9)&gt;=1E9,I9/1E9,IF(ABS(I9)&gt;=1E6,I9/1E6,IF(ABS(I9)&gt;=1E3,I9/1E3,I9)))),"#,##0.000")&amp;IF((IF(ABS(I9)&gt;=1E12,"TB",IF(ABS(I9)&gt;=1E9,"GB",IF(ABS(I9)&gt;=1E6,"MB",IF(ABS(I9)&gt;=1E3,"KB","bytes")))))="",""," "&amp;(IF(ABS(I9)&gt;=1E12,"TB",IF(ABS(I9)&gt;=1E9,"GB",IF(ABS(I9)&gt;=1E6,"MB",IF(ABS(I9)&gt;=1E3,"KB","bytes"))))))</f>
        <v>10.492 GB</v>
      </c>
      <c r="E9" s="33" t="str">
        <f>TEXT(IF(ABS(J9)&gt;=1E12,J9/1E12,IF(ABS(J9)&gt;=1E9,J9/1E9,IF(ABS(J9)&gt;=1E6,J9/1E6,IF(ABS(J9)&gt;=1E3,J9/1E3,J9)))),"#,##0.000")&amp;IF((IF(ABS(J9)&gt;=1E12,"TB",IF(ABS(J9)&gt;=1E9,"GB",IF(ABS(J9)&gt;=1E6,"MB",IF(ABS(J9)&gt;=1E3,"KB","bytes")))))="",""," "&amp;(IF(ABS(J9)&gt;=1E12,"TB",IF(ABS(J9)&gt;=1E9,"GB",IF(ABS(J9)&gt;=1E6,"MB",IF(ABS(J9)&gt;=1E3,"KB","bytes"))))))</f>
        <v>4.035 GB</v>
      </c>
      <c r="F9" s="4" t="s">
        <v>449</v>
      </c>
      <c r="G9" s="32">
        <f>'Prefill_8K'!$AG$14</f>
        <v>358037814400.0</v>
      </c>
      <c r="H9" s="32">
        <f>'Prefill_8K'!$AJ$14</f>
        <v>231531806144.0</v>
      </c>
      <c r="I9" s="32">
        <f>'Decode_1M'!$AG$14</f>
        <v>10492228352.0</v>
      </c>
      <c r="J9" s="32">
        <f>'Decode_1M'!$AJ$14</f>
        <v>4035232528.0</v>
      </c>
    </row>
    <row r="10" spans="1:10">
      <c r="A10" s="4" t="s">
        <v>450</v>
      </c>
      <c r="B10" s="33" t="str">
        <f>TEXT(IF(ABS(G10)&gt;=1E12,G10/1E12,IF(ABS(G10)&gt;=1E9,G10/1E9,IF(ABS(G10)&gt;=1E6,G10/1E6,IF(ABS(G10)&gt;=1E3,G10/1E3,G10)))),"#,##0.000")&amp;IF((IF(ABS(G10)&gt;=1E12,"TB",IF(ABS(G10)&gt;=1E9,"GB",IF(ABS(G10)&gt;=1E6,"MB",IF(ABS(G10)&gt;=1E3,"KB","bytes")))))="",""," "&amp;(IF(ABS(G10)&gt;=1E12,"TB",IF(ABS(G10)&gt;=1E9,"GB",IF(ABS(G10)&gt;=1E6,"MB",IF(ABS(G10)&gt;=1E3,"KB","bytes"))))))</f>
        <v>191.989 GB</v>
      </c>
      <c r="C10" s="33" t="str">
        <f>TEXT(IF(ABS(H10)&gt;=1E12,H10/1E12,IF(ABS(H10)&gt;=1E9,H10/1E9,IF(ABS(H10)&gt;=1E6,H10/1E6,IF(ABS(H10)&gt;=1E3,H10/1E3,H10)))),"#,##0.000")&amp;IF((IF(ABS(H10)&gt;=1E12,"TB",IF(ABS(H10)&gt;=1E9,"GB",IF(ABS(H10)&gt;=1E6,"MB",IF(ABS(H10)&gt;=1E3,"KB","bytes")))))="",""," "&amp;(IF(ABS(H10)&gt;=1E12,"TB",IF(ABS(H10)&gt;=1E9,"GB",IF(ABS(H10)&gt;=1E6,"MB",IF(ABS(H10)&gt;=1E3,"KB","bytes"))))))</f>
        <v>32.915 GB</v>
      </c>
      <c r="D10" s="33" t="str">
        <f>TEXT(IF(ABS(I10)&gt;=1E12,I10/1E12,IF(ABS(I10)&gt;=1E9,I10/1E9,IF(ABS(I10)&gt;=1E6,I10/1E6,IF(ABS(I10)&gt;=1E3,I10/1E3,I10)))),"#,##0.000")&amp;IF((IF(ABS(I10)&gt;=1E12,"TB",IF(ABS(I10)&gt;=1E9,"GB",IF(ABS(I10)&gt;=1E6,"MB",IF(ABS(I10)&gt;=1E3,"KB","bytes")))))="",""," "&amp;(IF(ABS(I10)&gt;=1E12,"TB",IF(ABS(I10)&gt;=1E9,"GB",IF(ABS(I10)&gt;=1E6,"MB",IF(ABS(I10)&gt;=1E3,"KB","bytes"))))))</f>
        <v>4.627 GB</v>
      </c>
      <c r="E10" s="33" t="str">
        <f>TEXT(IF(ABS(J10)&gt;=1E12,J10/1E12,IF(ABS(J10)&gt;=1E9,J10/1E9,IF(ABS(J10)&gt;=1E6,J10/1E6,IF(ABS(J10)&gt;=1E3,J10/1E3,J10)))),"#,##0.000")&amp;IF((IF(ABS(J10)&gt;=1E12,"TB",IF(ABS(J10)&gt;=1E9,"GB",IF(ABS(J10)&gt;=1E6,"MB",IF(ABS(J10)&gt;=1E3,"KB","bytes")))))="",""," "&amp;(IF(ABS(J10)&gt;=1E12,"TB",IF(ABS(J10)&gt;=1E9,"GB",IF(ABS(J10)&gt;=1E6,"MB",IF(ABS(J10)&gt;=1E3,"KB","bytes"))))))</f>
        <v>1.605 GB</v>
      </c>
      <c r="F10" s="4" t="s">
        <v>449</v>
      </c>
      <c r="G10" s="32">
        <f>'Prefill_8K'!$AG$15</f>
        <v>191988670976.0</v>
      </c>
      <c r="H10" s="32">
        <f>'Prefill_8K'!$AJ$15</f>
        <v>32915497472.0</v>
      </c>
      <c r="I10" s="32">
        <f>'Decode_1M'!$AG$15</f>
        <v>4627033672.0</v>
      </c>
      <c r="J10" s="32">
        <f>'Decode_1M'!$AJ$15</f>
        <v>1605205576.0</v>
      </c>
    </row>
    <row r="11" spans="1:10">
      <c r="A11" s="4" t="s">
        <v>451</v>
      </c>
      <c r="B11" s="33" t="str">
        <f>TEXT(IF(ABS(G11)&gt;=1E12,G11/1E12,IF(ABS(G11)&gt;=1E9,G11/1E9,IF(ABS(G11)&gt;=1E6,G11/1E6,IF(ABS(G11)&gt;=1E3,G11/1E3,G11)))),"#,##0.000")&amp;IF((IF(ABS(G11)&gt;=1E12,"TB",IF(ABS(G11)&gt;=1E9,"GB",IF(ABS(G11)&gt;=1E6,"MB",IF(ABS(G11)&gt;=1E3,"KB","bytes")))))="",""," "&amp;(IF(ABS(G11)&gt;=1E12,"TB",IF(ABS(G11)&gt;=1E9,"GB",IF(ABS(G11)&gt;=1E6,"MB",IF(ABS(G11)&gt;=1E3,"KB","bytes"))))))</f>
        <v>106.744 GB</v>
      </c>
      <c r="C11" s="33" t="str">
        <f>TEXT(IF(ABS(H11)&gt;=1E12,H11/1E12,IF(ABS(H11)&gt;=1E9,H11/1E9,IF(ABS(H11)&gt;=1E6,H11/1E6,IF(ABS(H11)&gt;=1E3,H11/1E3,H11)))),"#,##0.000")&amp;IF((IF(ABS(H11)&gt;=1E12,"TB",IF(ABS(H11)&gt;=1E9,"GB",IF(ABS(H11)&gt;=1E6,"MB",IF(ABS(H11)&gt;=1E3,"KB","bytes")))))="",""," "&amp;(IF(ABS(H11)&gt;=1E12,"TB",IF(ABS(H11)&gt;=1E9,"GB",IF(ABS(H11)&gt;=1E6,"MB",IF(ABS(H11)&gt;=1E3,"KB","bytes"))))))</f>
        <v>104.891 GB</v>
      </c>
      <c r="D11" s="33" t="str">
        <f>TEXT(IF(ABS(I11)&gt;=1E12,I11/1E12,IF(ABS(I11)&gt;=1E9,I11/1E9,IF(ABS(I11)&gt;=1E6,I11/1E6,IF(ABS(I11)&gt;=1E3,I11/1E3,I11)))),"#,##0.000")&amp;IF((IF(ABS(I11)&gt;=1E12,"TB",IF(ABS(I11)&gt;=1E9,"GB",IF(ABS(I11)&gt;=1E6,"MB",IF(ABS(I11)&gt;=1E3,"KB","bytes")))))="",""," "&amp;(IF(ABS(I11)&gt;=1E12,"TB",IF(ABS(I11)&gt;=1E9,"GB",IF(ABS(I11)&gt;=1E6,"MB",IF(ABS(I11)&gt;=1E3,"KB","bytes"))))))</f>
        <v>2.269 GB</v>
      </c>
      <c r="E11" s="33" t="str">
        <f>TEXT(IF(ABS(J11)&gt;=1E12,J11/1E12,IF(ABS(J11)&gt;=1E9,J11/1E9,IF(ABS(J11)&gt;=1E6,J11/1E6,IF(ABS(J11)&gt;=1E3,J11/1E3,J11)))),"#,##0.000")&amp;IF((IF(ABS(J11)&gt;=1E12,"TB",IF(ABS(J11)&gt;=1E9,"GB",IF(ABS(J11)&gt;=1E6,"MB",IF(ABS(J11)&gt;=1E3,"KB","bytes")))))="",""," "&amp;(IF(ABS(J11)&gt;=1E12,"TB",IF(ABS(J11)&gt;=1E9,"GB",IF(ABS(J11)&gt;=1E6,"MB",IF(ABS(J11)&gt;=1E3,"KB","bytes"))))))</f>
        <v>414.830 MB</v>
      </c>
      <c r="F11" s="4" t="s">
        <v>449</v>
      </c>
      <c r="G11" s="32">
        <f>'Prefill_8K'!$AQ$48</f>
        <v>106744396636.0</v>
      </c>
      <c r="H11" s="32">
        <f>'Prefill_8K'!$AR$48</f>
        <v>104890576444.0</v>
      </c>
      <c r="I11" s="32">
        <f>'Decode_1M'!$AQ$48</f>
        <v>2268650332.0</v>
      </c>
      <c r="J11" s="32">
        <f>'Decode_1M'!$AR$48</f>
        <v>414830140.0</v>
      </c>
    </row>
    <row r="12" spans="1:10">
      <c r="A12" s="31" t="s">
        <v>452</v>
      </c>
      <c r="B12" s="31" t="str">
        <f>TEXT(IF(ABS(G12)&gt;=1E12,G12/1E12,IF(ABS(G12)&gt;=1E9,G12/1E9,IF(ABS(G12)&gt;=1E6,G12/1E6,IF(ABS(G12)&gt;=1E3,G12/1E3,G12)))),"#,##0.000")&amp;IF((IF(ABS(G12)&gt;=1E12,"TB",IF(ABS(G12)&gt;=1E9,"GB",IF(ABS(G12)&gt;=1E6,"MB",IF(ABS(G12)&gt;=1E3,"KB","bytes")))))="",""," "&amp;(IF(ABS(G12)&gt;=1E12,"TB",IF(ABS(G12)&gt;=1E9,"GB",IF(ABS(G12)&gt;=1E6,"MB",IF(ABS(G12)&gt;=1E3,"KB","bytes"))))))</f>
        <v>656.771 GB</v>
      </c>
      <c r="C12" s="31" t="str">
        <f>TEXT(IF(ABS(H12)&gt;=1E12,H12/1E12,IF(ABS(H12)&gt;=1E9,H12/1E9,IF(ABS(H12)&gt;=1E6,H12/1E6,IF(ABS(H12)&gt;=1E3,H12/1E3,H12)))),"#,##0.000")&amp;IF((IF(ABS(H12)&gt;=1E12,"TB",IF(ABS(H12)&gt;=1E9,"GB",IF(ABS(H12)&gt;=1E6,"MB",IF(ABS(H12)&gt;=1E3,"KB","bytes")))))="",""," "&amp;(IF(ABS(H12)&gt;=1E12,"TB",IF(ABS(H12)&gt;=1E9,"GB",IF(ABS(H12)&gt;=1E6,"MB",IF(ABS(H12)&gt;=1E3,"KB","bytes"))))))</f>
        <v>369.338 GB</v>
      </c>
      <c r="D12" s="31" t="str">
        <f>TEXT(IF(ABS(I12)&gt;=1E12,I12/1E12,IF(ABS(I12)&gt;=1E9,I12/1E9,IF(ABS(I12)&gt;=1E6,I12/1E6,IF(ABS(I12)&gt;=1E3,I12/1E3,I12)))),"#,##0.000")&amp;IF((IF(ABS(I12)&gt;=1E12,"TB",IF(ABS(I12)&gt;=1E9,"GB",IF(ABS(I12)&gt;=1E6,"MB",IF(ABS(I12)&gt;=1E3,"KB","bytes")))))="",""," "&amp;(IF(ABS(I12)&gt;=1E12,"TB",IF(ABS(I12)&gt;=1E9,"GB",IF(ABS(I12)&gt;=1E6,"MB",IF(ABS(I12)&gt;=1E3,"KB","bytes"))))))</f>
        <v>17.388 GB</v>
      </c>
      <c r="E12" s="31" t="str">
        <f>TEXT(IF(ABS(J12)&gt;=1E12,J12/1E12,IF(ABS(J12)&gt;=1E9,J12/1E9,IF(ABS(J12)&gt;=1E6,J12/1E6,IF(ABS(J12)&gt;=1E3,J12/1E3,J12)))),"#,##0.000")&amp;IF((IF(ABS(J12)&gt;=1E12,"TB",IF(ABS(J12)&gt;=1E9,"GB",IF(ABS(J12)&gt;=1E6,"MB",IF(ABS(J12)&gt;=1E3,"KB","bytes")))))="",""," "&amp;(IF(ABS(J12)&gt;=1E12,"TB",IF(ABS(J12)&gt;=1E9,"GB",IF(ABS(J12)&gt;=1E6,"MB",IF(ABS(J12)&gt;=1E3,"KB","bytes"))))))</f>
        <v>6.055 GB</v>
      </c>
      <c r="F12" s="4" t="s">
        <v>449</v>
      </c>
      <c r="G12" s="32">
        <f>'Prefill_8K'!$AG$13</f>
        <v>656770882012.0</v>
      </c>
      <c r="H12" s="32">
        <f>'Prefill_8K'!$AJ$13</f>
        <v>369337880060.0</v>
      </c>
      <c r="I12" s="32">
        <f>'Decode_1M'!$AG$13</f>
        <v>17387912356.0</v>
      </c>
      <c r="J12" s="32">
        <f>'Decode_1M'!$AJ$13</f>
        <v>6055268244.0</v>
      </c>
    </row>
    <row r="13" spans="1:10">
      <c r="A13" s="4" t="s">
        <v>453</v>
      </c>
      <c r="B13" s="33" t="str">
        <f>TEXT(G13,"#,##0.000")&amp;" GB/s"</f>
        <v>358.038 GB/s</v>
      </c>
      <c r="C13" s="33" t="str">
        <f>TEXT(H13,"#,##0.000")&amp;" GB/s"</f>
        <v>231.532 GB/s</v>
      </c>
      <c r="D13" s="33" t="str">
        <f>TEXT(I13,"#,##0.000")&amp;" GB/s"</f>
        <v>1,049.223 GB/s</v>
      </c>
      <c r="E13" s="33" t="str">
        <f>TEXT(J13,"#,##0.000")&amp;" GB/s"</f>
        <v>403.523 GB/s</v>
      </c>
      <c r="F13" s="4" t="s">
        <v>454</v>
      </c>
      <c r="G13" s="32">
        <f>'Prefill_8K'!$AG$14/(PrefillTargetMs/1000)/1E9</f>
        <v>358.0378144</v>
      </c>
      <c r="H13" s="32">
        <f>'Prefill_8K'!$AJ$14/(PrefillTargetMs/1000)/1E9</f>
        <v>231.531806144</v>
      </c>
      <c r="I13" s="32">
        <f>'Decode_1M'!$AG$14/(DecodeTargetMs/1000)/1E9</f>
        <v>1049.2228352</v>
      </c>
      <c r="J13" s="32">
        <f>'Decode_1M'!$AJ$14/(DecodeTargetMs/1000)/1E9</f>
        <v>403.5232528</v>
      </c>
    </row>
    <row r="14" spans="1:10">
      <c r="A14" s="4" t="s">
        <v>455</v>
      </c>
      <c r="B14" s="33" t="str">
        <f>TEXT(G14,"#,##0.000")&amp;" GB/s"</f>
        <v>191.989 GB/s</v>
      </c>
      <c r="C14" s="33" t="str">
        <f>TEXT(H14,"#,##0.000")&amp;" GB/s"</f>
        <v>32.915 GB/s</v>
      </c>
      <c r="D14" s="33" t="str">
        <f>TEXT(I14,"#,##0.000")&amp;" GB/s"</f>
        <v>462.703 GB/s</v>
      </c>
      <c r="E14" s="33" t="str">
        <f>TEXT(J14,"#,##0.000")&amp;" GB/s"</f>
        <v>160.521 GB/s</v>
      </c>
      <c r="F14" s="4" t="s">
        <v>454</v>
      </c>
      <c r="G14" s="32">
        <f>'Prefill_8K'!$AG$15/(PrefillTargetMs/1000)/1E9</f>
        <v>191.988670976</v>
      </c>
      <c r="H14" s="32">
        <f>'Prefill_8K'!$AJ$15/(PrefillTargetMs/1000)/1E9</f>
        <v>32.915497472</v>
      </c>
      <c r="I14" s="32">
        <f>'Decode_1M'!$AG$15/(DecodeTargetMs/1000)/1E9</f>
        <v>462.7033672</v>
      </c>
      <c r="J14" s="32">
        <f>'Decode_1M'!$AJ$15/(DecodeTargetMs/1000)/1E9</f>
        <v>160.5205576</v>
      </c>
    </row>
    <row r="15" spans="1:10">
      <c r="A15" s="4" t="s">
        <v>456</v>
      </c>
      <c r="B15" s="33" t="str">
        <f>TEXT(G15,"#,##0.000")&amp;" GB/s"</f>
        <v>106.744 GB/s</v>
      </c>
      <c r="C15" s="33" t="str">
        <f>TEXT(H15,"#,##0.000")&amp;" GB/s"</f>
        <v>104.891 GB/s</v>
      </c>
      <c r="D15" s="33" t="str">
        <f>TEXT(I15,"#,##0.000")&amp;" GB/s"</f>
        <v>226.865 GB/s</v>
      </c>
      <c r="E15" s="33" t="str">
        <f>TEXT(J15,"#,##0.000")&amp;" GB/s"</f>
        <v>41.483 GB/s</v>
      </c>
      <c r="F15" s="4" t="s">
        <v>454</v>
      </c>
      <c r="G15" s="32">
        <f>'Prefill_8K'!$AQ$48/(PrefillTargetMs/1000)/1E9</f>
        <v>106.744396636</v>
      </c>
      <c r="H15" s="32">
        <f>'Prefill_8K'!$AR$48/(PrefillTargetMs/1000)/1E9</f>
        <v>104.890576444</v>
      </c>
      <c r="I15" s="32">
        <f>'Decode_1M'!$AQ$48/(DecodeTargetMs/1000)/1E9</f>
        <v>226.8650332</v>
      </c>
      <c r="J15" s="32">
        <f>'Decode_1M'!$AR$48/(DecodeTargetMs/1000)/1E9</f>
        <v>41.483014</v>
      </c>
    </row>
    <row r="16" spans="1:10">
      <c r="A16" s="4" t="s">
        <v>457</v>
      </c>
      <c r="B16" s="33" t="str">
        <f>TEXT(G16,"#,##0.000")&amp;" TFLOP/s"</f>
        <v>228.398 TFLOP/s</v>
      </c>
      <c r="C16" s="33" t="str">
        <f>TEXT(H16,"#,##0.000")&amp;" TFLOP/s"</f>
        <v>55.653 TFLOP/s</v>
      </c>
      <c r="D16" s="33" t="str">
        <f>TEXT(I16,"#,##0.000")&amp;" TFLOP/s"</f>
        <v>14.036 TFLOP/s</v>
      </c>
      <c r="E16" s="33" t="str">
        <f>TEXT(J16,"#,##0.000")&amp;" TFLOP/s"</f>
        <v>2.355 TFLOP/s</v>
      </c>
      <c r="F16" s="4" t="s">
        <v>458</v>
      </c>
      <c r="G16" s="32">
        <f>'Prefill_8K'!$AF$13/(PrefillTargetMs/1000)/1E12</f>
        <v>228.39768211456</v>
      </c>
      <c r="H16" s="32">
        <f>'Prefill_8K'!$AI$13/(PrefillTargetMs/1000)/1E12</f>
        <v>55.652568907776</v>
      </c>
      <c r="I16" s="32">
        <f>'Decode_1M'!$AF$13/(DecodeTargetMs/1000)/1E12</f>
        <v>14.035575211</v>
      </c>
      <c r="J16" s="32">
        <f>'Decode_1M'!$AI$13/(DecodeTargetMs/1000)/1E12</f>
        <v>2.3549694126</v>
      </c>
    </row>
    <row r="17" spans="1:10">
      <c r="A17" s="4" t="s">
        <v>459</v>
      </c>
      <c r="B17" s="33" t="str">
        <f>TEXT(IF(ABS(G17)&gt;=1E12,G17/1E12,IF(ABS(G17)&gt;=1E9,G17/1E9,IF(ABS(G17)&gt;=1E6,G17/1E6,IF(ABS(G17)&gt;=1E3,G17/1E3,G17)))),"#,##0.000")&amp;IF((IF(ABS(G17)&gt;=1E12,"TB",IF(ABS(G17)&gt;=1E9,"GB",IF(ABS(G17)&gt;=1E6,"MB",IF(ABS(G17)&gt;=1E3,"KB","bytes")))))="",""," "&amp;(IF(ABS(G17)&gt;=1E12,"TB",IF(ABS(G17)&gt;=1E9,"GB",IF(ABS(G17)&gt;=1E6,"MB",IF(ABS(G17)&gt;=1E3,"KB","bytes"))))))</f>
        <v>0.000 B</v>
      </c>
      <c r="C17" s="33" t="str">
        <f>TEXT(IF(ABS(H17)&gt;=1E12,H17/1E12,IF(ABS(H17)&gt;=1E9,H17/1E9,IF(ABS(H17)&gt;=1E6,H17/1E6,IF(ABS(H17)&gt;=1E3,H17/1E3,H17)))),"#,##0.000")&amp;IF((IF(ABS(H17)&gt;=1E12,"TB",IF(ABS(H17)&gt;=1E9,"GB",IF(ABS(H17)&gt;=1E6,"MB",IF(ABS(H17)&gt;=1E3,"KB","bytes")))))="",""," "&amp;(IF(ABS(H17)&gt;=1E12,"TB",IF(ABS(H17)&gt;=1E9,"GB",IF(ABS(H17)&gt;=1E6,"MB",IF(ABS(H17)&gt;=1E3,"KB","bytes"))))))</f>
        <v>40.635 GB</v>
      </c>
      <c r="D17" s="33" t="str">
        <f>TEXT(IF(ABS(I17)&gt;=1E12,I17/1E12,IF(ABS(I17)&gt;=1E9,I17/1E9,IF(ABS(I17)&gt;=1E6,I17/1E6,IF(ABS(I17)&gt;=1E3,I17/1E3,I17)))),"#,##0.000")&amp;IF((IF(ABS(I17)&gt;=1E12,"TB",IF(ABS(I17)&gt;=1E9,"GB",IF(ABS(I17)&gt;=1E6,"MB",IF(ABS(I17)&gt;=1E3,"KB","bytes")))))="",""," "&amp;(IF(ABS(I17)&gt;=1E12,"TB",IF(ABS(I17)&gt;=1E9,"GB",IF(ABS(I17)&gt;=1E6,"MB",IF(ABS(I17)&gt;=1E3,"KB","bytes"))))))</f>
        <v>0.000 B</v>
      </c>
      <c r="E17" s="33" t="str">
        <f>TEXT(IF(ABS(J17)&gt;=1E12,J17/1E12,IF(ABS(J17)&gt;=1E9,J17/1E9,IF(ABS(J17)&gt;=1E6,J17/1E6,IF(ABS(J17)&gt;=1E3,J17/1E3,J17)))),"#,##0.000")&amp;IF((IF(ABS(J17)&gt;=1E12,"TB",IF(ABS(J17)&gt;=1E9,"GB",IF(ABS(J17)&gt;=1E6,"MB",IF(ABS(J17)&gt;=1E3,"KB","bytes")))))="",""," "&amp;(IF(ABS(J17)&gt;=1E12,"TB",IF(ABS(J17)&gt;=1E9,"GB",IF(ABS(J17)&gt;=1E6,"MB",IF(ABS(J17)&gt;=1E3,"KB","bytes"))))))</f>
        <v>5.865 MB</v>
      </c>
      <c r="F17" s="4" t="s">
        <v>460</v>
      </c>
      <c r="G17" s="32">
        <f>'Prefill_8K'!$AS$48</f>
        <v>0.0</v>
      </c>
      <c r="H17" s="32">
        <f>'Prefill_8K'!$AT$48</f>
        <v>40635322112.0</v>
      </c>
      <c r="I17" s="32">
        <f>'Decode_1M'!$AS$48</f>
        <v>0.0</v>
      </c>
      <c r="J17" s="32">
        <f>'Decode_1M'!$AT$48</f>
        <v>5865216.0</v>
      </c>
    </row>
    <row r="18" spans="1:10">
      <c r="A18" s="4" t="s">
        <v>461</v>
      </c>
      <c r="B18" s="33" t="str">
        <f>TEXT(G18,"#,##0.000")&amp;" GB/s"</f>
        <v>0.000 GB/s</v>
      </c>
      <c r="C18" s="33" t="str">
        <f>TEXT(H18,"#,##0.000")&amp;" GB/s"</f>
        <v>40.635 GB/s</v>
      </c>
      <c r="D18" s="33" t="str">
        <f>TEXT(I18,"#,##0.000")&amp;" GB/s"</f>
        <v>0.000 GB/s</v>
      </c>
      <c r="E18" s="33" t="str">
        <f>TEXT(J18,"#,##0.000")&amp;" GB/s"</f>
        <v>0.587 GB/s</v>
      </c>
      <c r="F18" s="4" t="s">
        <v>462</v>
      </c>
      <c r="G18" s="32">
        <f>'Prefill_8K'!$AS$48/(PrefillTargetMs/1000)/1E9</f>
        <v>0.0</v>
      </c>
      <c r="H18" s="32">
        <f>'Prefill_8K'!$AT$48/(PrefillTargetMs/1000)/1E9</f>
        <v>40.635322112</v>
      </c>
      <c r="I18" s="32">
        <f>'Decode_1M'!$AS$48/(DecodeTargetMs/1000)/1E9</f>
        <v>0.0</v>
      </c>
      <c r="J18" s="32">
        <f>'Decode_1M'!$AT$48/(DecodeTargetMs/1000)/1E9</f>
        <v>0.5865216</v>
      </c>
    </row>
    <row r="19" spans="1:10">
      <c r="A19" s="4" t="s">
        <v>463</v>
      </c>
      <c r="B19" s="33" t="str">
        <f>TEXT(IF(ABS(G19)&gt;=1E12,G19/1E12,IF(ABS(G19)&gt;=1E9,G19/1E9,IF(ABS(G19)&gt;=1E6,G19/1E6,IF(ABS(G19)&gt;=1E3,G19/1E3,G19)))),"#,##0.000")&amp;IF((IF(ABS(G19)&gt;=1E12,"T",IF(ABS(G19)&gt;=1E9,"G",IF(ABS(G19)&gt;=1E6,"M",IF(ABS(G19)&gt;=1E3,"K","")))))="",""," "&amp;(IF(ABS(G19)&gt;=1E12,"T",IF(ABS(G19)&gt;=1E9,"G",IF(ABS(G19)&gt;=1E6,"M",IF(ABS(G19)&gt;=1E3,"K",""))))))</f>
        <v>5.086 G</v>
      </c>
      <c r="C19" s="33" t="str">
        <f>TEXT(IF(ABS(H19)&gt;=1E12,H19/1E12,IF(ABS(H19)&gt;=1E9,H19/1E9,IF(ABS(H19)&gt;=1E6,H19/1E6,IF(ABS(H19)&gt;=1E3,H19/1E3,H19)))),"#,##0.000")&amp;IF((IF(ABS(H19)&gt;=1E12,"T",IF(ABS(H19)&gt;=1E9,"G",IF(ABS(H19)&gt;=1E6,"M",IF(ABS(H19)&gt;=1E3,"K","")))))="",""," "&amp;(IF(ABS(H19)&gt;=1E12,"T",IF(ABS(H19)&gt;=1E9,"G",IF(ABS(H19)&gt;=1E6,"M",IF(ABS(H19)&gt;=1E3,"K",""))))))</f>
        <v>1.140 G</v>
      </c>
      <c r="D19" s="33" t="str">
        <f>TEXT(IF(ABS(I19)&gt;=1E12,I19/1E12,IF(ABS(I19)&gt;=1E9,I19/1E9,IF(ABS(I19)&gt;=1E6,I19/1E6,IF(ABS(I19)&gt;=1E3,I19/1E3,I19)))),"#,##0.000")&amp;IF((IF(ABS(I19)&gt;=1E12,"T",IF(ABS(I19)&gt;=1E9,"G",IF(ABS(I19)&gt;=1E6,"M",IF(ABS(I19)&gt;=1E3,"K","")))))="",""," "&amp;(IF(ABS(I19)&gt;=1E12,"T",IF(ABS(I19)&gt;=1E9,"G",IF(ABS(I19)&gt;=1E6,"M",IF(ABS(I19)&gt;=1E3,"K",""))))))</f>
        <v>5.086 G</v>
      </c>
      <c r="E19" s="33" t="str">
        <f>TEXT(IF(ABS(J19)&gt;=1E12,J19/1E12,IF(ABS(J19)&gt;=1E9,J19/1E9,IF(ABS(J19)&gt;=1E6,J19/1E6,IF(ABS(J19)&gt;=1E3,J19/1E3,J19)))),"#,##0.000")&amp;IF((IF(ABS(J19)&gt;=1E12,"T",IF(ABS(J19)&gt;=1E9,"G",IF(ABS(J19)&gt;=1E6,"M",IF(ABS(J19)&gt;=1E3,"K","")))))="",""," "&amp;(IF(ABS(J19)&gt;=1E12,"T",IF(ABS(J19)&gt;=1E9,"G",IF(ABS(J19)&gt;=1E6,"M",IF(ABS(J19)&gt;=1E3,"K",""))))))</f>
        <v>1.140 G</v>
      </c>
      <c r="F19" s="4" t="s">
        <v>464</v>
      </c>
      <c r="G19" s="32">
        <f>'Prefill_8K'!$AY$49</f>
        <v>5086249088.0</v>
      </c>
      <c r="H19" s="32">
        <f>'Prefill_8K'!$AZ$49</f>
        <v>1139835008.0</v>
      </c>
      <c r="I19" s="32">
        <f>'Prefill_8K'!$AY$49</f>
        <v>5086249088.0</v>
      </c>
      <c r="J19" s="32">
        <f>'Prefill_8K'!$AZ$49</f>
        <v>1139835008.0</v>
      </c>
    </row>
    <row r="20" spans="1:10">
      <c r="A20" s="4" t="s">
        <v>465</v>
      </c>
      <c r="B20" s="33" t="str">
        <f>TEXT(IF(ABS(G20)&gt;=1E12,G20/1E12,IF(ABS(G20)&gt;=1E9,G20/1E9,IF(ABS(G20)&gt;=1E6,G20/1E6,IF(ABS(G20)&gt;=1E3,G20/1E3,G20)))),"#,##0.000")&amp;IF((IF(ABS(G20)&gt;=1E12,"T",IF(ABS(G20)&gt;=1E9,"G",IF(ABS(G20)&gt;=1E6,"M",IF(ABS(G20)&gt;=1E3,"K","")))))="",""," "&amp;(IF(ABS(G20)&gt;=1E12,"T",IF(ABS(G20)&gt;=1E9,"G",IF(ABS(G20)&gt;=1E6,"M",IF(ABS(G20)&gt;=1E3,"K",""))))))</f>
        <v>278.155 G</v>
      </c>
      <c r="C20" s="33" t="str">
        <f>TEXT(IF(ABS(H20)&gt;=1E12,H20/1E12,IF(ABS(H20)&gt;=1E9,H20/1E9,IF(ABS(H20)&gt;=1E6,H20/1E6,IF(ABS(H20)&gt;=1E3,H20/1E3,H20)))),"#,##0.000")&amp;IF((IF(ABS(H20)&gt;=1E12,"T",IF(ABS(H20)&gt;=1E9,"G",IF(ABS(H20)&gt;=1E6,"M",IF(ABS(H20)&gt;=1E3,"K","")))))="",""," "&amp;(IF(ABS(H20)&gt;=1E12,"T",IF(ABS(H20)&gt;=1E9,"G",IF(ABS(H20)&gt;=1E6,"M",IF(ABS(H20)&gt;=1E3,"K",""))))))</f>
        <v>35.758 G</v>
      </c>
      <c r="D20" s="33" t="str">
        <f>TEXT(IF(ABS(I20)&gt;=1E12,I20/1E12,IF(ABS(I20)&gt;=1E9,I20/1E9,IF(ABS(I20)&gt;=1E6,I20/1E6,IF(ABS(I20)&gt;=1E3,I20/1E3,I20)))),"#,##0.000")&amp;IF((IF(ABS(I20)&gt;=1E12,"T",IF(ABS(I20)&gt;=1E9,"G",IF(ABS(I20)&gt;=1E6,"M",IF(ABS(I20)&gt;=1E3,"K","")))))="",""," "&amp;(IF(ABS(I20)&gt;=1E12,"T",IF(ABS(I20)&gt;=1E9,"G",IF(ABS(I20)&gt;=1E6,"M",IF(ABS(I20)&gt;=1E3,"K",""))))))</f>
        <v>278.155 G</v>
      </c>
      <c r="E20" s="33" t="str">
        <f>TEXT(IF(ABS(J20)&gt;=1E12,J20/1E12,IF(ABS(J20)&gt;=1E9,J20/1E9,IF(ABS(J20)&gt;=1E6,J20/1E6,IF(ABS(J20)&gt;=1E3,J20/1E3,J20)))),"#,##0.000")&amp;IF((IF(ABS(J20)&gt;=1E12,"T",IF(ABS(J20)&gt;=1E9,"G",IF(ABS(J20)&gt;=1E6,"M",IF(ABS(J20)&gt;=1E3,"K","")))))="",""," "&amp;(IF(ABS(J20)&gt;=1E12,"T",IF(ABS(J20)&gt;=1E9,"G",IF(ABS(J20)&gt;=1E6,"M",IF(ABS(J20)&gt;=1E3,"K",""))))))</f>
        <v>35.758 G</v>
      </c>
      <c r="F20" s="4" t="s">
        <v>466</v>
      </c>
      <c r="G20" s="32">
        <f>'Prefill_8K'!$AY$50</f>
        <v>278154947072.0</v>
      </c>
      <c r="H20" s="32">
        <f>'Prefill_8K'!$AZ$50</f>
        <v>35757730304.0</v>
      </c>
      <c r="I20" s="32">
        <f>'Prefill_8K'!$AY$50</f>
        <v>278154947072.0</v>
      </c>
      <c r="J20" s="32">
        <f>'Prefill_8K'!$AZ$50</f>
        <v>35757730304.0</v>
      </c>
    </row>
    <row r="21" spans="1:10">
      <c r="A21" s="4" t="s">
        <v>467</v>
      </c>
      <c r="B21" s="33" t="str">
        <f>TEXT(IF(ABS(G21)&gt;=1E12,G21/1E12,IF(ABS(G21)&gt;=1E9,G21/1E9,IF(ABS(G21)&gt;=1E6,G21/1E6,IF(ABS(G21)&gt;=1E3,G21/1E3,G21)))),"#,##0.000")&amp;IF((IF(ABS(G21)&gt;=1E12,"T",IF(ABS(G21)&gt;=1E9,"G",IF(ABS(G21)&gt;=1E6,"M",IF(ABS(G21)&gt;=1E3,"K","")))))="",""," "&amp;(IF(ABS(G21)&gt;=1E12,"T",IF(ABS(G21)&gt;=1E9,"G",IF(ABS(G21)&gt;=1E6,"M",IF(ABS(G21)&gt;=1E3,"K",""))))))</f>
        <v>1.093 G</v>
      </c>
      <c r="C21" s="33" t="str">
        <f>TEXT(IF(ABS(H21)&gt;=1E12,H21/1E12,IF(ABS(H21)&gt;=1E9,H21/1E9,IF(ABS(H21)&gt;=1E6,H21/1E6,IF(ABS(H21)&gt;=1E3,H21/1E3,H21)))),"#,##0.000")&amp;IF((IF(ABS(H21)&gt;=1E12,"T",IF(ABS(H21)&gt;=1E9,"G",IF(ABS(H21)&gt;=1E6,"M",IF(ABS(H21)&gt;=1E3,"K","")))))="",""," "&amp;(IF(ABS(H21)&gt;=1E12,"T",IF(ABS(H21)&gt;=1E9,"G",IF(ABS(H21)&gt;=1E6,"M",IF(ABS(H21)&gt;=1E3,"K",""))))))</f>
        <v>166.690 M</v>
      </c>
      <c r="D21" s="33" t="str">
        <f>TEXT(IF(ABS(I21)&gt;=1E12,I21/1E12,IF(ABS(I21)&gt;=1E9,I21/1E9,IF(ABS(I21)&gt;=1E6,I21/1E6,IF(ABS(I21)&gt;=1E3,I21/1E3,I21)))),"#,##0.000")&amp;IF((IF(ABS(I21)&gt;=1E12,"T",IF(ABS(I21)&gt;=1E9,"G",IF(ABS(I21)&gt;=1E6,"M",IF(ABS(I21)&gt;=1E3,"K","")))))="",""," "&amp;(IF(ABS(I21)&gt;=1E12,"T",IF(ABS(I21)&gt;=1E9,"G",IF(ABS(I21)&gt;=1E6,"M",IF(ABS(I21)&gt;=1E3,"K",""))))))</f>
        <v>1.093 G</v>
      </c>
      <c r="E21" s="33" t="str">
        <f>TEXT(IF(ABS(J21)&gt;=1E12,J21/1E12,IF(ABS(J21)&gt;=1E9,J21/1E9,IF(ABS(J21)&gt;=1E6,J21/1E6,IF(ABS(J21)&gt;=1E3,J21/1E3,J21)))),"#,##0.000")&amp;IF((IF(ABS(J21)&gt;=1E12,"T",IF(ABS(J21)&gt;=1E9,"G",IF(ABS(J21)&gt;=1E6,"M",IF(ABS(J21)&gt;=1E3,"K","")))))="",""," "&amp;(IF(ABS(J21)&gt;=1E12,"T",IF(ABS(J21)&gt;=1E9,"G",IF(ABS(J21)&gt;=1E6,"M",IF(ABS(J21)&gt;=1E3,"K",""))))))</f>
        <v>166.690 M</v>
      </c>
      <c r="F21" s="4" t="s">
        <v>468</v>
      </c>
      <c r="G21" s="32">
        <f>'Prefill_8K'!$AY$51</f>
        <v>1093371351.0</v>
      </c>
      <c r="H21" s="32">
        <f>'Prefill_8K'!$AZ$51</f>
        <v>166689903.0</v>
      </c>
      <c r="I21" s="32">
        <f>'Prefill_8K'!$AY$51</f>
        <v>1093371351.0</v>
      </c>
      <c r="J21" s="32">
        <f>'Prefill_8K'!$AZ$51</f>
        <v>166689903.0</v>
      </c>
    </row>
    <row r="22" spans="1:10">
      <c r="A22" s="31" t="s">
        <v>469</v>
      </c>
      <c r="B22" s="31" t="str">
        <f>TEXT(IF(ABS(G22)&gt;=1E12,G22/1E12,IF(ABS(G22)&gt;=1E9,G22/1E9,IF(ABS(G22)&gt;=1E6,G22/1E6,IF(ABS(G22)&gt;=1E3,G22/1E3,G22)))),"#,##0.000")&amp;IF((IF(ABS(G22)&gt;=1E12,"T",IF(ABS(G22)&gt;=1E9,"G",IF(ABS(G22)&gt;=1E6,"M",IF(ABS(G22)&gt;=1E3,"K","")))))="",""," "&amp;(IF(ABS(G22)&gt;=1E12,"T",IF(ABS(G22)&gt;=1E9,"G",IF(ABS(G22)&gt;=1E6,"M",IF(ABS(G22)&gt;=1E3,"K",""))))))</f>
        <v>284.335 G</v>
      </c>
      <c r="C22" s="31" t="str">
        <f>TEXT(IF(ABS(H22)&gt;=1E12,H22/1E12,IF(ABS(H22)&gt;=1E9,H22/1E9,IF(ABS(H22)&gt;=1E6,H22/1E6,IF(ABS(H22)&gt;=1E3,H22/1E3,H22)))),"#,##0.000")&amp;IF((IF(ABS(H22)&gt;=1E12,"T",IF(ABS(H22)&gt;=1E9,"G",IF(ABS(H22)&gt;=1E6,"M",IF(ABS(H22)&gt;=1E3,"K","")))))="",""," "&amp;(IF(ABS(H22)&gt;=1E12,"T",IF(ABS(H22)&gt;=1E9,"G",IF(ABS(H22)&gt;=1E6,"M",IF(ABS(H22)&gt;=1E3,"K",""))))))</f>
        <v>37.064 G</v>
      </c>
      <c r="D22" s="31" t="str">
        <f>TEXT(IF(ABS(I22)&gt;=1E12,I22/1E12,IF(ABS(I22)&gt;=1E9,I22/1E9,IF(ABS(I22)&gt;=1E6,I22/1E6,IF(ABS(I22)&gt;=1E3,I22/1E3,I22)))),"#,##0.000")&amp;IF((IF(ABS(I22)&gt;=1E12,"T",IF(ABS(I22)&gt;=1E9,"G",IF(ABS(I22)&gt;=1E6,"M",IF(ABS(I22)&gt;=1E3,"K","")))))="",""," "&amp;(IF(ABS(I22)&gt;=1E12,"T",IF(ABS(I22)&gt;=1E9,"G",IF(ABS(I22)&gt;=1E6,"M",IF(ABS(I22)&gt;=1E3,"K",""))))))</f>
        <v>284.335 G</v>
      </c>
      <c r="E22" s="31" t="str">
        <f>TEXT(IF(ABS(J22)&gt;=1E12,J22/1E12,IF(ABS(J22)&gt;=1E9,J22/1E9,IF(ABS(J22)&gt;=1E6,J22/1E6,IF(ABS(J22)&gt;=1E3,J22/1E3,J22)))),"#,##0.000")&amp;IF((IF(ABS(J22)&gt;=1E12,"T",IF(ABS(J22)&gt;=1E9,"G",IF(ABS(J22)&gt;=1E6,"M",IF(ABS(J22)&gt;=1E3,"K","")))))="",""," "&amp;(IF(ABS(J22)&gt;=1E12,"T",IF(ABS(J22)&gt;=1E9,"G",IF(ABS(J22)&gt;=1E6,"M",IF(ABS(J22)&gt;=1E3,"K",""))))))</f>
        <v>37.064 G</v>
      </c>
      <c r="F22" s="4" t="s">
        <v>470</v>
      </c>
      <c r="G22" s="32">
        <f>'Prefill_8K'!$AY$52</f>
        <v>284334567511.0</v>
      </c>
      <c r="H22" s="32">
        <f>'Prefill_8K'!$AZ$52</f>
        <v>37064255215.0</v>
      </c>
      <c r="I22" s="32">
        <f>'Prefill_8K'!$AY$52</f>
        <v>284334567511.0</v>
      </c>
      <c r="J22" s="32">
        <f>'Prefill_8K'!$AZ$52</f>
        <v>37064255215.0</v>
      </c>
    </row>
    <row r="23" spans="1:10">
      <c r="A23" s="4" t="s">
        <v>471</v>
      </c>
      <c r="B23" s="33" t="str">
        <f>TEXT(IF(ABS(G23)&gt;=1E12,G23/1E12,IF(ABS(G23)&gt;=1E9,G23/1E9,IF(ABS(G23)&gt;=1E6,G23/1E6,IF(ABS(G23)&gt;=1E3,G23/1E3,G23)))),"#,##0.000")&amp;IF((IF(ABS(G23)&gt;=1E12,"TB",IF(ABS(G23)&gt;=1E9,"GB",IF(ABS(G23)&gt;=1E6,"MB",IF(ABS(G23)&gt;=1E3,"KB","bytes")))))="",""," "&amp;(IF(ABS(G23)&gt;=1E12,"TB",IF(ABS(G23)&gt;=1E9,"GB",IF(ABS(G23)&gt;=1E6,"MB",IF(ABS(G23)&gt;=1E3,"KB","bytes"))))))</f>
        <v>7.451 GB</v>
      </c>
      <c r="C23" s="33" t="str">
        <f>TEXT(IF(ABS(H23)&gt;=1E12,H23/1E12,IF(ABS(H23)&gt;=1E9,H23/1E9,IF(ABS(H23)&gt;=1E6,H23/1E6,IF(ABS(H23)&gt;=1E3,H23/1E3,H23)))),"#,##0.000")&amp;IF((IF(ABS(H23)&gt;=1E12,"TB",IF(ABS(H23)&gt;=1E9,"GB",IF(ABS(H23)&gt;=1E6,"MB",IF(ABS(H23)&gt;=1E3,"KB","bytes")))))="",""," "&amp;(IF(ABS(H23)&gt;=1E12,"TB",IF(ABS(H23)&gt;=1E9,"GB",IF(ABS(H23)&gt;=1E6,"MB",IF(ABS(H23)&gt;=1E3,"KB","bytes"))))))</f>
        <v>2.238 GB</v>
      </c>
      <c r="D23" s="33" t="str">
        <f>TEXT(IF(ABS(I23)&gt;=1E12,I23/1E12,IF(ABS(I23)&gt;=1E9,I23/1E9,IF(ABS(I23)&gt;=1E6,I23/1E6,IF(ABS(I23)&gt;=1E3,I23/1E3,I23)))),"#,##0.000")&amp;IF((IF(ABS(I23)&gt;=1E12,"TB",IF(ABS(I23)&gt;=1E9,"GB",IF(ABS(I23)&gt;=1E6,"MB",IF(ABS(I23)&gt;=1E3,"KB","bytes")))))="",""," "&amp;(IF(ABS(I23)&gt;=1E12,"TB",IF(ABS(I23)&gt;=1E9,"GB",IF(ABS(I23)&gt;=1E6,"MB",IF(ABS(I23)&gt;=1E3,"KB","bytes"))))))</f>
        <v>7.451 GB</v>
      </c>
      <c r="E23" s="33" t="str">
        <f>TEXT(IF(ABS(J23)&gt;=1E12,J23/1E12,IF(ABS(J23)&gt;=1E9,J23/1E9,IF(ABS(J23)&gt;=1E6,J23/1E6,IF(ABS(J23)&gt;=1E3,J23/1E3,J23)))),"#,##0.000")&amp;IF((IF(ABS(J23)&gt;=1E12,"TB",IF(ABS(J23)&gt;=1E9,"GB",IF(ABS(J23)&gt;=1E6,"MB",IF(ABS(J23)&gt;=1E3,"KB","bytes")))))="",""," "&amp;(IF(ABS(J23)&gt;=1E12,"TB",IF(ABS(J23)&gt;=1E9,"GB",IF(ABS(J23)&gt;=1E6,"MB",IF(ABS(J23)&gt;=1E3,"KB","bytes"))))))</f>
        <v>2.238 GB</v>
      </c>
      <c r="F23" s="4" t="s">
        <v>472</v>
      </c>
      <c r="G23" s="32">
        <f>'Prefill_8K'!$BA$49</f>
        <v>7451384960</v>
      </c>
      <c r="H23" s="32">
        <f>'Prefill_8K'!$BB$49</f>
        <v>2237504960</v>
      </c>
      <c r="I23" s="32">
        <f>'Prefill_8K'!$BA$49</f>
        <v>7451384960</v>
      </c>
      <c r="J23" s="32">
        <f>'Prefill_8K'!$BB$49</f>
        <v>2237504960</v>
      </c>
    </row>
    <row r="24" spans="1:10">
      <c r="A24" s="4" t="s">
        <v>473</v>
      </c>
      <c r="B24" s="33" t="str">
        <f>TEXT(IF(ABS(G24)&gt;=1E12,G24/1E12,IF(ABS(G24)&gt;=1E9,G24/1E9,IF(ABS(G24)&gt;=1E6,G24/1E6,IF(ABS(G24)&gt;=1E3,G24/1E3,G24)))),"#,##0.000")&amp;IF((IF(ABS(G24)&gt;=1E12,"TB",IF(ABS(G24)&gt;=1E9,"GB",IF(ABS(G24)&gt;=1E6,"MB",IF(ABS(G24)&gt;=1E3,"KB","bytes")))))="",""," "&amp;(IF(ABS(G24)&gt;=1E12,"TB",IF(ABS(G24)&gt;=1E9,"GB",IF(ABS(G24)&gt;=1E6,"MB",IF(ABS(G24)&gt;=1E3,"KB","bytes"))))))</f>
        <v>148.351 GB</v>
      </c>
      <c r="C24" s="33" t="str">
        <f>TEXT(IF(ABS(H24)&gt;=1E12,H24/1E12,IF(ABS(H24)&gt;=1E9,H24/1E9,IF(ABS(H24)&gt;=1E6,H24/1E6,IF(ABS(H24)&gt;=1E3,H24/1E3,H24)))),"#,##0.000")&amp;IF((IF(ABS(H24)&gt;=1E12,"TB",IF(ABS(H24)&gt;=1E9,"GB",IF(ABS(H24)&gt;=1E6,"MB",IF(ABS(H24)&gt;=1E3,"KB","bytes")))))="",""," "&amp;(IF(ABS(H24)&gt;=1E12,"TB",IF(ABS(H24)&gt;=1E9,"GB",IF(ABS(H24)&gt;=1E6,"MB",IF(ABS(H24)&gt;=1E3,"KB","bytes"))))))</f>
        <v>19.578 GB</v>
      </c>
      <c r="D24" s="33" t="str">
        <f>TEXT(IF(ABS(I24)&gt;=1E12,I24/1E12,IF(ABS(I24)&gt;=1E9,I24/1E9,IF(ABS(I24)&gt;=1E6,I24/1E6,IF(ABS(I24)&gt;=1E3,I24/1E3,I24)))),"#,##0.000")&amp;IF((IF(ABS(I24)&gt;=1E12,"TB",IF(ABS(I24)&gt;=1E9,"GB",IF(ABS(I24)&gt;=1E6,"MB",IF(ABS(I24)&gt;=1E3,"KB","bytes")))))="",""," "&amp;(IF(ABS(I24)&gt;=1E12,"TB",IF(ABS(I24)&gt;=1E9,"GB",IF(ABS(I24)&gt;=1E6,"MB",IF(ABS(I24)&gt;=1E3,"KB","bytes"))))))</f>
        <v>148.351 GB</v>
      </c>
      <c r="E24" s="33" t="str">
        <f>TEXT(IF(ABS(J24)&gt;=1E12,J24/1E12,IF(ABS(J24)&gt;=1E9,J24/1E9,IF(ABS(J24)&gt;=1E6,J24/1E6,IF(ABS(J24)&gt;=1E3,J24/1E3,J24)))),"#,##0.000")&amp;IF((IF(ABS(J24)&gt;=1E12,"TB",IF(ABS(J24)&gt;=1E9,"GB",IF(ABS(J24)&gt;=1E6,"MB",IF(ABS(J24)&gt;=1E3,"KB","bytes")))))="",""," "&amp;(IF(ABS(J24)&gt;=1E12,"TB",IF(ABS(J24)&gt;=1E9,"GB",IF(ABS(J24)&gt;=1E6,"MB",IF(ABS(J24)&gt;=1E3,"KB","bytes"))))))</f>
        <v>19.578 GB</v>
      </c>
      <c r="F24" s="4" t="s">
        <v>474</v>
      </c>
      <c r="G24" s="32">
        <f>'Prefill_8K'!$BA$50</f>
        <v>148351461888.0</v>
      </c>
      <c r="H24" s="32">
        <f>'Prefill_8K'!$BB$50</f>
        <v>19577940480.0</v>
      </c>
      <c r="I24" s="32">
        <f>'Prefill_8K'!$BA$50</f>
        <v>148351461888.0</v>
      </c>
      <c r="J24" s="32">
        <f>'Prefill_8K'!$BB$50</f>
        <v>19577940480.0</v>
      </c>
    </row>
    <row r="25" spans="1:10">
      <c r="A25" s="4" t="s">
        <v>475</v>
      </c>
      <c r="B25" s="33" t="str">
        <f>TEXT(IF(ABS(G25)&gt;=1E12,G25/1E12,IF(ABS(G25)&gt;=1E9,G25/1E9,IF(ABS(G25)&gt;=1E6,G25/1E6,IF(ABS(G25)&gt;=1E3,G25/1E3,G25)))),"#,##0.000")&amp;IF((IF(ABS(G25)&gt;=1E12,"TB",IF(ABS(G25)&gt;=1E9,"GB",IF(ABS(G25)&gt;=1E6,"MB",IF(ABS(G25)&gt;=1E3,"KB","bytes")))))="",""," "&amp;(IF(ABS(G25)&gt;=1E12,"TB",IF(ABS(G25)&gt;=1E9,"GB",IF(ABS(G25)&gt;=1E6,"MB",IF(ABS(G25)&gt;=1E3,"KB","bytes"))))))</f>
        <v>3.314 GB</v>
      </c>
      <c r="C25" s="33" t="str">
        <f>TEXT(IF(ABS(H25)&gt;=1E12,H25/1E12,IF(ABS(H25)&gt;=1E9,H25/1E9,IF(ABS(H25)&gt;=1E6,H25/1E6,IF(ABS(H25)&gt;=1E3,H25/1E3,H25)))),"#,##0.000")&amp;IF((IF(ABS(H25)&gt;=1E12,"TB",IF(ABS(H25)&gt;=1E9,"GB",IF(ABS(H25)&gt;=1E6,"MB",IF(ABS(H25)&gt;=1E3,"KB","bytes")))))="",""," "&amp;(IF(ABS(H25)&gt;=1E12,"TB",IF(ABS(H25)&gt;=1E9,"GB",IF(ABS(H25)&gt;=1E6,"MB",IF(ABS(H25)&gt;=1E3,"KB","bytes"))))))</f>
        <v>534.377 MB</v>
      </c>
      <c r="D25" s="33" t="str">
        <f>TEXT(IF(ABS(I25)&gt;=1E12,I25/1E12,IF(ABS(I25)&gt;=1E9,I25/1E9,IF(ABS(I25)&gt;=1E6,I25/1E6,IF(ABS(I25)&gt;=1E3,I25/1E3,I25)))),"#,##0.000")&amp;IF((IF(ABS(I25)&gt;=1E12,"TB",IF(ABS(I25)&gt;=1E9,"GB",IF(ABS(I25)&gt;=1E6,"MB",IF(ABS(I25)&gt;=1E3,"KB","bytes")))))="",""," "&amp;(IF(ABS(I25)&gt;=1E12,"TB",IF(ABS(I25)&gt;=1E9,"GB",IF(ABS(I25)&gt;=1E6,"MB",IF(ABS(I25)&gt;=1E3,"KB","bytes"))))))</f>
        <v>3.314 GB</v>
      </c>
      <c r="E25" s="33" t="str">
        <f>TEXT(IF(ABS(J25)&gt;=1E12,J25/1E12,IF(ABS(J25)&gt;=1E9,J25/1E9,IF(ABS(J25)&gt;=1E6,J25/1E6,IF(ABS(J25)&gt;=1E3,J25/1E3,J25)))),"#,##0.000")&amp;IF((IF(ABS(J25)&gt;=1E12,"TB",IF(ABS(J25)&gt;=1E9,"GB",IF(ABS(J25)&gt;=1E6,"MB",IF(ABS(J25)&gt;=1E3,"KB","bytes")))))="",""," "&amp;(IF(ABS(J25)&gt;=1E12,"TB",IF(ABS(J25)&gt;=1E9,"GB",IF(ABS(J25)&gt;=1E6,"MB",IF(ABS(J25)&gt;=1E3,"KB","bytes"))))))</f>
        <v>534.377 MB</v>
      </c>
      <c r="F25" s="4" t="s">
        <v>468</v>
      </c>
      <c r="G25" s="32">
        <f>'Prefill_8K'!$BA$51</f>
        <v>3314423644.0</v>
      </c>
      <c r="H25" s="32">
        <f>'Prefill_8K'!$BB$51</f>
        <v>534376892.0</v>
      </c>
      <c r="I25" s="32">
        <f>'Prefill_8K'!$BA$51</f>
        <v>3314423644.0</v>
      </c>
      <c r="J25" s="32">
        <f>'Prefill_8K'!$BB$51</f>
        <v>534376892.0</v>
      </c>
    </row>
    <row r="26" spans="1:10">
      <c r="A26" s="31" t="s">
        <v>476</v>
      </c>
      <c r="B26" s="31" t="str">
        <f>TEXT(IF(ABS(G26)&gt;=1E12,G26/1E12,IF(ABS(G26)&gt;=1E9,G26/1E9,IF(ABS(G26)&gt;=1E6,G26/1E6,IF(ABS(G26)&gt;=1E3,G26/1E3,G26)))),"#,##0.000")&amp;IF((IF(ABS(G26)&gt;=1E12,"TB",IF(ABS(G26)&gt;=1E9,"GB",IF(ABS(G26)&gt;=1E6,"MB",IF(ABS(G26)&gt;=1E3,"KB","bytes")))))="",""," "&amp;(IF(ABS(G26)&gt;=1E12,"TB",IF(ABS(G26)&gt;=1E9,"GB",IF(ABS(G26)&gt;=1E6,"MB",IF(ABS(G26)&gt;=1E3,"KB","bytes"))))))</f>
        <v>159.117 GB</v>
      </c>
      <c r="C26" s="31" t="str">
        <f>TEXT(IF(ABS(H26)&gt;=1E12,H26/1E12,IF(ABS(H26)&gt;=1E9,H26/1E9,IF(ABS(H26)&gt;=1E6,H26/1E6,IF(ABS(H26)&gt;=1E3,H26/1E3,H26)))),"#,##0.000")&amp;IF((IF(ABS(H26)&gt;=1E12,"TB",IF(ABS(H26)&gt;=1E9,"GB",IF(ABS(H26)&gt;=1E6,"MB",IF(ABS(H26)&gt;=1E3,"KB","bytes")))))="",""," "&amp;(IF(ABS(H26)&gt;=1E12,"TB",IF(ABS(H26)&gt;=1E9,"GB",IF(ABS(H26)&gt;=1E6,"MB",IF(ABS(H26)&gt;=1E3,"KB","bytes"))))))</f>
        <v>22.350 GB</v>
      </c>
      <c r="D26" s="31" t="str">
        <f>TEXT(IF(ABS(I26)&gt;=1E12,I26/1E12,IF(ABS(I26)&gt;=1E9,I26/1E9,IF(ABS(I26)&gt;=1E6,I26/1E6,IF(ABS(I26)&gt;=1E3,I26/1E3,I26)))),"#,##0.000")&amp;IF((IF(ABS(I26)&gt;=1E12,"TB",IF(ABS(I26)&gt;=1E9,"GB",IF(ABS(I26)&gt;=1E6,"MB",IF(ABS(I26)&gt;=1E3,"KB","bytes")))))="",""," "&amp;(IF(ABS(I26)&gt;=1E12,"TB",IF(ABS(I26)&gt;=1E9,"GB",IF(ABS(I26)&gt;=1E6,"MB",IF(ABS(I26)&gt;=1E3,"KB","bytes"))))))</f>
        <v>159.117 GB</v>
      </c>
      <c r="E26" s="31" t="str">
        <f>TEXT(IF(ABS(J26)&gt;=1E12,J26/1E12,IF(ABS(J26)&gt;=1E9,J26/1E9,IF(ABS(J26)&gt;=1E6,J26/1E6,IF(ABS(J26)&gt;=1E3,J26/1E3,J26)))),"#,##0.000")&amp;IF((IF(ABS(J26)&gt;=1E12,"TB",IF(ABS(J26)&gt;=1E9,"GB",IF(ABS(J26)&gt;=1E6,"MB",IF(ABS(J26)&gt;=1E3,"KB","bytes")))))="",""," "&amp;(IF(ABS(J26)&gt;=1E12,"TB",IF(ABS(J26)&gt;=1E9,"GB",IF(ABS(J26)&gt;=1E6,"MB",IF(ABS(J26)&gt;=1E3,"KB","bytes"))))))</f>
        <v>22.350 GB</v>
      </c>
      <c r="F26" s="4" t="s">
        <v>477</v>
      </c>
      <c r="G26" s="32">
        <f>'Prefill_8K'!$BA$52</f>
        <v>159117270492.0</v>
      </c>
      <c r="H26" s="32">
        <f>'Prefill_8K'!$BB$52</f>
        <v>22349822332.0</v>
      </c>
      <c r="I26" s="32">
        <f>'Prefill_8K'!$BA$52</f>
        <v>159117270492.0</v>
      </c>
      <c r="J26" s="32">
        <f>'Prefill_8K'!$BB$52</f>
        <v>22349822332.0</v>
      </c>
    </row>
    <row r="27" spans="1:10">
      <c r="A27" s="4" t="s">
        <v>478</v>
      </c>
      <c r="B27" s="33" t="str">
        <f>TEXT(IF(ABS(G27)&gt;=1E12,G27/1E12,IF(ABS(G27)&gt;=1E9,G27/1E9,IF(ABS(G27)&gt;=1E6,G27/1E6,IF(ABS(G27)&gt;=1E3,G27/1E3,G27)))),"#,##0.000")&amp;IF((IF(ABS(G27)&gt;=1E12,"TB",IF(ABS(G27)&gt;=1E9,"GB",IF(ABS(G27)&gt;=1E6,"MB",IF(ABS(G27)&gt;=1E3,"KB","bytes")))))="",""," "&amp;(IF(ABS(G27)&gt;=1E12,"TB",IF(ABS(G27)&gt;=1E9,"GB",IF(ABS(G27)&gt;=1E6,"MB",IF(ABS(G27)&gt;=1E3,"KB","bytes"))))))</f>
        <v>50.987 MB</v>
      </c>
      <c r="C27" s="33" t="str">
        <f>TEXT(IF(ABS(H27)&gt;=1E12,H27/1E12,IF(ABS(H27)&gt;=1E9,H27/1E9,IF(ABS(H27)&gt;=1E6,H27/1E6,IF(ABS(H27)&gt;=1E3,H27/1E3,H27)))),"#,##0.000")&amp;IF((IF(ABS(H27)&gt;=1E12,"TB",IF(ABS(H27)&gt;=1E9,"GB",IF(ABS(H27)&gt;=1E6,"MB",IF(ABS(H27)&gt;=1E3,"KB","bytes")))))="",""," "&amp;(IF(ABS(H27)&gt;=1E12,"TB",IF(ABS(H27)&gt;=1E9,"GB",IF(ABS(H27)&gt;=1E6,"MB",IF(ABS(H27)&gt;=1E3,"KB","bytes"))))))</f>
        <v>50.987 MB</v>
      </c>
      <c r="D27" s="33" t="str">
        <f>TEXT(IF(ABS(I27)&gt;=1E12,I27/1E12,IF(ABS(I27)&gt;=1E9,I27/1E9,IF(ABS(I27)&gt;=1E6,I27/1E6,IF(ABS(I27)&gt;=1E3,I27/1E3,I27)))),"#,##0.000")&amp;IF((IF(ABS(I27)&gt;=1E12,"TB",IF(ABS(I27)&gt;=1E9,"GB",IF(ABS(I27)&gt;=1E6,"MB",IF(ABS(I27)&gt;=1E3,"KB","bytes")))))="",""," "&amp;(IF(ABS(I27)&gt;=1E12,"TB",IF(ABS(I27)&gt;=1E9,"GB",IF(ABS(I27)&gt;=1E6,"MB",IF(ABS(I27)&gt;=1E3,"KB","bytes"))))))</f>
        <v>5.811 GB</v>
      </c>
      <c r="E27" s="33" t="str">
        <f>TEXT(IF(ABS(J27)&gt;=1E12,J27/1E12,IF(ABS(J27)&gt;=1E9,J27/1E9,IF(ABS(J27)&gt;=1E6,J27/1E6,IF(ABS(J27)&gt;=1E3,J27/1E3,J27)))),"#,##0.000")&amp;IF((IF(ABS(J27)&gt;=1E12,"TB",IF(ABS(J27)&gt;=1E9,"GB",IF(ABS(J27)&gt;=1E6,"MB",IF(ABS(J27)&gt;=1E3,"KB","bytes")))))="",""," "&amp;(IF(ABS(J27)&gt;=1E12,"TB",IF(ABS(J27)&gt;=1E9,"GB",IF(ABS(J27)&gt;=1E6,"MB",IF(ABS(J27)&gt;=1E3,"KB","bytes"))))))</f>
        <v>5.811 GB</v>
      </c>
      <c r="F27" s="4" t="s">
        <v>479</v>
      </c>
      <c r="G27" s="32">
        <f>'Prefill_8K'!$U$35</f>
        <v>50987008</v>
      </c>
      <c r="H27" s="32">
        <f>'Prefill_8K'!$X$35</f>
        <v>50987008</v>
      </c>
      <c r="I27" s="32">
        <f>'Decode_1M'!$U$35</f>
        <v>5810552832</v>
      </c>
      <c r="J27" s="32">
        <f>'Decode_1M'!$X$35</f>
        <v>5810552832</v>
      </c>
    </row>
    <row r="28" spans="1:10">
      <c r="A28" s="4" t="s">
        <v>480</v>
      </c>
      <c r="B28" s="33" t="str">
        <f>TEXT(IF(ABS(G28)&gt;=1E12,G28/1E12,IF(ABS(G28)&gt;=1E9,G28/1E9,IF(ABS(G28)&gt;=1E6,G28/1E6,IF(ABS(G28)&gt;=1E3,G28/1E3,G28)))),"#,##0.000")&amp;IF((IF(ABS(G28)&gt;=1E12,"TB",IF(ABS(G28)&gt;=1E9,"GB",IF(ABS(G28)&gt;=1E6,"MB",IF(ABS(G28)&gt;=1E3,"KB","bytes")))))="",""," "&amp;(IF(ABS(G28)&gt;=1E12,"TB",IF(ABS(G28)&gt;=1E9,"GB",IF(ABS(G28)&gt;=1E6,"MB",IF(ABS(G28)&gt;=1E3,"KB","bytes"))))))</f>
        <v>11.010 MB</v>
      </c>
      <c r="C28" s="33" t="str">
        <f>TEXT(IF(ABS(H28)&gt;=1E12,H28/1E12,IF(ABS(H28)&gt;=1E9,H28/1E9,IF(ABS(H28)&gt;=1E6,H28/1E6,IF(ABS(H28)&gt;=1E3,H28/1E3,H28)))),"#,##0.000")&amp;IF((IF(ABS(H28)&gt;=1E12,"TB",IF(ABS(H28)&gt;=1E9,"GB",IF(ABS(H28)&gt;=1E6,"MB",IF(ABS(H28)&gt;=1E3,"KB","bytes")))))="",""," "&amp;(IF(ABS(H28)&gt;=1E12,"TB",IF(ABS(H28)&gt;=1E9,"GB",IF(ABS(H28)&gt;=1E6,"MB",IF(ABS(H28)&gt;=1E3,"KB","bytes"))))))</f>
        <v>11.010 MB</v>
      </c>
      <c r="D28" s="33" t="str">
        <f>TEXT(IF(ABS(I28)&gt;=1E12,I28/1E12,IF(ABS(I28)&gt;=1E9,I28/1E9,IF(ABS(I28)&gt;=1E6,I28/1E6,IF(ABS(I28)&gt;=1E3,I28/1E3,I28)))),"#,##0.000")&amp;IF((IF(ABS(I28)&gt;=1E12,"TB",IF(ABS(I28)&gt;=1E9,"GB",IF(ABS(I28)&gt;=1E6,"MB",IF(ABS(I28)&gt;=1E3,"KB","bytes")))))="",""," "&amp;(IF(ABS(I28)&gt;=1E12,"TB",IF(ABS(I28)&gt;=1E9,"GB",IF(ABS(I28)&gt;=1E6,"MB",IF(ABS(I28)&gt;=1E3,"KB","bytes"))))))</f>
        <v>1.409 GB</v>
      </c>
      <c r="E28" s="33" t="str">
        <f>TEXT(IF(ABS(J28)&gt;=1E12,J28/1E12,IF(ABS(J28)&gt;=1E9,J28/1E9,IF(ABS(J28)&gt;=1E6,J28/1E6,IF(ABS(J28)&gt;=1E3,J28/1E3,J28)))),"#,##0.000")&amp;IF((IF(ABS(J28)&gt;=1E12,"TB",IF(ABS(J28)&gt;=1E9,"GB",IF(ABS(J28)&gt;=1E6,"MB",IF(ABS(J28)&gt;=1E3,"KB","bytes")))))="",""," "&amp;(IF(ABS(J28)&gt;=1E12,"TB",IF(ABS(J28)&gt;=1E9,"GB",IF(ABS(J28)&gt;=1E6,"MB",IF(ABS(J28)&gt;=1E3,"KB","bytes"))))))</f>
        <v>1.409 GB</v>
      </c>
      <c r="F28" s="4" t="s">
        <v>479</v>
      </c>
      <c r="G28" s="32">
        <f>'Prefill_8K'!$U$36</f>
        <v>11010048</v>
      </c>
      <c r="H28" s="32">
        <f>'Prefill_8K'!$X$36</f>
        <v>11010048</v>
      </c>
      <c r="I28" s="32">
        <f>'Decode_1M'!$U$36</f>
        <v>1409286144</v>
      </c>
      <c r="J28" s="32">
        <f>'Decode_1M'!$X$36</f>
        <v>1409286144</v>
      </c>
    </row>
    <row r="29" spans="1:10">
      <c r="A29" s="4" t="s">
        <v>481</v>
      </c>
      <c r="B29" s="33" t="str">
        <f>TEXT(IF(ABS(G29)&gt;=1E12,G29/1E12,IF(ABS(G29)&gt;=1E9,G29/1E9,IF(ABS(G29)&gt;=1E6,G29/1E6,IF(ABS(G29)&gt;=1E3,G29/1E3,G29)))),"#,##0.000")&amp;IF((IF(ABS(G29)&gt;=1E12,"TB",IF(ABS(G29)&gt;=1E9,"GB",IF(ABS(G29)&gt;=1E6,"MB",IF(ABS(G29)&gt;=1E3,"KB","bytes")))))="",""," "&amp;(IF(ABS(G29)&gt;=1E12,"TB",IF(ABS(G29)&gt;=1E9,"GB",IF(ABS(G29)&gt;=1E6,"MB",IF(ABS(G29)&gt;=1E3,"KB","bytes"))))))</f>
        <v>12.206 MB</v>
      </c>
      <c r="C29" s="33" t="str">
        <f>TEXT(IF(ABS(H29)&gt;=1E12,H29/1E12,IF(ABS(H29)&gt;=1E9,H29/1E9,IF(ABS(H29)&gt;=1E6,H29/1E6,IF(ABS(H29)&gt;=1E3,H29/1E3,H29)))),"#,##0.000")&amp;IF((IF(ABS(H29)&gt;=1E12,"TB",IF(ABS(H29)&gt;=1E9,"GB",IF(ABS(H29)&gt;=1E6,"MB",IF(ABS(H29)&gt;=1E3,"KB","bytes")))))="",""," "&amp;(IF(ABS(H29)&gt;=1E12,"TB",IF(ABS(H29)&gt;=1E9,"GB",IF(ABS(H29)&gt;=1E6,"MB",IF(ABS(H29)&gt;=1E3,"KB","bytes"))))))</f>
        <v>12.206 MB</v>
      </c>
      <c r="D29" s="33" t="str">
        <f>TEXT(IF(ABS(I29)&gt;=1E12,I29/1E12,IF(ABS(I29)&gt;=1E9,I29/1E9,IF(ABS(I29)&gt;=1E6,I29/1E6,IF(ABS(I29)&gt;=1E3,I29/1E3,I29)))),"#,##0.000")&amp;IF((IF(ABS(I29)&gt;=1E12,"TB",IF(ABS(I29)&gt;=1E9,"GB",IF(ABS(I29)&gt;=1E6,"MB",IF(ABS(I29)&gt;=1E3,"KB","bytes")))))="",""," "&amp;(IF(ABS(I29)&gt;=1E12,"TB",IF(ABS(I29)&gt;=1E9,"GB",IF(ABS(I29)&gt;=1E6,"MB",IF(ABS(I29)&gt;=1E3,"KB","bytes"))))))</f>
        <v>12.206 MB</v>
      </c>
      <c r="E29" s="33" t="str">
        <f>TEXT(IF(ABS(J29)&gt;=1E12,J29/1E12,IF(ABS(J29)&gt;=1E9,J29/1E9,IF(ABS(J29)&gt;=1E6,J29/1E6,IF(ABS(J29)&gt;=1E3,J29/1E3,J29)))),"#,##0.000")&amp;IF((IF(ABS(J29)&gt;=1E12,"TB",IF(ABS(J29)&gt;=1E9,"GB",IF(ABS(J29)&gt;=1E6,"MB",IF(ABS(J29)&gt;=1E3,"KB","bytes")))))="",""," "&amp;(IF(ABS(J29)&gt;=1E12,"TB",IF(ABS(J29)&gt;=1E9,"GB",IF(ABS(J29)&gt;=1E6,"MB",IF(ABS(J29)&gt;=1E3,"KB","bytes"))))))</f>
        <v>12.206 MB</v>
      </c>
      <c r="F29" s="4" t="s">
        <v>479</v>
      </c>
      <c r="G29" s="32">
        <f>'Prefill_8K'!$U$37</f>
        <v>12206080</v>
      </c>
      <c r="H29" s="32">
        <f>'Prefill_8K'!$X$37</f>
        <v>12206080</v>
      </c>
      <c r="I29" s="32">
        <f>'Decode_1M'!$U$37</f>
        <v>12206080</v>
      </c>
      <c r="J29" s="32">
        <f>'Decode_1M'!$X$37</f>
        <v>12206080</v>
      </c>
    </row>
    <row r="30" spans="1:10">
      <c r="A30" s="4" t="s">
        <v>482</v>
      </c>
      <c r="B30" s="33" t="str">
        <f>TEXT(IF(ABS(G30)&gt;=1E12,G30/1E12,IF(ABS(G30)&gt;=1E9,G30/1E9,IF(ABS(G30)&gt;=1E6,G30/1E6,IF(ABS(G30)&gt;=1E3,G30/1E3,G30)))),"#,##0.000")&amp;IF((IF(ABS(G30)&gt;=1E12,"TB",IF(ABS(G30)&gt;=1E9,"GB",IF(ABS(G30)&gt;=1E6,"MB",IF(ABS(G30)&gt;=1E3,"KB","bytes")))))="",""," "&amp;(IF(ABS(G30)&gt;=1E12,"TB",IF(ABS(G30)&gt;=1E9,"GB",IF(ABS(G30)&gt;=1E6,"MB",IF(ABS(G30)&gt;=1E3,"KB","bytes"))))))</f>
        <v>7.232 GB</v>
      </c>
      <c r="C30" s="33" t="str">
        <f>TEXT(IF(ABS(H30)&gt;=1E12,H30/1E12,IF(ABS(H30)&gt;=1E9,H30/1E9,IF(ABS(H30)&gt;=1E6,H30/1E6,IF(ABS(H30)&gt;=1E3,H30/1E3,H30)))),"#,##0.000")&amp;IF((IF(ABS(H30)&gt;=1E12,"TB",IF(ABS(H30)&gt;=1E9,"GB",IF(ABS(H30)&gt;=1E6,"MB",IF(ABS(H30)&gt;=1E3,"KB","bytes")))))="",""," "&amp;(IF(ABS(H30)&gt;=1E12,"TB",IF(ABS(H30)&gt;=1E9,"GB",IF(ABS(H30)&gt;=1E6,"MB",IF(ABS(H30)&gt;=1E3,"KB","bytes"))))))</f>
        <v>7.232 GB</v>
      </c>
      <c r="D30" s="33" t="str">
        <f>TEXT(IF(ABS(I30)&gt;=1E12,I30/1E12,IF(ABS(I30)&gt;=1E9,I30/1E9,IF(ABS(I30)&gt;=1E6,I30/1E6,IF(ABS(I30)&gt;=1E3,I30/1E3,I30)))),"#,##0.000")&amp;IF((IF(ABS(I30)&gt;=1E12,"TB",IF(ABS(I30)&gt;=1E9,"GB",IF(ABS(I30)&gt;=1E6,"MB",IF(ABS(I30)&gt;=1E3,"KB","bytes")))))="",""," "&amp;(IF(ABS(I30)&gt;=1E12,"TB",IF(ABS(I30)&gt;=1E9,"GB",IF(ABS(I30)&gt;=1E6,"MB",IF(ABS(I30)&gt;=1E3,"KB","bytes"))))))</f>
        <v>7.232 GB</v>
      </c>
      <c r="E30" s="33" t="str">
        <f>TEXT(IF(ABS(J30)&gt;=1E12,J30/1E12,IF(ABS(J30)&gt;=1E9,J30/1E9,IF(ABS(J30)&gt;=1E6,J30/1E6,IF(ABS(J30)&gt;=1E3,J30/1E3,J30)))),"#,##0.000")&amp;IF((IF(ABS(J30)&gt;=1E12,"TB",IF(ABS(J30)&gt;=1E9,"GB",IF(ABS(J30)&gt;=1E6,"MB",IF(ABS(J30)&gt;=1E3,"KB","bytes")))))="",""," "&amp;(IF(ABS(J30)&gt;=1E12,"TB",IF(ABS(J30)&gt;=1E9,"GB",IF(ABS(J30)&gt;=1E6,"MB",IF(ABS(J30)&gt;=1E3,"KB","bytes"))))))</f>
        <v>7.232 GB</v>
      </c>
      <c r="F30" s="4" t="s">
        <v>479</v>
      </c>
      <c r="G30" s="32">
        <f>'Prefill_8K'!$U$38</f>
        <v>7232045056</v>
      </c>
      <c r="H30" s="32">
        <f>'Prefill_8K'!$X$38</f>
        <v>7232045056</v>
      </c>
      <c r="I30" s="32">
        <f>'Decode_1M'!$U$38</f>
        <v>7232045056</v>
      </c>
      <c r="J30" s="32">
        <f>'Decode_1M'!$X$38</f>
        <v>7232045056</v>
      </c>
    </row>
    <row r="31" spans="1:10">
      <c r="A31" s="31" t="s">
        <v>483</v>
      </c>
      <c r="B31" s="31" t="str">
        <f>TEXT(IF(ABS(G31)&gt;=1E12,G31/1E12,IF(ABS(G31)&gt;=1E9,G31/1E9,IF(ABS(G31)&gt;=1E6,G31/1E6,IF(ABS(G31)&gt;=1E3,G31/1E3,G31)))),"#,##0.000")&amp;IF((IF(ABS(G31)&gt;=1E12,"TB",IF(ABS(G31)&gt;=1E9,"GB",IF(ABS(G31)&gt;=1E6,"MB",IF(ABS(G31)&gt;=1E3,"KB","bytes")))))="",""," "&amp;(IF(ABS(G31)&gt;=1E12,"TB",IF(ABS(G31)&gt;=1E9,"GB",IF(ABS(G31)&gt;=1E6,"MB",IF(ABS(G31)&gt;=1E3,"KB","bytes"))))))</f>
        <v>166.349 GB</v>
      </c>
      <c r="C31" s="31" t="str">
        <f>TEXT(IF(ABS(H31)&gt;=1E12,H31/1E12,IF(ABS(H31)&gt;=1E9,H31/1E9,IF(ABS(H31)&gt;=1E6,H31/1E6,IF(ABS(H31)&gt;=1E3,H31/1E3,H31)))),"#,##0.000")&amp;IF((IF(ABS(H31)&gt;=1E12,"TB",IF(ABS(H31)&gt;=1E9,"GB",IF(ABS(H31)&gt;=1E6,"MB",IF(ABS(H31)&gt;=1E3,"KB","bytes")))))="",""," "&amp;(IF(ABS(H31)&gt;=1E12,"TB",IF(ABS(H31)&gt;=1E9,"GB",IF(ABS(H31)&gt;=1E6,"MB",IF(ABS(H31)&gt;=1E3,"KB","bytes"))))))</f>
        <v>29.582 GB</v>
      </c>
      <c r="D31" s="31" t="str">
        <f>TEXT(IF(ABS(I31)&gt;=1E12,I31/1E12,IF(ABS(I31)&gt;=1E9,I31/1E9,IF(ABS(I31)&gt;=1E6,I31/1E6,IF(ABS(I31)&gt;=1E3,I31/1E3,I31)))),"#,##0.000")&amp;IF((IF(ABS(I31)&gt;=1E12,"TB",IF(ABS(I31)&gt;=1E9,"GB",IF(ABS(I31)&gt;=1E6,"MB",IF(ABS(I31)&gt;=1E3,"KB","bytes")))))="",""," "&amp;(IF(ABS(I31)&gt;=1E12,"TB",IF(ABS(I31)&gt;=1E9,"GB",IF(ABS(I31)&gt;=1E6,"MB",IF(ABS(I31)&gt;=1E3,"KB","bytes"))))))</f>
        <v>166.349 GB</v>
      </c>
      <c r="E31" s="31" t="str">
        <f>TEXT(IF(ABS(J31)&gt;=1E12,J31/1E12,IF(ABS(J31)&gt;=1E9,J31/1E9,IF(ABS(J31)&gt;=1E6,J31/1E6,IF(ABS(J31)&gt;=1E3,J31/1E3,J31)))),"#,##0.000")&amp;IF((IF(ABS(J31)&gt;=1E12,"TB",IF(ABS(J31)&gt;=1E9,"GB",IF(ABS(J31)&gt;=1E6,"MB",IF(ABS(J31)&gt;=1E3,"KB","bytes")))))="",""," "&amp;(IF(ABS(J31)&gt;=1E12,"TB",IF(ABS(J31)&gt;=1E9,"GB",IF(ABS(J31)&gt;=1E6,"MB",IF(ABS(J31)&gt;=1E3,"KB","bytes"))))))</f>
        <v>29.582 GB</v>
      </c>
      <c r="F31" s="4" t="s">
        <v>484</v>
      </c>
      <c r="G31" s="32">
        <f>'Prefill_8K'!$BA$52+'Prefill_8K'!$U$38</f>
        <v>166349315548.0</v>
      </c>
      <c r="H31" s="32">
        <f>'Prefill_8K'!$BB$52+'Prefill_8K'!$X$38</f>
        <v>29581867388.0</v>
      </c>
      <c r="I31" s="32">
        <f>'Prefill_8K'!$BA$52+'Decode_1M'!$U$38</f>
        <v>166349315548.0</v>
      </c>
      <c r="J31" s="32">
        <f>'Prefill_8K'!$BB$52+'Decode_1M'!$X$38</f>
        <v>29581867388.0</v>
      </c>
    </row>
    <row r="32" spans="1:10">
      <c r="A32" s="31" t="s">
        <v>485</v>
      </c>
      <c r="B32" s="31" t="str">
        <f>TEXT(IF(ABS(G32)&gt;=1E15,G32/1E15,IF(ABS(G32)&gt;=1E12,G32/1E12,IF(ABS(G32)&gt;=1E9,G32/1E9,IF(ABS(G32)&gt;=1E6,G32/1E6,G32)))),"#,##0.000")&amp;IF((IF(ABS(G32)&gt;=1E15,"PFLOPs",IF(ABS(G32)&gt;=1E12,"TFLOPs",IF(ABS(G32)&gt;=1E9,"GFLOPs",IF(ABS(G32)&gt;=1E6,"MFLOPs","flops")))))="",""," "&amp;(IF(ABS(G32)&gt;=1E15,"PFLOPs",IF(ABS(G32)&gt;=1E12,"TFLOPs",IF(ABS(G32)&gt;=1E9,"GFLOPs",IF(ABS(G32)&gt;=1E6,"MFLOPs","flops"))))))</f>
        <v>228.398 TFLOPs</v>
      </c>
      <c r="C32" s="31" t="str">
        <f>TEXT(IF(ABS(H32)&gt;=1E15,H32/1E15,IF(ABS(H32)&gt;=1E12,H32/1E12,IF(ABS(H32)&gt;=1E9,H32/1E9,IF(ABS(H32)&gt;=1E6,H32/1E6,H32)))),"#,##0.000")&amp;IF((IF(ABS(H32)&gt;=1E15,"PFLOPs",IF(ABS(H32)&gt;=1E12,"TFLOPs",IF(ABS(H32)&gt;=1E9,"GFLOPs",IF(ABS(H32)&gt;=1E6,"MFLOPs","flops")))))="",""," "&amp;(IF(ABS(H32)&gt;=1E15,"PFLOPs",IF(ABS(H32)&gt;=1E12,"TFLOPs",IF(ABS(H32)&gt;=1E9,"GFLOPs",IF(ABS(H32)&gt;=1E6,"MFLOPs","flops"))))))</f>
        <v>55.653 TFLOPs</v>
      </c>
      <c r="D32" s="31" t="str">
        <f>TEXT(IF(ABS(I32)&gt;=1E15,I32/1E15,IF(ABS(I32)&gt;=1E12,I32/1E12,IF(ABS(I32)&gt;=1E9,I32/1E9,IF(ABS(I32)&gt;=1E6,I32/1E6,I32)))),"#,##0.000")&amp;IF((IF(ABS(I32)&gt;=1E15,"PFLOPs",IF(ABS(I32)&gt;=1E12,"TFLOPs",IF(ABS(I32)&gt;=1E9,"GFLOPs",IF(ABS(I32)&gt;=1E6,"MFLOPs","flops")))))="",""," "&amp;(IF(ABS(I32)&gt;=1E15,"PFLOPs",IF(ABS(I32)&gt;=1E12,"TFLOPs",IF(ABS(I32)&gt;=1E9,"GFLOPs",IF(ABS(I32)&gt;=1E6,"MFLOPs","flops"))))))</f>
        <v>140.356 GFLOPs</v>
      </c>
      <c r="E32" s="31" t="str">
        <f>TEXT(IF(ABS(J32)&gt;=1E15,J32/1E15,IF(ABS(J32)&gt;=1E12,J32/1E12,IF(ABS(J32)&gt;=1E9,J32/1E9,IF(ABS(J32)&gt;=1E6,J32/1E6,J32)))),"#,##0.000")&amp;IF((IF(ABS(J32)&gt;=1E15,"PFLOPs",IF(ABS(J32)&gt;=1E12,"TFLOPs",IF(ABS(J32)&gt;=1E9,"GFLOPs",IF(ABS(J32)&gt;=1E6,"MFLOPs","flops")))))="",""," "&amp;(IF(ABS(J32)&gt;=1E15,"PFLOPs",IF(ABS(J32)&gt;=1E12,"TFLOPs",IF(ABS(J32)&gt;=1E9,"GFLOPs",IF(ABS(J32)&gt;=1E6,"MFLOPs","flops"))))))</f>
        <v>23.550 GFLOPs</v>
      </c>
      <c r="F32" s="4" t="s">
        <v>486</v>
      </c>
      <c r="G32" s="32">
        <f>'Prefill_8K'!$AF$13</f>
        <v>228397682114560.0</v>
      </c>
      <c r="H32" s="32">
        <f>'Prefill_8K'!$AI$13</f>
        <v>55652568907776.0</v>
      </c>
      <c r="I32" s="32">
        <f>'Decode_1M'!$AF$13</f>
        <v>140355752110.0</v>
      </c>
      <c r="J32" s="32">
        <f>'Decode_1M'!$AI$13</f>
        <v>23549694126.0</v>
      </c>
    </row>
    <row r="35" spans="19:21">
      <c r="S35" s="3" t="s">
        <v>2</v>
      </c>
      <c r="T35" s="3" t="s">
        <v>487</v>
      </c>
    </row>
    <row r="36" spans="19:21">
      <c r="S36" s="4" t="s">
        <v>439</v>
      </c>
      <c r="T36" s="32">
        <f>G32/1e+12</f>
        <v>228.39768211456</v>
      </c>
    </row>
    <row r="37" spans="19:21">
      <c r="S37" s="4" t="s">
        <v>488</v>
      </c>
      <c r="T37" s="32">
        <f>H32/1e+12</f>
        <v>55.652568907776</v>
      </c>
    </row>
    <row r="38" spans="19:21">
      <c r="S38" s="4" t="s">
        <v>441</v>
      </c>
      <c r="T38" s="32">
        <f>I32/1e+12</f>
        <v>0.14035575211</v>
      </c>
    </row>
    <row r="39" spans="19:21">
      <c r="S39" s="4" t="s">
        <v>489</v>
      </c>
      <c r="T39" s="32">
        <f>J32/1e+12</f>
        <v>0.023549694126</v>
      </c>
    </row>
    <row r="42" spans="19:21">
      <c r="S42" s="3" t="s">
        <v>2</v>
      </c>
      <c r="T42" s="3" t="s">
        <v>490</v>
      </c>
      <c r="U42" s="3" t="s">
        <v>491</v>
      </c>
    </row>
    <row r="43" spans="19:21">
      <c r="S43" s="4" t="s">
        <v>40</v>
      </c>
      <c r="T43" s="32">
        <f>G5/1e+12</f>
        <v>102.836037746688</v>
      </c>
      <c r="U43" s="32">
        <f>H5/1e+12</f>
        <v>23.172382457856</v>
      </c>
    </row>
    <row r="44" spans="19:21">
      <c r="S44" s="4" t="s">
        <v>59</v>
      </c>
      <c r="T44" s="32">
        <f>G6/1e+12</f>
        <v>124.846109360128</v>
      </c>
      <c r="U44" s="32">
        <f>H6/1e+12</f>
        <v>31.765578121216</v>
      </c>
    </row>
    <row r="45" spans="19:21">
      <c r="S45" s="4" t="s">
        <v>492</v>
      </c>
      <c r="T45" s="32">
        <f>G7/1e+12</f>
        <v>0.715535007744</v>
      </c>
      <c r="U45" s="32">
        <f>H7/1e+12</f>
        <v>0.714608328704</v>
      </c>
    </row>
    <row r="49" spans="19:21">
      <c r="S49" s="3" t="s">
        <v>2</v>
      </c>
      <c r="T49" s="3" t="s">
        <v>493</v>
      </c>
      <c r="U49" s="3" t="s">
        <v>494</v>
      </c>
    </row>
    <row r="50" spans="19:21">
      <c r="S50" s="4" t="s">
        <v>40</v>
      </c>
      <c r="T50" s="32">
        <f>I5/1e+09</f>
        <v>123.969470464</v>
      </c>
      <c r="U50" s="32">
        <f>J5/1e+09</f>
        <v>19.452461056</v>
      </c>
    </row>
    <row r="51" spans="19:21">
      <c r="S51" s="4" t="s">
        <v>59</v>
      </c>
      <c r="T51" s="32">
        <f>I6/1e+09</f>
        <v>15.240003584</v>
      </c>
      <c r="U51" s="32">
        <f>J6/1e+09</f>
        <v>3.877634048</v>
      </c>
    </row>
    <row r="52" spans="19:21">
      <c r="S52" s="4" t="s">
        <v>492</v>
      </c>
      <c r="T52" s="32">
        <f>I7/1e+09</f>
        <v>1.146278062</v>
      </c>
      <c r="U52" s="32">
        <f>J7/1e+09</f>
        <v>0.219599022</v>
      </c>
    </row>
    <row r="56" spans="19:21">
      <c r="S56" s="3" t="s">
        <v>2</v>
      </c>
      <c r="T56" s="3" t="s">
        <v>495</v>
      </c>
      <c r="U56" s="3" t="s">
        <v>496</v>
      </c>
    </row>
    <row r="57" spans="19:21">
      <c r="S57" s="4" t="s">
        <v>40</v>
      </c>
      <c r="T57" s="32">
        <f>G9/1e+09</f>
        <v>358.0378144</v>
      </c>
      <c r="U57" s="32">
        <f>H9/1e+09</f>
        <v>231.531806144</v>
      </c>
    </row>
    <row r="58" spans="19:21">
      <c r="S58" s="4" t="s">
        <v>59</v>
      </c>
      <c r="T58" s="32">
        <f>G10/1e+09</f>
        <v>191.988670976</v>
      </c>
      <c r="U58" s="32">
        <f>H10/1e+09</f>
        <v>32.915497472</v>
      </c>
    </row>
    <row r="59" spans="19:21">
      <c r="S59" s="4" t="s">
        <v>492</v>
      </c>
      <c r="T59" s="32">
        <f>G11/1e+09</f>
        <v>106.744396636</v>
      </c>
      <c r="U59" s="32">
        <f>H11/1e+09</f>
        <v>104.890576444</v>
      </c>
    </row>
    <row r="63" spans="19:21">
      <c r="S63" s="3" t="s">
        <v>2</v>
      </c>
      <c r="T63" s="3" t="s">
        <v>495</v>
      </c>
      <c r="U63" s="3" t="s">
        <v>496</v>
      </c>
    </row>
    <row r="64" spans="19:21">
      <c r="S64" s="4" t="s">
        <v>40</v>
      </c>
      <c r="T64" s="32">
        <f>I9/1e+09</f>
        <v>10.492228352</v>
      </c>
      <c r="U64" s="32">
        <f>J9/1e+09</f>
        <v>4.035232528</v>
      </c>
    </row>
    <row r="65" spans="19:21">
      <c r="S65" s="4" t="s">
        <v>59</v>
      </c>
      <c r="T65" s="32">
        <f>I10/1e+09</f>
        <v>4.627033672</v>
      </c>
      <c r="U65" s="32">
        <f>J10/1e+09</f>
        <v>1.605205576</v>
      </c>
    </row>
    <row r="66" spans="19:21">
      <c r="S66" s="4" t="s">
        <v>492</v>
      </c>
      <c r="T66" s="32">
        <f>I11/1e+09</f>
        <v>2.268650332</v>
      </c>
      <c r="U66" s="32">
        <f>J11/1e+09</f>
        <v>0.41483014</v>
      </c>
    </row>
    <row r="70" spans="19:21">
      <c r="S70" s="3" t="s">
        <v>2</v>
      </c>
      <c r="T70" s="3" t="s">
        <v>495</v>
      </c>
      <c r="U70" s="3" t="s">
        <v>496</v>
      </c>
    </row>
    <row r="71" spans="19:21">
      <c r="S71" s="4" t="s">
        <v>40</v>
      </c>
      <c r="T71" s="32">
        <f>G23/1e+09</f>
        <v>7.45138496</v>
      </c>
      <c r="U71" s="32">
        <f>H23/1e+09</f>
        <v>2.23750496</v>
      </c>
    </row>
    <row r="72" spans="19:21">
      <c r="S72" s="4" t="s">
        <v>59</v>
      </c>
      <c r="T72" s="32">
        <f>G24/1e+09</f>
        <v>148.351461888</v>
      </c>
      <c r="U72" s="32">
        <f>H24/1e+09</f>
        <v>19.57794048</v>
      </c>
    </row>
    <row r="73" spans="19:21">
      <c r="S73" s="4" t="s">
        <v>492</v>
      </c>
      <c r="T73" s="32">
        <f>G25/1e+09</f>
        <v>3.314423644</v>
      </c>
      <c r="U73" s="32">
        <f>H25/1e+09</f>
        <v>0.534376892</v>
      </c>
    </row>
    <row r="77" spans="19:21">
      <c r="S77" s="3" t="s">
        <v>2</v>
      </c>
      <c r="T77" s="3" t="s">
        <v>495</v>
      </c>
      <c r="U77" s="3" t="s">
        <v>496</v>
      </c>
    </row>
    <row r="78" spans="19:21">
      <c r="S78" s="4" t="s">
        <v>497</v>
      </c>
      <c r="T78" s="32">
        <f>G31/1e+09</f>
        <v>166.349315548</v>
      </c>
      <c r="U78" s="32">
        <f>H31/1e+09</f>
        <v>29.581867388</v>
      </c>
    </row>
    <row r="79" spans="19:21">
      <c r="S79" s="4" t="s">
        <v>498</v>
      </c>
      <c r="T79" s="32">
        <f>I31/1e+09</f>
        <v>166.349315548</v>
      </c>
      <c r="U79" s="32">
        <f>J31/1e+09</f>
        <v>29.581867388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H62"/>
  <sheetViews>
    <sheetView showGridLines="0" tabSelected="1" workbookViewId="0">
      <pane ySplit="3" topLeftCell="A4" activePane="bottomLeft" state="frozen"/>
      <selection pane="bottomLeft"/>
    </sheetView>
  </sheetViews>
  <sheetFormatPr defaultRowHeight="15"/>
  <cols>
    <col min="1" max="1" width="30.7109375" customWidth="1"/>
    <col min="2" max="3" width="18.7109375" customWidth="1"/>
    <col min="4" max="4" width="62.7109375" customWidth="1"/>
    <col min="7" max="8" width="0" hidden="1" customWidth="1"/>
  </cols>
  <sheetData>
    <row r="1" spans="1:8">
      <c r="A1" s="1" t="s">
        <v>499</v>
      </c>
    </row>
    <row r="2" spans="1:8">
      <c r="A2" s="2" t="s">
        <v>500</v>
      </c>
    </row>
    <row r="4" spans="1:8">
      <c r="A4" s="30" t="s">
        <v>501</v>
      </c>
      <c r="B4" s="30"/>
      <c r="C4" s="30"/>
      <c r="D4" s="30"/>
    </row>
    <row r="5" spans="1:8">
      <c r="A5" s="3" t="s">
        <v>438</v>
      </c>
      <c r="B5" s="3" t="s">
        <v>502</v>
      </c>
      <c r="C5" s="3" t="s">
        <v>503</v>
      </c>
      <c r="D5" s="3" t="s">
        <v>363</v>
      </c>
    </row>
    <row r="6" spans="1:8">
      <c r="A6" s="4" t="s">
        <v>443</v>
      </c>
      <c r="B6" s="33" t="str">
        <f>TEXT(IF(ABS(G6)&gt;=1E15,G6/1E15,IF(ABS(G6)&gt;=1E12,G6/1E12,IF(ABS(G6)&gt;=1E9,G6/1E9,IF(ABS(G6)&gt;=1E6,G6/1E6,G6)))),"#,##0.000")&amp;IF((IF(ABS(G6)&gt;=1E15,"PFLOPs",IF(ABS(G6)&gt;=1E12,"TFLOPs",IF(ABS(G6)&gt;=1E9,"GFLOPs",IF(ABS(G6)&gt;=1E6,"MFLOPs","flops")))))="",""," "&amp;(IF(ABS(G6)&gt;=1E15,"PFLOPs",IF(ABS(G6)&gt;=1E12,"TFLOPs",IF(ABS(G6)&gt;=1E9,"GFLOPs",IF(ABS(G6)&gt;=1E6,"MFLOPs","flops"))))))</f>
        <v>102.836 TFLOPs</v>
      </c>
      <c r="C6" s="33" t="str">
        <f>TEXT(IF(ABS(H6)&gt;=1E15,H6/1E15,IF(ABS(H6)&gt;=1E12,H6/1E12,IF(ABS(H6)&gt;=1E9,H6/1E9,IF(ABS(H6)&gt;=1E6,H6/1E6,H6)))),"#,##0.000")&amp;IF((IF(ABS(H6)&gt;=1E15,"PFLOPs",IF(ABS(H6)&gt;=1E12,"TFLOPs",IF(ABS(H6)&gt;=1E9,"GFLOPs",IF(ABS(H6)&gt;=1E6,"MFLOPs","flops")))))="",""," "&amp;(IF(ABS(H6)&gt;=1E15,"PFLOPs",IF(ABS(H6)&gt;=1E12,"TFLOPs",IF(ABS(H6)&gt;=1E9,"GFLOPs",IF(ABS(H6)&gt;=1E6,"MFLOPs","flops"))))))</f>
        <v>123.969 GFLOPs</v>
      </c>
      <c r="D6" s="4" t="s">
        <v>504</v>
      </c>
      <c r="G6" s="32">
        <f>'Prefill_8K'!$AF$14</f>
        <v>102836037746688.0</v>
      </c>
      <c r="H6" s="32">
        <f>'Decode_1M'!$AF$14</f>
        <v>123969470464.0</v>
      </c>
    </row>
    <row r="7" spans="1:8">
      <c r="A7" s="4" t="s">
        <v>445</v>
      </c>
      <c r="B7" s="33" t="str">
        <f>TEXT(IF(ABS(G7)&gt;=1E15,G7/1E15,IF(ABS(G7)&gt;=1E12,G7/1E12,IF(ABS(G7)&gt;=1E9,G7/1E9,IF(ABS(G7)&gt;=1E6,G7/1E6,G7)))),"#,##0.000")&amp;IF((IF(ABS(G7)&gt;=1E15,"PFLOPs",IF(ABS(G7)&gt;=1E12,"TFLOPs",IF(ABS(G7)&gt;=1E9,"GFLOPs",IF(ABS(G7)&gt;=1E6,"MFLOPs","flops")))))="",""," "&amp;(IF(ABS(G7)&gt;=1E15,"PFLOPs",IF(ABS(G7)&gt;=1E12,"TFLOPs",IF(ABS(G7)&gt;=1E9,"GFLOPs",IF(ABS(G7)&gt;=1E6,"MFLOPs","flops"))))))</f>
        <v>124.846 TFLOPs</v>
      </c>
      <c r="C7" s="33" t="str">
        <f>TEXT(IF(ABS(H7)&gt;=1E15,H7/1E15,IF(ABS(H7)&gt;=1E12,H7/1E12,IF(ABS(H7)&gt;=1E9,H7/1E9,IF(ABS(H7)&gt;=1E6,H7/1E6,H7)))),"#,##0.000")&amp;IF((IF(ABS(H7)&gt;=1E15,"PFLOPs",IF(ABS(H7)&gt;=1E12,"TFLOPs",IF(ABS(H7)&gt;=1E9,"GFLOPs",IF(ABS(H7)&gt;=1E6,"MFLOPs","flops")))))="",""," "&amp;(IF(ABS(H7)&gt;=1E15,"PFLOPs",IF(ABS(H7)&gt;=1E12,"TFLOPs",IF(ABS(H7)&gt;=1E9,"GFLOPs",IF(ABS(H7)&gt;=1E6,"MFLOPs","flops"))))))</f>
        <v>15.240 GFLOPs</v>
      </c>
      <c r="D7" s="4" t="s">
        <v>504</v>
      </c>
      <c r="G7" s="32">
        <f>'Prefill_8K'!$AF$15</f>
        <v>124846109360128.0</v>
      </c>
      <c r="H7" s="32">
        <f>'Decode_1M'!$AF$15</f>
        <v>15240003584.0</v>
      </c>
    </row>
    <row r="8" spans="1:8">
      <c r="A8" s="4" t="s">
        <v>446</v>
      </c>
      <c r="B8" s="33" t="str">
        <f>TEXT(IF(ABS(G8)&gt;=1E15,G8/1E15,IF(ABS(G8)&gt;=1E12,G8/1E12,IF(ABS(G8)&gt;=1E9,G8/1E9,IF(ABS(G8)&gt;=1E6,G8/1E6,G8)))),"#,##0.000")&amp;IF((IF(ABS(G8)&gt;=1E15,"PFLOPs",IF(ABS(G8)&gt;=1E12,"TFLOPs",IF(ABS(G8)&gt;=1E9,"GFLOPs",IF(ABS(G8)&gt;=1E6,"MFLOPs","flops")))))="",""," "&amp;(IF(ABS(G8)&gt;=1E15,"PFLOPs",IF(ABS(G8)&gt;=1E12,"TFLOPs",IF(ABS(G8)&gt;=1E9,"GFLOPs",IF(ABS(G8)&gt;=1E6,"MFLOPs","flops"))))))</f>
        <v>715.535 GFLOPs</v>
      </c>
      <c r="C8" s="33" t="str">
        <f>TEXT(IF(ABS(H8)&gt;=1E15,H8/1E15,IF(ABS(H8)&gt;=1E12,H8/1E12,IF(ABS(H8)&gt;=1E9,H8/1E9,IF(ABS(H8)&gt;=1E6,H8/1E6,H8)))),"#,##0.000")&amp;IF((IF(ABS(H8)&gt;=1E15,"PFLOPs",IF(ABS(H8)&gt;=1E12,"TFLOPs",IF(ABS(H8)&gt;=1E9,"GFLOPs",IF(ABS(H8)&gt;=1E6,"MFLOPs","flops")))))="",""," "&amp;(IF(ABS(H8)&gt;=1E15,"PFLOPs",IF(ABS(H8)&gt;=1E12,"TFLOPs",IF(ABS(H8)&gt;=1E9,"GFLOPs",IF(ABS(H8)&gt;=1E6,"MFLOPs","flops"))))))</f>
        <v>1.146 GFLOPs</v>
      </c>
      <c r="D8" s="4" t="s">
        <v>504</v>
      </c>
      <c r="G8" s="32">
        <f>'Prefill_8K'!$AO$48</f>
        <v>715535007744.0</v>
      </c>
      <c r="H8" s="32">
        <f>'Decode_1M'!$AO$48</f>
        <v>1146278062.0</v>
      </c>
    </row>
    <row r="9" spans="1:8">
      <c r="A9" s="31" t="s">
        <v>447</v>
      </c>
      <c r="B9" s="31" t="str">
        <f>TEXT(IF(ABS(G9)&gt;=1E15,G9/1E15,IF(ABS(G9)&gt;=1E12,G9/1E12,IF(ABS(G9)&gt;=1E9,G9/1E9,IF(ABS(G9)&gt;=1E6,G9/1E6,G9)))),"#,##0.000")&amp;IF((IF(ABS(G9)&gt;=1E15,"PFLOPs",IF(ABS(G9)&gt;=1E12,"TFLOPs",IF(ABS(G9)&gt;=1E9,"GFLOPs",IF(ABS(G9)&gt;=1E6,"MFLOPs","flops")))))="",""," "&amp;(IF(ABS(G9)&gt;=1E15,"PFLOPs",IF(ABS(G9)&gt;=1E12,"TFLOPs",IF(ABS(G9)&gt;=1E9,"GFLOPs",IF(ABS(G9)&gt;=1E6,"MFLOPs","flops"))))))</f>
        <v>228.398 TFLOPs</v>
      </c>
      <c r="C9" s="31" t="str">
        <f>TEXT(IF(ABS(H9)&gt;=1E15,H9/1E15,IF(ABS(H9)&gt;=1E12,H9/1E12,IF(ABS(H9)&gt;=1E9,H9/1E9,IF(ABS(H9)&gt;=1E6,H9/1E6,H9)))),"#,##0.000")&amp;IF((IF(ABS(H9)&gt;=1E15,"PFLOPs",IF(ABS(H9)&gt;=1E12,"TFLOPs",IF(ABS(H9)&gt;=1E9,"GFLOPs",IF(ABS(H9)&gt;=1E6,"MFLOPs","flops")))))="",""," "&amp;(IF(ABS(H9)&gt;=1E15,"PFLOPs",IF(ABS(H9)&gt;=1E12,"TFLOPs",IF(ABS(H9)&gt;=1E9,"GFLOPs",IF(ABS(H9)&gt;=1E6,"MFLOPs","flops"))))))</f>
        <v>140.356 GFLOPs</v>
      </c>
      <c r="D9" s="4" t="s">
        <v>504</v>
      </c>
      <c r="G9" s="32">
        <f>'Prefill_8K'!$AF$13</f>
        <v>228397682114560.0</v>
      </c>
      <c r="H9" s="32">
        <f>'Decode_1M'!$AF$13</f>
        <v>140355752110.0</v>
      </c>
    </row>
    <row r="10" spans="1:8">
      <c r="A10" s="4" t="s">
        <v>448</v>
      </c>
      <c r="B10" s="33" t="str">
        <f>TEXT(IF(ABS(G10)&gt;=1E12,G10/1E12,IF(ABS(G10)&gt;=1E9,G10/1E9,IF(ABS(G10)&gt;=1E6,G10/1E6,IF(ABS(G10)&gt;=1E3,G10/1E3,G10)))),"#,##0.000")&amp;IF((IF(ABS(G10)&gt;=1E12,"TB",IF(ABS(G10)&gt;=1E9,"GB",IF(ABS(G10)&gt;=1E6,"MB",IF(ABS(G10)&gt;=1E3,"KB","bytes")))))="",""," "&amp;(IF(ABS(G10)&gt;=1E12,"TB",IF(ABS(G10)&gt;=1E9,"GB",IF(ABS(G10)&gt;=1E6,"MB",IF(ABS(G10)&gt;=1E3,"KB","bytes"))))))</f>
        <v>358.038 GB</v>
      </c>
      <c r="C10" s="33" t="str">
        <f>TEXT(IF(ABS(H10)&gt;=1E12,H10/1E12,IF(ABS(H10)&gt;=1E9,H10/1E9,IF(ABS(H10)&gt;=1E6,H10/1E6,IF(ABS(H10)&gt;=1E3,H10/1E3,H10)))),"#,##0.000")&amp;IF((IF(ABS(H10)&gt;=1E12,"TB",IF(ABS(H10)&gt;=1E9,"GB",IF(ABS(H10)&gt;=1E6,"MB",IF(ABS(H10)&gt;=1E3,"KB","bytes")))))="",""," "&amp;(IF(ABS(H10)&gt;=1E12,"TB",IF(ABS(H10)&gt;=1E9,"GB",IF(ABS(H10)&gt;=1E6,"MB",IF(ABS(H10)&gt;=1E3,"KB","bytes"))))))</f>
        <v>10.492 GB</v>
      </c>
      <c r="D10" s="4" t="s">
        <v>505</v>
      </c>
      <c r="G10" s="32">
        <f>'Prefill_8K'!$AG$14</f>
        <v>358037814400.0</v>
      </c>
      <c r="H10" s="32">
        <f>'Decode_1M'!$AG$14</f>
        <v>10492228352.0</v>
      </c>
    </row>
    <row r="11" spans="1:8">
      <c r="A11" s="4" t="s">
        <v>450</v>
      </c>
      <c r="B11" s="33" t="str">
        <f>TEXT(IF(ABS(G11)&gt;=1E12,G11/1E12,IF(ABS(G11)&gt;=1E9,G11/1E9,IF(ABS(G11)&gt;=1E6,G11/1E6,IF(ABS(G11)&gt;=1E3,G11/1E3,G11)))),"#,##0.000")&amp;IF((IF(ABS(G11)&gt;=1E12,"TB",IF(ABS(G11)&gt;=1E9,"GB",IF(ABS(G11)&gt;=1E6,"MB",IF(ABS(G11)&gt;=1E3,"KB","bytes")))))="",""," "&amp;(IF(ABS(G11)&gt;=1E12,"TB",IF(ABS(G11)&gt;=1E9,"GB",IF(ABS(G11)&gt;=1E6,"MB",IF(ABS(G11)&gt;=1E3,"KB","bytes"))))))</f>
        <v>191.989 GB</v>
      </c>
      <c r="C11" s="33" t="str">
        <f>TEXT(IF(ABS(H11)&gt;=1E12,H11/1E12,IF(ABS(H11)&gt;=1E9,H11/1E9,IF(ABS(H11)&gt;=1E6,H11/1E6,IF(ABS(H11)&gt;=1E3,H11/1E3,H11)))),"#,##0.000")&amp;IF((IF(ABS(H11)&gt;=1E12,"TB",IF(ABS(H11)&gt;=1E9,"GB",IF(ABS(H11)&gt;=1E6,"MB",IF(ABS(H11)&gt;=1E3,"KB","bytes")))))="",""," "&amp;(IF(ABS(H11)&gt;=1E12,"TB",IF(ABS(H11)&gt;=1E9,"GB",IF(ABS(H11)&gt;=1E6,"MB",IF(ABS(H11)&gt;=1E3,"KB","bytes"))))))</f>
        <v>4.627 GB</v>
      </c>
      <c r="D11" s="4" t="s">
        <v>505</v>
      </c>
      <c r="G11" s="32">
        <f>'Prefill_8K'!$AG$15</f>
        <v>191988670976.0</v>
      </c>
      <c r="H11" s="32">
        <f>'Decode_1M'!$AG$15</f>
        <v>4627033672.0</v>
      </c>
    </row>
    <row r="12" spans="1:8">
      <c r="A12" s="4" t="s">
        <v>451</v>
      </c>
      <c r="B12" s="33" t="str">
        <f>TEXT(IF(ABS(G12)&gt;=1E12,G12/1E12,IF(ABS(G12)&gt;=1E9,G12/1E9,IF(ABS(G12)&gt;=1E6,G12/1E6,IF(ABS(G12)&gt;=1E3,G12/1E3,G12)))),"#,##0.000")&amp;IF((IF(ABS(G12)&gt;=1E12,"TB",IF(ABS(G12)&gt;=1E9,"GB",IF(ABS(G12)&gt;=1E6,"MB",IF(ABS(G12)&gt;=1E3,"KB","bytes")))))="",""," "&amp;(IF(ABS(G12)&gt;=1E12,"TB",IF(ABS(G12)&gt;=1E9,"GB",IF(ABS(G12)&gt;=1E6,"MB",IF(ABS(G12)&gt;=1E3,"KB","bytes"))))))</f>
        <v>106.744 GB</v>
      </c>
      <c r="C12" s="33" t="str">
        <f>TEXT(IF(ABS(H12)&gt;=1E12,H12/1E12,IF(ABS(H12)&gt;=1E9,H12/1E9,IF(ABS(H12)&gt;=1E6,H12/1E6,IF(ABS(H12)&gt;=1E3,H12/1E3,H12)))),"#,##0.000")&amp;IF((IF(ABS(H12)&gt;=1E12,"TB",IF(ABS(H12)&gt;=1E9,"GB",IF(ABS(H12)&gt;=1E6,"MB",IF(ABS(H12)&gt;=1E3,"KB","bytes")))))="",""," "&amp;(IF(ABS(H12)&gt;=1E12,"TB",IF(ABS(H12)&gt;=1E9,"GB",IF(ABS(H12)&gt;=1E6,"MB",IF(ABS(H12)&gt;=1E3,"KB","bytes"))))))</f>
        <v>2.269 GB</v>
      </c>
      <c r="D12" s="4" t="s">
        <v>505</v>
      </c>
      <c r="G12" s="32">
        <f>'Prefill_8K'!$AQ$48</f>
        <v>106744396636.0</v>
      </c>
      <c r="H12" s="32">
        <f>'Decode_1M'!$AQ$48</f>
        <v>2268650332.0</v>
      </c>
    </row>
    <row r="13" spans="1:8">
      <c r="A13" s="31" t="s">
        <v>452</v>
      </c>
      <c r="B13" s="31" t="str">
        <f>TEXT(IF(ABS(G13)&gt;=1E12,G13/1E12,IF(ABS(G13)&gt;=1E9,G13/1E9,IF(ABS(G13)&gt;=1E6,G13/1E6,IF(ABS(G13)&gt;=1E3,G13/1E3,G13)))),"#,##0.000")&amp;IF((IF(ABS(G13)&gt;=1E12,"TB",IF(ABS(G13)&gt;=1E9,"GB",IF(ABS(G13)&gt;=1E6,"MB",IF(ABS(G13)&gt;=1E3,"KB","bytes")))))="",""," "&amp;(IF(ABS(G13)&gt;=1E12,"TB",IF(ABS(G13)&gt;=1E9,"GB",IF(ABS(G13)&gt;=1E6,"MB",IF(ABS(G13)&gt;=1E3,"KB","bytes"))))))</f>
        <v>656.771 GB</v>
      </c>
      <c r="C13" s="31" t="str">
        <f>TEXT(IF(ABS(H13)&gt;=1E12,H13/1E12,IF(ABS(H13)&gt;=1E9,H13/1E9,IF(ABS(H13)&gt;=1E6,H13/1E6,IF(ABS(H13)&gt;=1E3,H13/1E3,H13)))),"#,##0.000")&amp;IF((IF(ABS(H13)&gt;=1E12,"TB",IF(ABS(H13)&gt;=1E9,"GB",IF(ABS(H13)&gt;=1E6,"MB",IF(ABS(H13)&gt;=1E3,"KB","bytes")))))="",""," "&amp;(IF(ABS(H13)&gt;=1E12,"TB",IF(ABS(H13)&gt;=1E9,"GB",IF(ABS(H13)&gt;=1E6,"MB",IF(ABS(H13)&gt;=1E3,"KB","bytes"))))))</f>
        <v>17.388 GB</v>
      </c>
      <c r="D13" s="4" t="s">
        <v>505</v>
      </c>
      <c r="G13" s="32">
        <f>'Prefill_8K'!$AG$13</f>
        <v>656770882012.0</v>
      </c>
      <c r="H13" s="32">
        <f>'Decode_1M'!$AG$13</f>
        <v>17387912356.0</v>
      </c>
    </row>
    <row r="14" spans="1:8">
      <c r="A14" s="4" t="s">
        <v>453</v>
      </c>
      <c r="B14" s="33" t="str">
        <f>TEXT(G14,"#,##0.000")&amp;" GB/s"</f>
        <v>358.038 GB/s</v>
      </c>
      <c r="C14" s="33" t="str">
        <f>TEXT(H14,"#,##0.000")&amp;" GB/s"</f>
        <v>1,049.223 GB/s</v>
      </c>
      <c r="D14" s="4" t="s">
        <v>506</v>
      </c>
      <c r="G14" s="32">
        <f>'Prefill_8K'!$AG$14/(PrefillTargetMs/1000)/1E9</f>
        <v>358.0378144</v>
      </c>
      <c r="H14" s="32">
        <f>'Decode_1M'!$AG$14/(DecodeTargetMs/1000)/1E9</f>
        <v>1049.2228352</v>
      </c>
    </row>
    <row r="15" spans="1:8">
      <c r="A15" s="4" t="s">
        <v>455</v>
      </c>
      <c r="B15" s="33" t="str">
        <f>TEXT(G15,"#,##0.000")&amp;" GB/s"</f>
        <v>191.989 GB/s</v>
      </c>
      <c r="C15" s="33" t="str">
        <f>TEXT(H15,"#,##0.000")&amp;" GB/s"</f>
        <v>462.703 GB/s</v>
      </c>
      <c r="D15" s="4" t="s">
        <v>506</v>
      </c>
      <c r="G15" s="32">
        <f>'Prefill_8K'!$AG$15/(PrefillTargetMs/1000)/1E9</f>
        <v>191.988670976</v>
      </c>
      <c r="H15" s="32">
        <f>'Decode_1M'!$AG$15/(DecodeTargetMs/1000)/1E9</f>
        <v>462.7033672</v>
      </c>
    </row>
    <row r="16" spans="1:8">
      <c r="A16" s="4" t="s">
        <v>456</v>
      </c>
      <c r="B16" s="33" t="str">
        <f>TEXT(G16,"#,##0.000")&amp;" GB/s"</f>
        <v>106.744 GB/s</v>
      </c>
      <c r="C16" s="33" t="str">
        <f>TEXT(H16,"#,##0.000")&amp;" GB/s"</f>
        <v>226.865 GB/s</v>
      </c>
      <c r="D16" s="4" t="s">
        <v>506</v>
      </c>
      <c r="G16" s="32">
        <f>'Prefill_8K'!$AQ$48/(PrefillTargetMs/1000)/1E9</f>
        <v>106.744396636</v>
      </c>
      <c r="H16" s="32">
        <f>'Decode_1M'!$AQ$48/(DecodeTargetMs/1000)/1E9</f>
        <v>226.8650332</v>
      </c>
    </row>
    <row r="17" spans="1:8">
      <c r="A17" s="4" t="s">
        <v>485</v>
      </c>
      <c r="B17" s="33" t="str">
        <f>TEXT(IF(ABS(G17)&gt;=1E15,G17/1E15,IF(ABS(G17)&gt;=1E12,G17/1E12,IF(ABS(G17)&gt;=1E9,G17/1E9,IF(ABS(G17)&gt;=1E6,G17/1E6,G17)))),"#,##0.000")&amp;IF((IF(ABS(G17)&gt;=1E15,"PFLOPs",IF(ABS(G17)&gt;=1E12,"TFLOPs",IF(ABS(G17)&gt;=1E9,"GFLOPs",IF(ABS(G17)&gt;=1E6,"MFLOPs","flops")))))="",""," "&amp;(IF(ABS(G17)&gt;=1E15,"PFLOPs",IF(ABS(G17)&gt;=1E12,"TFLOPs",IF(ABS(G17)&gt;=1E9,"GFLOPs",IF(ABS(G17)&gt;=1E6,"MFLOPs","flops"))))))</f>
        <v>228.398 TFLOPs</v>
      </c>
      <c r="C17" s="33" t="str">
        <f>TEXT(IF(ABS(H17)&gt;=1E15,H17/1E15,IF(ABS(H17)&gt;=1E12,H17/1E12,IF(ABS(H17)&gt;=1E9,H17/1E9,IF(ABS(H17)&gt;=1E6,H17/1E6,H17)))),"#,##0.000")&amp;IF((IF(ABS(H17)&gt;=1E15,"PFLOPs",IF(ABS(H17)&gt;=1E12,"TFLOPs",IF(ABS(H17)&gt;=1E9,"GFLOPs",IF(ABS(H17)&gt;=1E6,"MFLOPs","flops")))))="",""," "&amp;(IF(ABS(H17)&gt;=1E15,"PFLOPs",IF(ABS(H17)&gt;=1E12,"TFLOPs",IF(ABS(H17)&gt;=1E9,"GFLOPs",IF(ABS(H17)&gt;=1E6,"MFLOPs","flops"))))))</f>
        <v>140.356 GFLOPs</v>
      </c>
      <c r="D17" s="4" t="s">
        <v>507</v>
      </c>
      <c r="G17" s="32">
        <f>'Prefill_8K'!$AF$13</f>
        <v>228397682114560.0</v>
      </c>
      <c r="H17" s="32">
        <f>'Decode_1M'!$AF$13</f>
        <v>140355752110.0</v>
      </c>
    </row>
    <row r="18" spans="1:8">
      <c r="A18" s="4" t="s">
        <v>459</v>
      </c>
      <c r="B18" s="33" t="str">
        <f>TEXT(IF(ABS(G18)&gt;=1E12,G18/1E12,IF(ABS(G18)&gt;=1E9,G18/1E9,IF(ABS(G18)&gt;=1E6,G18/1E6,IF(ABS(G18)&gt;=1E3,G18/1E3,G18)))),"#,##0.000")&amp;IF((IF(ABS(G18)&gt;=1E12,"TB",IF(ABS(G18)&gt;=1E9,"GB",IF(ABS(G18)&gt;=1E6,"MB",IF(ABS(G18)&gt;=1E3,"KB","bytes")))))="",""," "&amp;(IF(ABS(G18)&gt;=1E12,"TB",IF(ABS(G18)&gt;=1E9,"GB",IF(ABS(G18)&gt;=1E6,"MB",IF(ABS(G18)&gt;=1E3,"KB","bytes"))))))</f>
        <v>0.000 B</v>
      </c>
      <c r="C18" s="33" t="str">
        <f>TEXT(IF(ABS(H18)&gt;=1E12,H18/1E12,IF(ABS(H18)&gt;=1E9,H18/1E9,IF(ABS(H18)&gt;=1E6,H18/1E6,IF(ABS(H18)&gt;=1E3,H18/1E3,H18)))),"#,##0.000")&amp;IF((IF(ABS(H18)&gt;=1E12,"TB",IF(ABS(H18)&gt;=1E9,"GB",IF(ABS(H18)&gt;=1E6,"MB",IF(ABS(H18)&gt;=1E3,"KB","bytes")))))="",""," "&amp;(IF(ABS(H18)&gt;=1E12,"TB",IF(ABS(H18)&gt;=1E9,"GB",IF(ABS(H18)&gt;=1E6,"MB",IF(ABS(H18)&gt;=1E3,"KB","bytes"))))))</f>
        <v>0.000 B</v>
      </c>
      <c r="D18" s="4" t="s">
        <v>508</v>
      </c>
      <c r="G18" s="32">
        <f>'Prefill_8K'!$AS$48</f>
        <v>0.0</v>
      </c>
      <c r="H18" s="32">
        <f>'Decode_1M'!$AS$48</f>
        <v>0.0</v>
      </c>
    </row>
    <row r="19" spans="1:8">
      <c r="A19" s="4" t="s">
        <v>461</v>
      </c>
      <c r="B19" s="33" t="str">
        <f>TEXT(G19,"#,##0.000")&amp;" GB/s"</f>
        <v>0.000 GB/s</v>
      </c>
      <c r="C19" s="33" t="str">
        <f>TEXT(H19,"#,##0.000")&amp;" GB/s"</f>
        <v>0.000 GB/s</v>
      </c>
      <c r="D19" s="4" t="s">
        <v>462</v>
      </c>
      <c r="G19" s="32">
        <f>'Prefill_8K'!$AS$48/(PrefillTargetMs/1000)/1E9</f>
        <v>0.0</v>
      </c>
      <c r="H19" s="32">
        <f>'Decode_1M'!$AS$48/(DecodeTargetMs/1000)/1E9</f>
        <v>0.0</v>
      </c>
    </row>
    <row r="20" spans="1:8">
      <c r="A20" s="4" t="s">
        <v>463</v>
      </c>
      <c r="B20" s="33" t="str">
        <f>TEXT(IF(ABS(G20)&gt;=1E12,G20/1E12,IF(ABS(G20)&gt;=1E9,G20/1E9,IF(ABS(G20)&gt;=1E6,G20/1E6,IF(ABS(G20)&gt;=1E3,G20/1E3,G20)))),"#,##0.000")&amp;IF((IF(ABS(G20)&gt;=1E12,"T",IF(ABS(G20)&gt;=1E9,"G",IF(ABS(G20)&gt;=1E6,"M",IF(ABS(G20)&gt;=1E3,"K","")))))="",""," "&amp;(IF(ABS(G20)&gt;=1E12,"T",IF(ABS(G20)&gt;=1E9,"G",IF(ABS(G20)&gt;=1E6,"M",IF(ABS(G20)&gt;=1E3,"K",""))))))</f>
        <v>5.086 G</v>
      </c>
      <c r="C20" s="33" t="str">
        <f>TEXT(IF(ABS(H20)&gt;=1E12,H20/1E12,IF(ABS(H20)&gt;=1E9,H20/1E9,IF(ABS(H20)&gt;=1E6,H20/1E6,IF(ABS(H20)&gt;=1E3,H20/1E3,H20)))),"#,##0.000")&amp;IF((IF(ABS(H20)&gt;=1E12,"T",IF(ABS(H20)&gt;=1E9,"G",IF(ABS(H20)&gt;=1E6,"M",IF(ABS(H20)&gt;=1E3,"K","")))))="",""," "&amp;(IF(ABS(H20)&gt;=1E12,"T",IF(ABS(H20)&gt;=1E9,"G",IF(ABS(H20)&gt;=1E6,"M",IF(ABS(H20)&gt;=1E3,"K",""))))))</f>
        <v>5.086 G</v>
      </c>
      <c r="D20" s="4" t="s">
        <v>509</v>
      </c>
      <c r="G20" s="32">
        <f>'Prefill_8K'!$AY$49</f>
        <v>5086249088.0</v>
      </c>
      <c r="H20" s="32">
        <f>'Prefill_8K'!$AY$49</f>
        <v>5086249088.0</v>
      </c>
    </row>
    <row r="21" spans="1:8">
      <c r="A21" s="4" t="s">
        <v>465</v>
      </c>
      <c r="B21" s="33" t="str">
        <f>TEXT(IF(ABS(G21)&gt;=1E12,G21/1E12,IF(ABS(G21)&gt;=1E9,G21/1E9,IF(ABS(G21)&gt;=1E6,G21/1E6,IF(ABS(G21)&gt;=1E3,G21/1E3,G21)))),"#,##0.000")&amp;IF((IF(ABS(G21)&gt;=1E12,"T",IF(ABS(G21)&gt;=1E9,"G",IF(ABS(G21)&gt;=1E6,"M",IF(ABS(G21)&gt;=1E3,"K","")))))="",""," "&amp;(IF(ABS(G21)&gt;=1E12,"T",IF(ABS(G21)&gt;=1E9,"G",IF(ABS(G21)&gt;=1E6,"M",IF(ABS(G21)&gt;=1E3,"K",""))))))</f>
        <v>278.155 G</v>
      </c>
      <c r="C21" s="33" t="str">
        <f>TEXT(IF(ABS(H21)&gt;=1E12,H21/1E12,IF(ABS(H21)&gt;=1E9,H21/1E9,IF(ABS(H21)&gt;=1E6,H21/1E6,IF(ABS(H21)&gt;=1E3,H21/1E3,H21)))),"#,##0.000")&amp;IF((IF(ABS(H21)&gt;=1E12,"T",IF(ABS(H21)&gt;=1E9,"G",IF(ABS(H21)&gt;=1E6,"M",IF(ABS(H21)&gt;=1E3,"K","")))))="",""," "&amp;(IF(ABS(H21)&gt;=1E12,"T",IF(ABS(H21)&gt;=1E9,"G",IF(ABS(H21)&gt;=1E6,"M",IF(ABS(H21)&gt;=1E3,"K",""))))))</f>
        <v>278.155 G</v>
      </c>
      <c r="D21" s="4" t="s">
        <v>466</v>
      </c>
      <c r="G21" s="32">
        <f>'Prefill_8K'!$AY$50</f>
        <v>278154947072.0</v>
      </c>
      <c r="H21" s="32">
        <f>'Prefill_8K'!$AY$50</f>
        <v>278154947072.0</v>
      </c>
    </row>
    <row r="22" spans="1:8">
      <c r="A22" s="4" t="s">
        <v>467</v>
      </c>
      <c r="B22" s="33" t="str">
        <f>TEXT(IF(ABS(G22)&gt;=1E12,G22/1E12,IF(ABS(G22)&gt;=1E9,G22/1E9,IF(ABS(G22)&gt;=1E6,G22/1E6,IF(ABS(G22)&gt;=1E3,G22/1E3,G22)))),"#,##0.000")&amp;IF((IF(ABS(G22)&gt;=1E12,"T",IF(ABS(G22)&gt;=1E9,"G",IF(ABS(G22)&gt;=1E6,"M",IF(ABS(G22)&gt;=1E3,"K","")))))="",""," "&amp;(IF(ABS(G22)&gt;=1E12,"T",IF(ABS(G22)&gt;=1E9,"G",IF(ABS(G22)&gt;=1E6,"M",IF(ABS(G22)&gt;=1E3,"K",""))))))</f>
        <v>1.093 G</v>
      </c>
      <c r="C22" s="33" t="str">
        <f>TEXT(IF(ABS(H22)&gt;=1E12,H22/1E12,IF(ABS(H22)&gt;=1E9,H22/1E9,IF(ABS(H22)&gt;=1E6,H22/1E6,IF(ABS(H22)&gt;=1E3,H22/1E3,H22)))),"#,##0.000")&amp;IF((IF(ABS(H22)&gt;=1E12,"T",IF(ABS(H22)&gt;=1E9,"G",IF(ABS(H22)&gt;=1E6,"M",IF(ABS(H22)&gt;=1E3,"K","")))))="",""," "&amp;(IF(ABS(H22)&gt;=1E12,"T",IF(ABS(H22)&gt;=1E9,"G",IF(ABS(H22)&gt;=1E6,"M",IF(ABS(H22)&gt;=1E3,"K",""))))))</f>
        <v>1.093 G</v>
      </c>
      <c r="D22" s="4" t="s">
        <v>510</v>
      </c>
      <c r="G22" s="32">
        <f>'Prefill_8K'!$AY$51</f>
        <v>1093371351.0</v>
      </c>
      <c r="H22" s="32">
        <f>'Prefill_8K'!$AY$51</f>
        <v>1093371351.0</v>
      </c>
    </row>
    <row r="23" spans="1:8">
      <c r="A23" s="31" t="s">
        <v>469</v>
      </c>
      <c r="B23" s="31" t="str">
        <f>TEXT(IF(ABS(G23)&gt;=1E12,G23/1E12,IF(ABS(G23)&gt;=1E9,G23/1E9,IF(ABS(G23)&gt;=1E6,G23/1E6,IF(ABS(G23)&gt;=1E3,G23/1E3,G23)))),"#,##0.000")&amp;IF((IF(ABS(G23)&gt;=1E12,"T",IF(ABS(G23)&gt;=1E9,"G",IF(ABS(G23)&gt;=1E6,"M",IF(ABS(G23)&gt;=1E3,"K","")))))="",""," "&amp;(IF(ABS(G23)&gt;=1E12,"T",IF(ABS(G23)&gt;=1E9,"G",IF(ABS(G23)&gt;=1E6,"M",IF(ABS(G23)&gt;=1E3,"K",""))))))</f>
        <v>284.335 G</v>
      </c>
      <c r="C23" s="31" t="str">
        <f>TEXT(IF(ABS(H23)&gt;=1E12,H23/1E12,IF(ABS(H23)&gt;=1E9,H23/1E9,IF(ABS(H23)&gt;=1E6,H23/1E6,IF(ABS(H23)&gt;=1E3,H23/1E3,H23)))),"#,##0.000")&amp;IF((IF(ABS(H23)&gt;=1E12,"T",IF(ABS(H23)&gt;=1E9,"G",IF(ABS(H23)&gt;=1E6,"M",IF(ABS(H23)&gt;=1E3,"K","")))))="",""," "&amp;(IF(ABS(H23)&gt;=1E12,"T",IF(ABS(H23)&gt;=1E9,"G",IF(ABS(H23)&gt;=1E6,"M",IF(ABS(H23)&gt;=1E3,"K",""))))))</f>
        <v>284.335 G</v>
      </c>
      <c r="D23" s="4" t="s">
        <v>511</v>
      </c>
      <c r="G23" s="32">
        <f>'Prefill_8K'!$AY$52</f>
        <v>284334567511.0</v>
      </c>
      <c r="H23" s="32">
        <f>'Prefill_8K'!$AY$52</f>
        <v>284334567511.0</v>
      </c>
    </row>
    <row r="24" spans="1:8">
      <c r="A24" s="4" t="s">
        <v>471</v>
      </c>
      <c r="B24" s="33" t="str">
        <f>TEXT(IF(ABS(G24)&gt;=1E12,G24/1E12,IF(ABS(G24)&gt;=1E9,G24/1E9,IF(ABS(G24)&gt;=1E6,G24/1E6,IF(ABS(G24)&gt;=1E3,G24/1E3,G24)))),"#,##0.000")&amp;IF((IF(ABS(G24)&gt;=1E12,"TB",IF(ABS(G24)&gt;=1E9,"GB",IF(ABS(G24)&gt;=1E6,"MB",IF(ABS(G24)&gt;=1E3,"KB","bytes")))))="",""," "&amp;(IF(ABS(G24)&gt;=1E12,"TB",IF(ABS(G24)&gt;=1E9,"GB",IF(ABS(G24)&gt;=1E6,"MB",IF(ABS(G24)&gt;=1E3,"KB","bytes"))))))</f>
        <v>7.451 GB</v>
      </c>
      <c r="C24" s="33" t="str">
        <f>TEXT(IF(ABS(H24)&gt;=1E12,H24/1E12,IF(ABS(H24)&gt;=1E9,H24/1E9,IF(ABS(H24)&gt;=1E6,H24/1E6,IF(ABS(H24)&gt;=1E3,H24/1E3,H24)))),"#,##0.000")&amp;IF((IF(ABS(H24)&gt;=1E12,"TB",IF(ABS(H24)&gt;=1E9,"GB",IF(ABS(H24)&gt;=1E6,"MB",IF(ABS(H24)&gt;=1E3,"KB","bytes")))))="",""," "&amp;(IF(ABS(H24)&gt;=1E12,"TB",IF(ABS(H24)&gt;=1E9,"GB",IF(ABS(H24)&gt;=1E6,"MB",IF(ABS(H24)&gt;=1E3,"KB","bytes"))))))</f>
        <v>7.451 GB</v>
      </c>
      <c r="D24" s="4" t="s">
        <v>512</v>
      </c>
      <c r="G24" s="32">
        <f>'Prefill_8K'!$BA$49</f>
        <v>7451384960</v>
      </c>
      <c r="H24" s="32">
        <f>'Prefill_8K'!$BA$49</f>
        <v>7451384960</v>
      </c>
    </row>
    <row r="25" spans="1:8">
      <c r="A25" s="4" t="s">
        <v>473</v>
      </c>
      <c r="B25" s="33" t="str">
        <f>TEXT(IF(ABS(G25)&gt;=1E12,G25/1E12,IF(ABS(G25)&gt;=1E9,G25/1E9,IF(ABS(G25)&gt;=1E6,G25/1E6,IF(ABS(G25)&gt;=1E3,G25/1E3,G25)))),"#,##0.000")&amp;IF((IF(ABS(G25)&gt;=1E12,"TB",IF(ABS(G25)&gt;=1E9,"GB",IF(ABS(G25)&gt;=1E6,"MB",IF(ABS(G25)&gt;=1E3,"KB","bytes")))))="",""," "&amp;(IF(ABS(G25)&gt;=1E12,"TB",IF(ABS(G25)&gt;=1E9,"GB",IF(ABS(G25)&gt;=1E6,"MB",IF(ABS(G25)&gt;=1E3,"KB","bytes"))))))</f>
        <v>148.351 GB</v>
      </c>
      <c r="C25" s="33" t="str">
        <f>TEXT(IF(ABS(H25)&gt;=1E12,H25/1E12,IF(ABS(H25)&gt;=1E9,H25/1E9,IF(ABS(H25)&gt;=1E6,H25/1E6,IF(ABS(H25)&gt;=1E3,H25/1E3,H25)))),"#,##0.000")&amp;IF((IF(ABS(H25)&gt;=1E12,"TB",IF(ABS(H25)&gt;=1E9,"GB",IF(ABS(H25)&gt;=1E6,"MB",IF(ABS(H25)&gt;=1E3,"KB","bytes")))))="",""," "&amp;(IF(ABS(H25)&gt;=1E12,"TB",IF(ABS(H25)&gt;=1E9,"GB",IF(ABS(H25)&gt;=1E6,"MB",IF(ABS(H25)&gt;=1E3,"KB","bytes"))))))</f>
        <v>148.351 GB</v>
      </c>
      <c r="D25" s="4" t="s">
        <v>513</v>
      </c>
      <c r="G25" s="32">
        <f>'Prefill_8K'!$BA$50</f>
        <v>148351461888.0</v>
      </c>
      <c r="H25" s="32">
        <f>'Prefill_8K'!$BA$50</f>
        <v>148351461888.0</v>
      </c>
    </row>
    <row r="26" spans="1:8">
      <c r="A26" s="4" t="s">
        <v>475</v>
      </c>
      <c r="B26" s="33" t="str">
        <f>TEXT(IF(ABS(G26)&gt;=1E12,G26/1E12,IF(ABS(G26)&gt;=1E9,G26/1E9,IF(ABS(G26)&gt;=1E6,G26/1E6,IF(ABS(G26)&gt;=1E3,G26/1E3,G26)))),"#,##0.000")&amp;IF((IF(ABS(G26)&gt;=1E12,"TB",IF(ABS(G26)&gt;=1E9,"GB",IF(ABS(G26)&gt;=1E6,"MB",IF(ABS(G26)&gt;=1E3,"KB","bytes")))))="",""," "&amp;(IF(ABS(G26)&gt;=1E12,"TB",IF(ABS(G26)&gt;=1E9,"GB",IF(ABS(G26)&gt;=1E6,"MB",IF(ABS(G26)&gt;=1E3,"KB","bytes"))))))</f>
        <v>3.314 GB</v>
      </c>
      <c r="C26" s="33" t="str">
        <f>TEXT(IF(ABS(H26)&gt;=1E12,H26/1E12,IF(ABS(H26)&gt;=1E9,H26/1E9,IF(ABS(H26)&gt;=1E6,H26/1E6,IF(ABS(H26)&gt;=1E3,H26/1E3,H26)))),"#,##0.000")&amp;IF((IF(ABS(H26)&gt;=1E12,"TB",IF(ABS(H26)&gt;=1E9,"GB",IF(ABS(H26)&gt;=1E6,"MB",IF(ABS(H26)&gt;=1E3,"KB","bytes")))))="",""," "&amp;(IF(ABS(H26)&gt;=1E12,"TB",IF(ABS(H26)&gt;=1E9,"GB",IF(ABS(H26)&gt;=1E6,"MB",IF(ABS(H26)&gt;=1E3,"KB","bytes"))))))</f>
        <v>3.314 GB</v>
      </c>
      <c r="D26" s="4" t="s">
        <v>510</v>
      </c>
      <c r="G26" s="32">
        <f>'Prefill_8K'!$BA$51</f>
        <v>3314423644.0</v>
      </c>
      <c r="H26" s="32">
        <f>'Prefill_8K'!$BA$51</f>
        <v>3314423644.0</v>
      </c>
    </row>
    <row r="27" spans="1:8">
      <c r="A27" s="31" t="s">
        <v>476</v>
      </c>
      <c r="B27" s="31" t="str">
        <f>TEXT(IF(ABS(G27)&gt;=1E12,G27/1E12,IF(ABS(G27)&gt;=1E9,G27/1E9,IF(ABS(G27)&gt;=1E6,G27/1E6,IF(ABS(G27)&gt;=1E3,G27/1E3,G27)))),"#,##0.000")&amp;IF((IF(ABS(G27)&gt;=1E12,"TB",IF(ABS(G27)&gt;=1E9,"GB",IF(ABS(G27)&gt;=1E6,"MB",IF(ABS(G27)&gt;=1E3,"KB","bytes")))))="",""," "&amp;(IF(ABS(G27)&gt;=1E12,"TB",IF(ABS(G27)&gt;=1E9,"GB",IF(ABS(G27)&gt;=1E6,"MB",IF(ABS(G27)&gt;=1E3,"KB","bytes"))))))</f>
        <v>159.117 GB</v>
      </c>
      <c r="C27" s="31" t="str">
        <f>TEXT(IF(ABS(H27)&gt;=1E12,H27/1E12,IF(ABS(H27)&gt;=1E9,H27/1E9,IF(ABS(H27)&gt;=1E6,H27/1E6,IF(ABS(H27)&gt;=1E3,H27/1E3,H27)))),"#,##0.000")&amp;IF((IF(ABS(H27)&gt;=1E12,"TB",IF(ABS(H27)&gt;=1E9,"GB",IF(ABS(H27)&gt;=1E6,"MB",IF(ABS(H27)&gt;=1E3,"KB","bytes")))))="",""," "&amp;(IF(ABS(H27)&gt;=1E12,"TB",IF(ABS(H27)&gt;=1E9,"GB",IF(ABS(H27)&gt;=1E6,"MB",IF(ABS(H27)&gt;=1E3,"KB","bytes"))))))</f>
        <v>159.117 GB</v>
      </c>
      <c r="D27" s="4" t="s">
        <v>514</v>
      </c>
      <c r="G27" s="32">
        <f>'Prefill_8K'!$BA$52</f>
        <v>159117270492.0</v>
      </c>
      <c r="H27" s="32">
        <f>'Prefill_8K'!$BA$52</f>
        <v>159117270492.0</v>
      </c>
    </row>
    <row r="28" spans="1:8">
      <c r="A28" s="4" t="s">
        <v>478</v>
      </c>
      <c r="B28" s="33" t="str">
        <f>TEXT(IF(ABS(G28)&gt;=1E12,G28/1E12,IF(ABS(G28)&gt;=1E9,G28/1E9,IF(ABS(G28)&gt;=1E6,G28/1E6,IF(ABS(G28)&gt;=1E3,G28/1E3,G28)))),"#,##0.000")&amp;IF((IF(ABS(G28)&gt;=1E12,"TB",IF(ABS(G28)&gt;=1E9,"GB",IF(ABS(G28)&gt;=1E6,"MB",IF(ABS(G28)&gt;=1E3,"KB","bytes")))))="",""," "&amp;(IF(ABS(G28)&gt;=1E12,"TB",IF(ABS(G28)&gt;=1E9,"GB",IF(ABS(G28)&gt;=1E6,"MB",IF(ABS(G28)&gt;=1E3,"KB","bytes"))))))</f>
        <v>50.987 MB</v>
      </c>
      <c r="C28" s="33" t="str">
        <f>TEXT(IF(ABS(H28)&gt;=1E12,H28/1E12,IF(ABS(H28)&gt;=1E9,H28/1E9,IF(ABS(H28)&gt;=1E6,H28/1E6,IF(ABS(H28)&gt;=1E3,H28/1E3,H28)))),"#,##0.000")&amp;IF((IF(ABS(H28)&gt;=1E12,"TB",IF(ABS(H28)&gt;=1E9,"GB",IF(ABS(H28)&gt;=1E6,"MB",IF(ABS(H28)&gt;=1E3,"KB","bytes")))))="",""," "&amp;(IF(ABS(H28)&gt;=1E12,"TB",IF(ABS(H28)&gt;=1E9,"GB",IF(ABS(H28)&gt;=1E6,"MB",IF(ABS(H28)&gt;=1E3,"KB","bytes"))))))</f>
        <v>5.811 GB</v>
      </c>
      <c r="D28" s="4" t="s">
        <v>515</v>
      </c>
      <c r="G28" s="32">
        <f>'Prefill_8K'!$U$35</f>
        <v>50987008</v>
      </c>
      <c r="H28" s="32">
        <f>'Decode_1M'!$U$35</f>
        <v>5810552832</v>
      </c>
    </row>
    <row r="29" spans="1:8">
      <c r="A29" s="4" t="s">
        <v>480</v>
      </c>
      <c r="B29" s="33" t="str">
        <f>TEXT(IF(ABS(G29)&gt;=1E12,G29/1E12,IF(ABS(G29)&gt;=1E9,G29/1E9,IF(ABS(G29)&gt;=1E6,G29/1E6,IF(ABS(G29)&gt;=1E3,G29/1E3,G29)))),"#,##0.000")&amp;IF((IF(ABS(G29)&gt;=1E12,"TB",IF(ABS(G29)&gt;=1E9,"GB",IF(ABS(G29)&gt;=1E6,"MB",IF(ABS(G29)&gt;=1E3,"KB","bytes")))))="",""," "&amp;(IF(ABS(G29)&gt;=1E12,"TB",IF(ABS(G29)&gt;=1E9,"GB",IF(ABS(G29)&gt;=1E6,"MB",IF(ABS(G29)&gt;=1E3,"KB","bytes"))))))</f>
        <v>11.010 MB</v>
      </c>
      <c r="C29" s="33" t="str">
        <f>TEXT(IF(ABS(H29)&gt;=1E12,H29/1E12,IF(ABS(H29)&gt;=1E9,H29/1E9,IF(ABS(H29)&gt;=1E6,H29/1E6,IF(ABS(H29)&gt;=1E3,H29/1E3,H29)))),"#,##0.000")&amp;IF((IF(ABS(H29)&gt;=1E12,"TB",IF(ABS(H29)&gt;=1E9,"GB",IF(ABS(H29)&gt;=1E6,"MB",IF(ABS(H29)&gt;=1E3,"KB","bytes")))))="",""," "&amp;(IF(ABS(H29)&gt;=1E12,"TB",IF(ABS(H29)&gt;=1E9,"GB",IF(ABS(H29)&gt;=1E6,"MB",IF(ABS(H29)&gt;=1E3,"KB","bytes"))))))</f>
        <v>1.409 GB</v>
      </c>
      <c r="D29" s="4" t="s">
        <v>515</v>
      </c>
      <c r="G29" s="32">
        <f>'Prefill_8K'!$U$36</f>
        <v>11010048</v>
      </c>
      <c r="H29" s="32">
        <f>'Decode_1M'!$U$36</f>
        <v>1409286144</v>
      </c>
    </row>
    <row r="30" spans="1:8">
      <c r="A30" s="4" t="s">
        <v>481</v>
      </c>
      <c r="B30" s="33" t="str">
        <f>TEXT(IF(ABS(G30)&gt;=1E12,G30/1E12,IF(ABS(G30)&gt;=1E9,G30/1E9,IF(ABS(G30)&gt;=1E6,G30/1E6,IF(ABS(G30)&gt;=1E3,G30/1E3,G30)))),"#,##0.000")&amp;IF((IF(ABS(G30)&gt;=1E12,"TB",IF(ABS(G30)&gt;=1E9,"GB",IF(ABS(G30)&gt;=1E6,"MB",IF(ABS(G30)&gt;=1E3,"KB","bytes")))))="",""," "&amp;(IF(ABS(G30)&gt;=1E12,"TB",IF(ABS(G30)&gt;=1E9,"GB",IF(ABS(G30)&gt;=1E6,"MB",IF(ABS(G30)&gt;=1E3,"KB","bytes"))))))</f>
        <v>12.206 MB</v>
      </c>
      <c r="C30" s="33" t="str">
        <f>TEXT(IF(ABS(H30)&gt;=1E12,H30/1E12,IF(ABS(H30)&gt;=1E9,H30/1E9,IF(ABS(H30)&gt;=1E6,H30/1E6,IF(ABS(H30)&gt;=1E3,H30/1E3,H30)))),"#,##0.000")&amp;IF((IF(ABS(H30)&gt;=1E12,"TB",IF(ABS(H30)&gt;=1E9,"GB",IF(ABS(H30)&gt;=1E6,"MB",IF(ABS(H30)&gt;=1E3,"KB","bytes")))))="",""," "&amp;(IF(ABS(H30)&gt;=1E12,"TB",IF(ABS(H30)&gt;=1E9,"GB",IF(ABS(H30)&gt;=1E6,"MB",IF(ABS(H30)&gt;=1E3,"KB","bytes"))))))</f>
        <v>12.206 MB</v>
      </c>
      <c r="D30" s="4" t="s">
        <v>515</v>
      </c>
      <c r="G30" s="32">
        <f>'Prefill_8K'!$U$37</f>
        <v>12206080</v>
      </c>
      <c r="H30" s="32">
        <f>'Decode_1M'!$U$37</f>
        <v>12206080</v>
      </c>
    </row>
    <row r="31" spans="1:8">
      <c r="A31" s="4" t="s">
        <v>482</v>
      </c>
      <c r="B31" s="33" t="str">
        <f>TEXT(IF(ABS(G31)&gt;=1E12,G31/1E12,IF(ABS(G31)&gt;=1E9,G31/1E9,IF(ABS(G31)&gt;=1E6,G31/1E6,IF(ABS(G31)&gt;=1E3,G31/1E3,G31)))),"#,##0.000")&amp;IF((IF(ABS(G31)&gt;=1E12,"TB",IF(ABS(G31)&gt;=1E9,"GB",IF(ABS(G31)&gt;=1E6,"MB",IF(ABS(G31)&gt;=1E3,"KB","bytes")))))="",""," "&amp;(IF(ABS(G31)&gt;=1E12,"TB",IF(ABS(G31)&gt;=1E9,"GB",IF(ABS(G31)&gt;=1E6,"MB",IF(ABS(G31)&gt;=1E3,"KB","bytes"))))))</f>
        <v>7.232 GB</v>
      </c>
      <c r="C31" s="33" t="str">
        <f>TEXT(IF(ABS(H31)&gt;=1E12,H31/1E12,IF(ABS(H31)&gt;=1E9,H31/1E9,IF(ABS(H31)&gt;=1E6,H31/1E6,IF(ABS(H31)&gt;=1E3,H31/1E3,H31)))),"#,##0.000")&amp;IF((IF(ABS(H31)&gt;=1E12,"TB",IF(ABS(H31)&gt;=1E9,"GB",IF(ABS(H31)&gt;=1E6,"MB",IF(ABS(H31)&gt;=1E3,"KB","bytes")))))="",""," "&amp;(IF(ABS(H31)&gt;=1E12,"TB",IF(ABS(H31)&gt;=1E9,"GB",IF(ABS(H31)&gt;=1E6,"MB",IF(ABS(H31)&gt;=1E3,"KB","bytes"))))))</f>
        <v>7.232 GB</v>
      </c>
      <c r="D31" s="4" t="s">
        <v>515</v>
      </c>
      <c r="G31" s="32">
        <f>'Prefill_8K'!$U$38</f>
        <v>7232045056</v>
      </c>
      <c r="H31" s="32">
        <f>'Decode_1M'!$U$38</f>
        <v>7232045056</v>
      </c>
    </row>
    <row r="32" spans="1:8">
      <c r="A32" s="31" t="s">
        <v>483</v>
      </c>
      <c r="B32" s="31" t="str">
        <f>TEXT(IF(ABS(G32)&gt;=1E12,G32/1E12,IF(ABS(G32)&gt;=1E9,G32/1E9,IF(ABS(G32)&gt;=1E6,G32/1E6,IF(ABS(G32)&gt;=1E3,G32/1E3,G32)))),"#,##0.000")&amp;IF((IF(ABS(G32)&gt;=1E12,"TB",IF(ABS(G32)&gt;=1E9,"GB",IF(ABS(G32)&gt;=1E6,"MB",IF(ABS(G32)&gt;=1E3,"KB","bytes")))))="",""," "&amp;(IF(ABS(G32)&gt;=1E12,"TB",IF(ABS(G32)&gt;=1E9,"GB",IF(ABS(G32)&gt;=1E6,"MB",IF(ABS(G32)&gt;=1E3,"KB","bytes"))))))</f>
        <v>166.349 GB</v>
      </c>
      <c r="C32" s="31" t="str">
        <f>TEXT(IF(ABS(H32)&gt;=1E12,H32/1E12,IF(ABS(H32)&gt;=1E9,H32/1E9,IF(ABS(H32)&gt;=1E6,H32/1E6,IF(ABS(H32)&gt;=1E3,H32/1E3,H32)))),"#,##0.000")&amp;IF((IF(ABS(H32)&gt;=1E12,"TB",IF(ABS(H32)&gt;=1E9,"GB",IF(ABS(H32)&gt;=1E6,"MB",IF(ABS(H32)&gt;=1E3,"KB","bytes")))))="",""," "&amp;(IF(ABS(H32)&gt;=1E12,"TB",IF(ABS(H32)&gt;=1E9,"GB",IF(ABS(H32)&gt;=1E6,"MB",IF(ABS(H32)&gt;=1E3,"KB","bytes"))))))</f>
        <v>166.349 GB</v>
      </c>
      <c r="D32" s="4" t="s">
        <v>516</v>
      </c>
      <c r="G32" s="32">
        <f>'Prefill_8K'!$BA$52+'Prefill_8K'!$U$38</f>
        <v>166349315548.0</v>
      </c>
      <c r="H32" s="32">
        <f>'Prefill_8K'!$BA$52+'Decode_1M'!$U$38</f>
        <v>166349315548.0</v>
      </c>
    </row>
    <row r="34" spans="1:8">
      <c r="A34" s="30" t="s">
        <v>517</v>
      </c>
      <c r="B34" s="30"/>
      <c r="C34" s="30"/>
      <c r="D34" s="30"/>
    </row>
    <row r="35" spans="1:8">
      <c r="A35" s="3" t="s">
        <v>438</v>
      </c>
      <c r="B35" s="3" t="s">
        <v>502</v>
      </c>
      <c r="C35" s="3" t="s">
        <v>503</v>
      </c>
      <c r="D35" s="3" t="s">
        <v>363</v>
      </c>
    </row>
    <row r="36" spans="1:8">
      <c r="A36" s="4" t="s">
        <v>443</v>
      </c>
      <c r="B36" s="33" t="str">
        <f>TEXT(IF(ABS(G36)&gt;=1E15,G36/1E15,IF(ABS(G36)&gt;=1E12,G36/1E12,IF(ABS(G36)&gt;=1E9,G36/1E9,IF(ABS(G36)&gt;=1E6,G36/1E6,G36)))),"#,##0.000")&amp;IF((IF(ABS(G36)&gt;=1E15,"PFLOPs",IF(ABS(G36)&gt;=1E12,"TFLOPs",IF(ABS(G36)&gt;=1E9,"GFLOPs",IF(ABS(G36)&gt;=1E6,"MFLOPs","flops")))))="",""," "&amp;(IF(ABS(G36)&gt;=1E15,"PFLOPs",IF(ABS(G36)&gt;=1E12,"TFLOPs",IF(ABS(G36)&gt;=1E9,"GFLOPs",IF(ABS(G36)&gt;=1E6,"MFLOPs","flops"))))))</f>
        <v>23.172 TFLOPs</v>
      </c>
      <c r="C36" s="33" t="str">
        <f>TEXT(IF(ABS(H36)&gt;=1E15,H36/1E15,IF(ABS(H36)&gt;=1E12,H36/1E12,IF(ABS(H36)&gt;=1E9,H36/1E9,IF(ABS(H36)&gt;=1E6,H36/1E6,H36)))),"#,##0.000")&amp;IF((IF(ABS(H36)&gt;=1E15,"PFLOPs",IF(ABS(H36)&gt;=1E12,"TFLOPs",IF(ABS(H36)&gt;=1E9,"GFLOPs",IF(ABS(H36)&gt;=1E6,"MFLOPs","flops")))))="",""," "&amp;(IF(ABS(H36)&gt;=1E15,"PFLOPs",IF(ABS(H36)&gt;=1E12,"TFLOPs",IF(ABS(H36)&gt;=1E9,"GFLOPs",IF(ABS(H36)&gt;=1E6,"MFLOPs","flops"))))))</f>
        <v>19.452 GFLOPs</v>
      </c>
      <c r="D36" s="4" t="s">
        <v>504</v>
      </c>
      <c r="G36" s="32">
        <f>'Prefill_8K'!$AI$14</f>
        <v>23172382457856.0</v>
      </c>
      <c r="H36" s="32">
        <f>'Decode_1M'!$AI$14</f>
        <v>19452461056.0</v>
      </c>
    </row>
    <row r="37" spans="1:8">
      <c r="A37" s="4" t="s">
        <v>445</v>
      </c>
      <c r="B37" s="33" t="str">
        <f>TEXT(IF(ABS(G37)&gt;=1E15,G37/1E15,IF(ABS(G37)&gt;=1E12,G37/1E12,IF(ABS(G37)&gt;=1E9,G37/1E9,IF(ABS(G37)&gt;=1E6,G37/1E6,G37)))),"#,##0.000")&amp;IF((IF(ABS(G37)&gt;=1E15,"PFLOPs",IF(ABS(G37)&gt;=1E12,"TFLOPs",IF(ABS(G37)&gt;=1E9,"GFLOPs",IF(ABS(G37)&gt;=1E6,"MFLOPs","flops")))))="",""," "&amp;(IF(ABS(G37)&gt;=1E15,"PFLOPs",IF(ABS(G37)&gt;=1E12,"TFLOPs",IF(ABS(G37)&gt;=1E9,"GFLOPs",IF(ABS(G37)&gt;=1E6,"MFLOPs","flops"))))))</f>
        <v>31.766 TFLOPs</v>
      </c>
      <c r="C37" s="33" t="str">
        <f>TEXT(IF(ABS(H37)&gt;=1E15,H37/1E15,IF(ABS(H37)&gt;=1E12,H37/1E12,IF(ABS(H37)&gt;=1E9,H37/1E9,IF(ABS(H37)&gt;=1E6,H37/1E6,H37)))),"#,##0.000")&amp;IF((IF(ABS(H37)&gt;=1E15,"PFLOPs",IF(ABS(H37)&gt;=1E12,"TFLOPs",IF(ABS(H37)&gt;=1E9,"GFLOPs",IF(ABS(H37)&gt;=1E6,"MFLOPs","flops")))))="",""," "&amp;(IF(ABS(H37)&gt;=1E15,"PFLOPs",IF(ABS(H37)&gt;=1E12,"TFLOPs",IF(ABS(H37)&gt;=1E9,"GFLOPs",IF(ABS(H37)&gt;=1E6,"MFLOPs","flops"))))))</f>
        <v>3.878 GFLOPs</v>
      </c>
      <c r="D37" s="4" t="s">
        <v>504</v>
      </c>
      <c r="G37" s="32">
        <f>'Prefill_8K'!$AI$15</f>
        <v>31765578121216.0</v>
      </c>
      <c r="H37" s="32">
        <f>'Decode_1M'!$AI$15</f>
        <v>3877634048.0</v>
      </c>
    </row>
    <row r="38" spans="1:8">
      <c r="A38" s="4" t="s">
        <v>446</v>
      </c>
      <c r="B38" s="33" t="str">
        <f>TEXT(IF(ABS(G38)&gt;=1E15,G38/1E15,IF(ABS(G38)&gt;=1E12,G38/1E12,IF(ABS(G38)&gt;=1E9,G38/1E9,IF(ABS(G38)&gt;=1E6,G38/1E6,G38)))),"#,##0.000")&amp;IF((IF(ABS(G38)&gt;=1E15,"PFLOPs",IF(ABS(G38)&gt;=1E12,"TFLOPs",IF(ABS(G38)&gt;=1E9,"GFLOPs",IF(ABS(G38)&gt;=1E6,"MFLOPs","flops")))))="",""," "&amp;(IF(ABS(G38)&gt;=1E15,"PFLOPs",IF(ABS(G38)&gt;=1E12,"TFLOPs",IF(ABS(G38)&gt;=1E9,"GFLOPs",IF(ABS(G38)&gt;=1E6,"MFLOPs","flops"))))))</f>
        <v>714.608 GFLOPs</v>
      </c>
      <c r="C38" s="33" t="str">
        <f>TEXT(IF(ABS(H38)&gt;=1E15,H38/1E15,IF(ABS(H38)&gt;=1E12,H38/1E12,IF(ABS(H38)&gt;=1E9,H38/1E9,IF(ABS(H38)&gt;=1E6,H38/1E6,H38)))),"#,##0.000")&amp;IF((IF(ABS(H38)&gt;=1E15,"PFLOPs",IF(ABS(H38)&gt;=1E12,"TFLOPs",IF(ABS(H38)&gt;=1E9,"GFLOPs",IF(ABS(H38)&gt;=1E6,"MFLOPs","flops")))))="",""," "&amp;(IF(ABS(H38)&gt;=1E15,"PFLOPs",IF(ABS(H38)&gt;=1E12,"TFLOPs",IF(ABS(H38)&gt;=1E9,"GFLOPs",IF(ABS(H38)&gt;=1E6,"MFLOPs","flops"))))))</f>
        <v>219.599 MFLOPs</v>
      </c>
      <c r="D38" s="4" t="s">
        <v>504</v>
      </c>
      <c r="G38" s="32">
        <f>'Prefill_8K'!$AP$48</f>
        <v>714608328704.0</v>
      </c>
      <c r="H38" s="32">
        <f>'Decode_1M'!$AP$48</f>
        <v>219599022.0</v>
      </c>
    </row>
    <row r="39" spans="1:8">
      <c r="A39" s="31" t="s">
        <v>447</v>
      </c>
      <c r="B39" s="31" t="str">
        <f>TEXT(IF(ABS(G39)&gt;=1E15,G39/1E15,IF(ABS(G39)&gt;=1E12,G39/1E12,IF(ABS(G39)&gt;=1E9,G39/1E9,IF(ABS(G39)&gt;=1E6,G39/1E6,G39)))),"#,##0.000")&amp;IF((IF(ABS(G39)&gt;=1E15,"PFLOPs",IF(ABS(G39)&gt;=1E12,"TFLOPs",IF(ABS(G39)&gt;=1E9,"GFLOPs",IF(ABS(G39)&gt;=1E6,"MFLOPs","flops")))))="",""," "&amp;(IF(ABS(G39)&gt;=1E15,"PFLOPs",IF(ABS(G39)&gt;=1E12,"TFLOPs",IF(ABS(G39)&gt;=1E9,"GFLOPs",IF(ABS(G39)&gt;=1E6,"MFLOPs","flops"))))))</f>
        <v>55.653 TFLOPs</v>
      </c>
      <c r="C39" s="31" t="str">
        <f>TEXT(IF(ABS(H39)&gt;=1E15,H39/1E15,IF(ABS(H39)&gt;=1E12,H39/1E12,IF(ABS(H39)&gt;=1E9,H39/1E9,IF(ABS(H39)&gt;=1E6,H39/1E6,H39)))),"#,##0.000")&amp;IF((IF(ABS(H39)&gt;=1E15,"PFLOPs",IF(ABS(H39)&gt;=1E12,"TFLOPs",IF(ABS(H39)&gt;=1E9,"GFLOPs",IF(ABS(H39)&gt;=1E6,"MFLOPs","flops")))))="",""," "&amp;(IF(ABS(H39)&gt;=1E15,"PFLOPs",IF(ABS(H39)&gt;=1E12,"TFLOPs",IF(ABS(H39)&gt;=1E9,"GFLOPs",IF(ABS(H39)&gt;=1E6,"MFLOPs","flops"))))))</f>
        <v>23.550 GFLOPs</v>
      </c>
      <c r="D39" s="4" t="s">
        <v>504</v>
      </c>
      <c r="G39" s="32">
        <f>'Prefill_8K'!$AI$13</f>
        <v>55652568907776.0</v>
      </c>
      <c r="H39" s="32">
        <f>'Decode_1M'!$AI$13</f>
        <v>23549694126.0</v>
      </c>
    </row>
    <row r="40" spans="1:8">
      <c r="A40" s="4" t="s">
        <v>448</v>
      </c>
      <c r="B40" s="33" t="str">
        <f>TEXT(IF(ABS(G40)&gt;=1E12,G40/1E12,IF(ABS(G40)&gt;=1E9,G40/1E9,IF(ABS(G40)&gt;=1E6,G40/1E6,IF(ABS(G40)&gt;=1E3,G40/1E3,G40)))),"#,##0.000")&amp;IF((IF(ABS(G40)&gt;=1E12,"TB",IF(ABS(G40)&gt;=1E9,"GB",IF(ABS(G40)&gt;=1E6,"MB",IF(ABS(G40)&gt;=1E3,"KB","bytes")))))="",""," "&amp;(IF(ABS(G40)&gt;=1E12,"TB",IF(ABS(G40)&gt;=1E9,"GB",IF(ABS(G40)&gt;=1E6,"MB",IF(ABS(G40)&gt;=1E3,"KB","bytes"))))))</f>
        <v>231.532 GB</v>
      </c>
      <c r="C40" s="33" t="str">
        <f>TEXT(IF(ABS(H40)&gt;=1E12,H40/1E12,IF(ABS(H40)&gt;=1E9,H40/1E9,IF(ABS(H40)&gt;=1E6,H40/1E6,IF(ABS(H40)&gt;=1E3,H40/1E3,H40)))),"#,##0.000")&amp;IF((IF(ABS(H40)&gt;=1E12,"TB",IF(ABS(H40)&gt;=1E9,"GB",IF(ABS(H40)&gt;=1E6,"MB",IF(ABS(H40)&gt;=1E3,"KB","bytes")))))="",""," "&amp;(IF(ABS(H40)&gt;=1E12,"TB",IF(ABS(H40)&gt;=1E9,"GB",IF(ABS(H40)&gt;=1E6,"MB",IF(ABS(H40)&gt;=1E3,"KB","bytes"))))))</f>
        <v>4.035 GB</v>
      </c>
      <c r="D40" s="4" t="s">
        <v>505</v>
      </c>
      <c r="G40" s="32">
        <f>'Prefill_8K'!$AJ$14</f>
        <v>231531806144.0</v>
      </c>
      <c r="H40" s="32">
        <f>'Decode_1M'!$AJ$14</f>
        <v>4035232528.0</v>
      </c>
    </row>
    <row r="41" spans="1:8">
      <c r="A41" s="4" t="s">
        <v>450</v>
      </c>
      <c r="B41" s="33" t="str">
        <f>TEXT(IF(ABS(G41)&gt;=1E12,G41/1E12,IF(ABS(G41)&gt;=1E9,G41/1E9,IF(ABS(G41)&gt;=1E6,G41/1E6,IF(ABS(G41)&gt;=1E3,G41/1E3,G41)))),"#,##0.000")&amp;IF((IF(ABS(G41)&gt;=1E12,"TB",IF(ABS(G41)&gt;=1E9,"GB",IF(ABS(G41)&gt;=1E6,"MB",IF(ABS(G41)&gt;=1E3,"KB","bytes")))))="",""," "&amp;(IF(ABS(G41)&gt;=1E12,"TB",IF(ABS(G41)&gt;=1E9,"GB",IF(ABS(G41)&gt;=1E6,"MB",IF(ABS(G41)&gt;=1E3,"KB","bytes"))))))</f>
        <v>32.915 GB</v>
      </c>
      <c r="C41" s="33" t="str">
        <f>TEXT(IF(ABS(H41)&gt;=1E12,H41/1E12,IF(ABS(H41)&gt;=1E9,H41/1E9,IF(ABS(H41)&gt;=1E6,H41/1E6,IF(ABS(H41)&gt;=1E3,H41/1E3,H41)))),"#,##0.000")&amp;IF((IF(ABS(H41)&gt;=1E12,"TB",IF(ABS(H41)&gt;=1E9,"GB",IF(ABS(H41)&gt;=1E6,"MB",IF(ABS(H41)&gt;=1E3,"KB","bytes")))))="",""," "&amp;(IF(ABS(H41)&gt;=1E12,"TB",IF(ABS(H41)&gt;=1E9,"GB",IF(ABS(H41)&gt;=1E6,"MB",IF(ABS(H41)&gt;=1E3,"KB","bytes"))))))</f>
        <v>1.605 GB</v>
      </c>
      <c r="D41" s="4" t="s">
        <v>505</v>
      </c>
      <c r="G41" s="32">
        <f>'Prefill_8K'!$AJ$15</f>
        <v>32915497472.0</v>
      </c>
      <c r="H41" s="32">
        <f>'Decode_1M'!$AJ$15</f>
        <v>1605205576.0</v>
      </c>
    </row>
    <row r="42" spans="1:8">
      <c r="A42" s="4" t="s">
        <v>451</v>
      </c>
      <c r="B42" s="33" t="str">
        <f>TEXT(IF(ABS(G42)&gt;=1E12,G42/1E12,IF(ABS(G42)&gt;=1E9,G42/1E9,IF(ABS(G42)&gt;=1E6,G42/1E6,IF(ABS(G42)&gt;=1E3,G42/1E3,G42)))),"#,##0.000")&amp;IF((IF(ABS(G42)&gt;=1E12,"TB",IF(ABS(G42)&gt;=1E9,"GB",IF(ABS(G42)&gt;=1E6,"MB",IF(ABS(G42)&gt;=1E3,"KB","bytes")))))="",""," "&amp;(IF(ABS(G42)&gt;=1E12,"TB",IF(ABS(G42)&gt;=1E9,"GB",IF(ABS(G42)&gt;=1E6,"MB",IF(ABS(G42)&gt;=1E3,"KB","bytes"))))))</f>
        <v>104.891 GB</v>
      </c>
      <c r="C42" s="33" t="str">
        <f>TEXT(IF(ABS(H42)&gt;=1E12,H42/1E12,IF(ABS(H42)&gt;=1E9,H42/1E9,IF(ABS(H42)&gt;=1E6,H42/1E6,IF(ABS(H42)&gt;=1E3,H42/1E3,H42)))),"#,##0.000")&amp;IF((IF(ABS(H42)&gt;=1E12,"TB",IF(ABS(H42)&gt;=1E9,"GB",IF(ABS(H42)&gt;=1E6,"MB",IF(ABS(H42)&gt;=1E3,"KB","bytes")))))="",""," "&amp;(IF(ABS(H42)&gt;=1E12,"TB",IF(ABS(H42)&gt;=1E9,"GB",IF(ABS(H42)&gt;=1E6,"MB",IF(ABS(H42)&gt;=1E3,"KB","bytes"))))))</f>
        <v>414.830 MB</v>
      </c>
      <c r="D42" s="4" t="s">
        <v>505</v>
      </c>
      <c r="G42" s="32">
        <f>'Prefill_8K'!$AR$48</f>
        <v>104890576444.0</v>
      </c>
      <c r="H42" s="32">
        <f>'Decode_1M'!$AR$48</f>
        <v>414830140.0</v>
      </c>
    </row>
    <row r="43" spans="1:8">
      <c r="A43" s="31" t="s">
        <v>452</v>
      </c>
      <c r="B43" s="31" t="str">
        <f>TEXT(IF(ABS(G43)&gt;=1E12,G43/1E12,IF(ABS(G43)&gt;=1E9,G43/1E9,IF(ABS(G43)&gt;=1E6,G43/1E6,IF(ABS(G43)&gt;=1E3,G43/1E3,G43)))),"#,##0.000")&amp;IF((IF(ABS(G43)&gt;=1E12,"TB",IF(ABS(G43)&gt;=1E9,"GB",IF(ABS(G43)&gt;=1E6,"MB",IF(ABS(G43)&gt;=1E3,"KB","bytes")))))="",""," "&amp;(IF(ABS(G43)&gt;=1E12,"TB",IF(ABS(G43)&gt;=1E9,"GB",IF(ABS(G43)&gt;=1E6,"MB",IF(ABS(G43)&gt;=1E3,"KB","bytes"))))))</f>
        <v>369.338 GB</v>
      </c>
      <c r="C43" s="31" t="str">
        <f>TEXT(IF(ABS(H43)&gt;=1E12,H43/1E12,IF(ABS(H43)&gt;=1E9,H43/1E9,IF(ABS(H43)&gt;=1E6,H43/1E6,IF(ABS(H43)&gt;=1E3,H43/1E3,H43)))),"#,##0.000")&amp;IF((IF(ABS(H43)&gt;=1E12,"TB",IF(ABS(H43)&gt;=1E9,"GB",IF(ABS(H43)&gt;=1E6,"MB",IF(ABS(H43)&gt;=1E3,"KB","bytes")))))="",""," "&amp;(IF(ABS(H43)&gt;=1E12,"TB",IF(ABS(H43)&gt;=1E9,"GB",IF(ABS(H43)&gt;=1E6,"MB",IF(ABS(H43)&gt;=1E3,"KB","bytes"))))))</f>
        <v>6.055 GB</v>
      </c>
      <c r="D43" s="4" t="s">
        <v>505</v>
      </c>
      <c r="G43" s="32">
        <f>'Prefill_8K'!$AJ$13</f>
        <v>369337880060.0</v>
      </c>
      <c r="H43" s="32">
        <f>'Decode_1M'!$AJ$13</f>
        <v>6055268244.0</v>
      </c>
    </row>
    <row r="44" spans="1:8">
      <c r="A44" s="4" t="s">
        <v>453</v>
      </c>
      <c r="B44" s="33" t="str">
        <f>TEXT(G44,"#,##0.000")&amp;" GB/s"</f>
        <v>231.532 GB/s</v>
      </c>
      <c r="C44" s="33" t="str">
        <f>TEXT(H44,"#,##0.000")&amp;" GB/s"</f>
        <v>403.523 GB/s</v>
      </c>
      <c r="D44" s="4" t="s">
        <v>506</v>
      </c>
      <c r="G44" s="32">
        <f>'Prefill_8K'!$AJ$14/(PrefillTargetMs/1000)/1E9</f>
        <v>231.531806144</v>
      </c>
      <c r="H44" s="32">
        <f>'Decode_1M'!$AJ$14/(DecodeTargetMs/1000)/1E9</f>
        <v>403.5232528</v>
      </c>
    </row>
    <row r="45" spans="1:8">
      <c r="A45" s="4" t="s">
        <v>455</v>
      </c>
      <c r="B45" s="33" t="str">
        <f>TEXT(G45,"#,##0.000")&amp;" GB/s"</f>
        <v>32.915 GB/s</v>
      </c>
      <c r="C45" s="33" t="str">
        <f>TEXT(H45,"#,##0.000")&amp;" GB/s"</f>
        <v>160.521 GB/s</v>
      </c>
      <c r="D45" s="4" t="s">
        <v>506</v>
      </c>
      <c r="G45" s="32">
        <f>'Prefill_8K'!$AJ$15/(PrefillTargetMs/1000)/1E9</f>
        <v>32.915497472</v>
      </c>
      <c r="H45" s="32">
        <f>'Decode_1M'!$AJ$15/(DecodeTargetMs/1000)/1E9</f>
        <v>160.5205576</v>
      </c>
    </row>
    <row r="46" spans="1:8">
      <c r="A46" s="4" t="s">
        <v>456</v>
      </c>
      <c r="B46" s="33" t="str">
        <f>TEXT(G46,"#,##0.000")&amp;" GB/s"</f>
        <v>104.891 GB/s</v>
      </c>
      <c r="C46" s="33" t="str">
        <f>TEXT(H46,"#,##0.000")&amp;" GB/s"</f>
        <v>41.483 GB/s</v>
      </c>
      <c r="D46" s="4" t="s">
        <v>506</v>
      </c>
      <c r="G46" s="32">
        <f>'Prefill_8K'!$AR$48/(PrefillTargetMs/1000)/1E9</f>
        <v>104.890576444</v>
      </c>
      <c r="H46" s="32">
        <f>'Decode_1M'!$AR$48/(DecodeTargetMs/1000)/1E9</f>
        <v>41.483014</v>
      </c>
    </row>
    <row r="47" spans="1:8">
      <c r="A47" s="4" t="s">
        <v>485</v>
      </c>
      <c r="B47" s="33" t="str">
        <f>TEXT(IF(ABS(G47)&gt;=1E15,G47/1E15,IF(ABS(G47)&gt;=1E12,G47/1E12,IF(ABS(G47)&gt;=1E9,G47/1E9,IF(ABS(G47)&gt;=1E6,G47/1E6,G47)))),"#,##0.000")&amp;IF((IF(ABS(G47)&gt;=1E15,"PFLOPs",IF(ABS(G47)&gt;=1E12,"TFLOPs",IF(ABS(G47)&gt;=1E9,"GFLOPs",IF(ABS(G47)&gt;=1E6,"MFLOPs","flops")))))="",""," "&amp;(IF(ABS(G47)&gt;=1E15,"PFLOPs",IF(ABS(G47)&gt;=1E12,"TFLOPs",IF(ABS(G47)&gt;=1E9,"GFLOPs",IF(ABS(G47)&gt;=1E6,"MFLOPs","flops"))))))</f>
        <v>55.653 TFLOPs</v>
      </c>
      <c r="C47" s="33" t="str">
        <f>TEXT(IF(ABS(H47)&gt;=1E15,H47/1E15,IF(ABS(H47)&gt;=1E12,H47/1E12,IF(ABS(H47)&gt;=1E9,H47/1E9,IF(ABS(H47)&gt;=1E6,H47/1E6,H47)))),"#,##0.000")&amp;IF((IF(ABS(H47)&gt;=1E15,"PFLOPs",IF(ABS(H47)&gt;=1E12,"TFLOPs",IF(ABS(H47)&gt;=1E9,"GFLOPs",IF(ABS(H47)&gt;=1E6,"MFLOPs","flops")))))="",""," "&amp;(IF(ABS(H47)&gt;=1E15,"PFLOPs",IF(ABS(H47)&gt;=1E12,"TFLOPs",IF(ABS(H47)&gt;=1E9,"GFLOPs",IF(ABS(H47)&gt;=1E6,"MFLOPs","flops"))))))</f>
        <v>23.550 GFLOPs</v>
      </c>
      <c r="D47" s="4" t="s">
        <v>507</v>
      </c>
      <c r="G47" s="32">
        <f>'Prefill_8K'!$AI$13</f>
        <v>55652568907776.0</v>
      </c>
      <c r="H47" s="32">
        <f>'Decode_1M'!$AI$13</f>
        <v>23549694126.0</v>
      </c>
    </row>
    <row r="48" spans="1:8">
      <c r="A48" s="4" t="s">
        <v>459</v>
      </c>
      <c r="B48" s="33" t="str">
        <f>TEXT(IF(ABS(G48)&gt;=1E12,G48/1E12,IF(ABS(G48)&gt;=1E9,G48/1E9,IF(ABS(G48)&gt;=1E6,G48/1E6,IF(ABS(G48)&gt;=1E3,G48/1E3,G48)))),"#,##0.000")&amp;IF((IF(ABS(G48)&gt;=1E12,"TB",IF(ABS(G48)&gt;=1E9,"GB",IF(ABS(G48)&gt;=1E6,"MB",IF(ABS(G48)&gt;=1E3,"KB","bytes")))))="",""," "&amp;(IF(ABS(G48)&gt;=1E12,"TB",IF(ABS(G48)&gt;=1E9,"GB",IF(ABS(G48)&gt;=1E6,"MB",IF(ABS(G48)&gt;=1E3,"KB","bytes"))))))</f>
        <v>40.635 GB</v>
      </c>
      <c r="C48" s="33" t="str">
        <f>TEXT(IF(ABS(H48)&gt;=1E12,H48/1E12,IF(ABS(H48)&gt;=1E9,H48/1E9,IF(ABS(H48)&gt;=1E6,H48/1E6,IF(ABS(H48)&gt;=1E3,H48/1E3,H48)))),"#,##0.000")&amp;IF((IF(ABS(H48)&gt;=1E12,"TB",IF(ABS(H48)&gt;=1E9,"GB",IF(ABS(H48)&gt;=1E6,"MB",IF(ABS(H48)&gt;=1E3,"KB","bytes")))))="",""," "&amp;(IF(ABS(H48)&gt;=1E12,"TB",IF(ABS(H48)&gt;=1E9,"GB",IF(ABS(H48)&gt;=1E6,"MB",IF(ABS(H48)&gt;=1E3,"KB","bytes"))))))</f>
        <v>5.865 MB</v>
      </c>
      <c r="D48" s="4" t="s">
        <v>508</v>
      </c>
      <c r="G48" s="32">
        <f>'Prefill_8K'!$AT$48</f>
        <v>40635322112.0</v>
      </c>
      <c r="H48" s="32">
        <f>'Decode_1M'!$AT$48</f>
        <v>5865216.0</v>
      </c>
    </row>
    <row r="49" spans="1:8">
      <c r="A49" s="4" t="s">
        <v>461</v>
      </c>
      <c r="B49" s="33" t="str">
        <f>TEXT(G49,"#,##0.000")&amp;" GB/s"</f>
        <v>40.635 GB/s</v>
      </c>
      <c r="C49" s="33" t="str">
        <f>TEXT(H49,"#,##0.000")&amp;" GB/s"</f>
        <v>0.587 GB/s</v>
      </c>
      <c r="D49" s="4" t="s">
        <v>462</v>
      </c>
      <c r="G49" s="32">
        <f>'Prefill_8K'!$AT$48/(PrefillTargetMs/1000)/1E9</f>
        <v>40.635322112</v>
      </c>
      <c r="H49" s="32">
        <f>'Decode_1M'!$AT$48/(DecodeTargetMs/1000)/1E9</f>
        <v>0.5865216</v>
      </c>
    </row>
    <row r="50" spans="1:8">
      <c r="A50" s="4" t="s">
        <v>463</v>
      </c>
      <c r="B50" s="33" t="str">
        <f>TEXT(IF(ABS(G50)&gt;=1E12,G50/1E12,IF(ABS(G50)&gt;=1E9,G50/1E9,IF(ABS(G50)&gt;=1E6,G50/1E6,IF(ABS(G50)&gt;=1E3,G50/1E3,G50)))),"#,##0.000")&amp;IF((IF(ABS(G50)&gt;=1E12,"T",IF(ABS(G50)&gt;=1E9,"G",IF(ABS(G50)&gt;=1E6,"M",IF(ABS(G50)&gt;=1E3,"K","")))))="",""," "&amp;(IF(ABS(G50)&gt;=1E12,"T",IF(ABS(G50)&gt;=1E9,"G",IF(ABS(G50)&gt;=1E6,"M",IF(ABS(G50)&gt;=1E3,"K",""))))))</f>
        <v>1.140 G</v>
      </c>
      <c r="C50" s="33" t="str">
        <f>TEXT(IF(ABS(H50)&gt;=1E12,H50/1E12,IF(ABS(H50)&gt;=1E9,H50/1E9,IF(ABS(H50)&gt;=1E6,H50/1E6,IF(ABS(H50)&gt;=1E3,H50/1E3,H50)))),"#,##0.000")&amp;IF((IF(ABS(H50)&gt;=1E12,"T",IF(ABS(H50)&gt;=1E9,"G",IF(ABS(H50)&gt;=1E6,"M",IF(ABS(H50)&gt;=1E3,"K","")))))="",""," "&amp;(IF(ABS(H50)&gt;=1E12,"T",IF(ABS(H50)&gt;=1E9,"G",IF(ABS(H50)&gt;=1E6,"M",IF(ABS(H50)&gt;=1E3,"K",""))))))</f>
        <v>1.140 G</v>
      </c>
      <c r="D50" s="4" t="s">
        <v>509</v>
      </c>
      <c r="G50" s="32">
        <f>'Prefill_8K'!$AZ$49</f>
        <v>1139835008.0</v>
      </c>
      <c r="H50" s="32">
        <f>'Prefill_8K'!$AZ$49</f>
        <v>1139835008.0</v>
      </c>
    </row>
    <row r="51" spans="1:8">
      <c r="A51" s="4" t="s">
        <v>465</v>
      </c>
      <c r="B51" s="33" t="str">
        <f>TEXT(IF(ABS(G51)&gt;=1E12,G51/1E12,IF(ABS(G51)&gt;=1E9,G51/1E9,IF(ABS(G51)&gt;=1E6,G51/1E6,IF(ABS(G51)&gt;=1E3,G51/1E3,G51)))),"#,##0.000")&amp;IF((IF(ABS(G51)&gt;=1E12,"T",IF(ABS(G51)&gt;=1E9,"G",IF(ABS(G51)&gt;=1E6,"M",IF(ABS(G51)&gt;=1E3,"K","")))))="",""," "&amp;(IF(ABS(G51)&gt;=1E12,"T",IF(ABS(G51)&gt;=1E9,"G",IF(ABS(G51)&gt;=1E6,"M",IF(ABS(G51)&gt;=1E3,"K",""))))))</f>
        <v>35.758 G</v>
      </c>
      <c r="C51" s="33" t="str">
        <f>TEXT(IF(ABS(H51)&gt;=1E12,H51/1E12,IF(ABS(H51)&gt;=1E9,H51/1E9,IF(ABS(H51)&gt;=1E6,H51/1E6,IF(ABS(H51)&gt;=1E3,H51/1E3,H51)))),"#,##0.000")&amp;IF((IF(ABS(H51)&gt;=1E12,"T",IF(ABS(H51)&gt;=1E9,"G",IF(ABS(H51)&gt;=1E6,"M",IF(ABS(H51)&gt;=1E3,"K","")))))="",""," "&amp;(IF(ABS(H51)&gt;=1E12,"T",IF(ABS(H51)&gt;=1E9,"G",IF(ABS(H51)&gt;=1E6,"M",IF(ABS(H51)&gt;=1E3,"K",""))))))</f>
        <v>35.758 G</v>
      </c>
      <c r="D51" s="4" t="s">
        <v>466</v>
      </c>
      <c r="G51" s="32">
        <f>'Prefill_8K'!$AZ$50</f>
        <v>35757730304.0</v>
      </c>
      <c r="H51" s="32">
        <f>'Prefill_8K'!$AZ$50</f>
        <v>35757730304.0</v>
      </c>
    </row>
    <row r="52" spans="1:8">
      <c r="A52" s="4" t="s">
        <v>467</v>
      </c>
      <c r="B52" s="33" t="str">
        <f>TEXT(IF(ABS(G52)&gt;=1E12,G52/1E12,IF(ABS(G52)&gt;=1E9,G52/1E9,IF(ABS(G52)&gt;=1E6,G52/1E6,IF(ABS(G52)&gt;=1E3,G52/1E3,G52)))),"#,##0.000")&amp;IF((IF(ABS(G52)&gt;=1E12,"T",IF(ABS(G52)&gt;=1E9,"G",IF(ABS(G52)&gt;=1E6,"M",IF(ABS(G52)&gt;=1E3,"K","")))))="",""," "&amp;(IF(ABS(G52)&gt;=1E12,"T",IF(ABS(G52)&gt;=1E9,"G",IF(ABS(G52)&gt;=1E6,"M",IF(ABS(G52)&gt;=1E3,"K",""))))))</f>
        <v>166.690 M</v>
      </c>
      <c r="C52" s="33" t="str">
        <f>TEXT(IF(ABS(H52)&gt;=1E12,H52/1E12,IF(ABS(H52)&gt;=1E9,H52/1E9,IF(ABS(H52)&gt;=1E6,H52/1E6,IF(ABS(H52)&gt;=1E3,H52/1E3,H52)))),"#,##0.000")&amp;IF((IF(ABS(H52)&gt;=1E12,"T",IF(ABS(H52)&gt;=1E9,"G",IF(ABS(H52)&gt;=1E6,"M",IF(ABS(H52)&gt;=1E3,"K","")))))="",""," "&amp;(IF(ABS(H52)&gt;=1E12,"T",IF(ABS(H52)&gt;=1E9,"G",IF(ABS(H52)&gt;=1E6,"M",IF(ABS(H52)&gt;=1E3,"K",""))))))</f>
        <v>166.690 M</v>
      </c>
      <c r="D52" s="4" t="s">
        <v>510</v>
      </c>
      <c r="G52" s="32">
        <f>'Prefill_8K'!$AZ$51</f>
        <v>166689903.0</v>
      </c>
      <c r="H52" s="32">
        <f>'Prefill_8K'!$AZ$51</f>
        <v>166689903.0</v>
      </c>
    </row>
    <row r="53" spans="1:8">
      <c r="A53" s="31" t="s">
        <v>469</v>
      </c>
      <c r="B53" s="31" t="str">
        <f>TEXT(IF(ABS(G53)&gt;=1E12,G53/1E12,IF(ABS(G53)&gt;=1E9,G53/1E9,IF(ABS(G53)&gt;=1E6,G53/1E6,IF(ABS(G53)&gt;=1E3,G53/1E3,G53)))),"#,##0.000")&amp;IF((IF(ABS(G53)&gt;=1E12,"T",IF(ABS(G53)&gt;=1E9,"G",IF(ABS(G53)&gt;=1E6,"M",IF(ABS(G53)&gt;=1E3,"K","")))))="",""," "&amp;(IF(ABS(G53)&gt;=1E12,"T",IF(ABS(G53)&gt;=1E9,"G",IF(ABS(G53)&gt;=1E6,"M",IF(ABS(G53)&gt;=1E3,"K",""))))))</f>
        <v>37.064 G</v>
      </c>
      <c r="C53" s="31" t="str">
        <f>TEXT(IF(ABS(H53)&gt;=1E12,H53/1E12,IF(ABS(H53)&gt;=1E9,H53/1E9,IF(ABS(H53)&gt;=1E6,H53/1E6,IF(ABS(H53)&gt;=1E3,H53/1E3,H53)))),"#,##0.000")&amp;IF((IF(ABS(H53)&gt;=1E12,"T",IF(ABS(H53)&gt;=1E9,"G",IF(ABS(H53)&gt;=1E6,"M",IF(ABS(H53)&gt;=1E3,"K","")))))="",""," "&amp;(IF(ABS(H53)&gt;=1E12,"T",IF(ABS(H53)&gt;=1E9,"G",IF(ABS(H53)&gt;=1E6,"M",IF(ABS(H53)&gt;=1E3,"K",""))))))</f>
        <v>37.064 G</v>
      </c>
      <c r="D53" s="4" t="s">
        <v>511</v>
      </c>
      <c r="G53" s="32">
        <f>'Prefill_8K'!$AZ$52</f>
        <v>37064255215.0</v>
      </c>
      <c r="H53" s="32">
        <f>'Prefill_8K'!$AZ$52</f>
        <v>37064255215.0</v>
      </c>
    </row>
    <row r="54" spans="1:8">
      <c r="A54" s="4" t="s">
        <v>471</v>
      </c>
      <c r="B54" s="33" t="str">
        <f>TEXT(IF(ABS(G54)&gt;=1E12,G54/1E12,IF(ABS(G54)&gt;=1E9,G54/1E9,IF(ABS(G54)&gt;=1E6,G54/1E6,IF(ABS(G54)&gt;=1E3,G54/1E3,G54)))),"#,##0.000")&amp;IF((IF(ABS(G54)&gt;=1E12,"TB",IF(ABS(G54)&gt;=1E9,"GB",IF(ABS(G54)&gt;=1E6,"MB",IF(ABS(G54)&gt;=1E3,"KB","bytes")))))="",""," "&amp;(IF(ABS(G54)&gt;=1E12,"TB",IF(ABS(G54)&gt;=1E9,"GB",IF(ABS(G54)&gt;=1E6,"MB",IF(ABS(G54)&gt;=1E3,"KB","bytes"))))))</f>
        <v>2.238 GB</v>
      </c>
      <c r="C54" s="33" t="str">
        <f>TEXT(IF(ABS(H54)&gt;=1E12,H54/1E12,IF(ABS(H54)&gt;=1E9,H54/1E9,IF(ABS(H54)&gt;=1E6,H54/1E6,IF(ABS(H54)&gt;=1E3,H54/1E3,H54)))),"#,##0.000")&amp;IF((IF(ABS(H54)&gt;=1E12,"TB",IF(ABS(H54)&gt;=1E9,"GB",IF(ABS(H54)&gt;=1E6,"MB",IF(ABS(H54)&gt;=1E3,"KB","bytes")))))="",""," "&amp;(IF(ABS(H54)&gt;=1E12,"TB",IF(ABS(H54)&gt;=1E9,"GB",IF(ABS(H54)&gt;=1E6,"MB",IF(ABS(H54)&gt;=1E3,"KB","bytes"))))))</f>
        <v>2.238 GB</v>
      </c>
      <c r="D54" s="4" t="s">
        <v>512</v>
      </c>
      <c r="G54" s="32">
        <f>'Prefill_8K'!$BB$49</f>
        <v>2237504960</v>
      </c>
      <c r="H54" s="32">
        <f>'Prefill_8K'!$BB$49</f>
        <v>2237504960</v>
      </c>
    </row>
    <row r="55" spans="1:8">
      <c r="A55" s="4" t="s">
        <v>473</v>
      </c>
      <c r="B55" s="33" t="str">
        <f>TEXT(IF(ABS(G55)&gt;=1E12,G55/1E12,IF(ABS(G55)&gt;=1E9,G55/1E9,IF(ABS(G55)&gt;=1E6,G55/1E6,IF(ABS(G55)&gt;=1E3,G55/1E3,G55)))),"#,##0.000")&amp;IF((IF(ABS(G55)&gt;=1E12,"TB",IF(ABS(G55)&gt;=1E9,"GB",IF(ABS(G55)&gt;=1E6,"MB",IF(ABS(G55)&gt;=1E3,"KB","bytes")))))="",""," "&amp;(IF(ABS(G55)&gt;=1E12,"TB",IF(ABS(G55)&gt;=1E9,"GB",IF(ABS(G55)&gt;=1E6,"MB",IF(ABS(G55)&gt;=1E3,"KB","bytes"))))))</f>
        <v>19.578 GB</v>
      </c>
      <c r="C55" s="33" t="str">
        <f>TEXT(IF(ABS(H55)&gt;=1E12,H55/1E12,IF(ABS(H55)&gt;=1E9,H55/1E9,IF(ABS(H55)&gt;=1E6,H55/1E6,IF(ABS(H55)&gt;=1E3,H55/1E3,H55)))),"#,##0.000")&amp;IF((IF(ABS(H55)&gt;=1E12,"TB",IF(ABS(H55)&gt;=1E9,"GB",IF(ABS(H55)&gt;=1E6,"MB",IF(ABS(H55)&gt;=1E3,"KB","bytes")))))="",""," "&amp;(IF(ABS(H55)&gt;=1E12,"TB",IF(ABS(H55)&gt;=1E9,"GB",IF(ABS(H55)&gt;=1E6,"MB",IF(ABS(H55)&gt;=1E3,"KB","bytes"))))))</f>
        <v>19.578 GB</v>
      </c>
      <c r="D55" s="4" t="s">
        <v>513</v>
      </c>
      <c r="G55" s="32">
        <f>'Prefill_8K'!$BB$50</f>
        <v>19577940480.0</v>
      </c>
      <c r="H55" s="32">
        <f>'Prefill_8K'!$BB$50</f>
        <v>19577940480.0</v>
      </c>
    </row>
    <row r="56" spans="1:8">
      <c r="A56" s="4" t="s">
        <v>475</v>
      </c>
      <c r="B56" s="33" t="str">
        <f>TEXT(IF(ABS(G56)&gt;=1E12,G56/1E12,IF(ABS(G56)&gt;=1E9,G56/1E9,IF(ABS(G56)&gt;=1E6,G56/1E6,IF(ABS(G56)&gt;=1E3,G56/1E3,G56)))),"#,##0.000")&amp;IF((IF(ABS(G56)&gt;=1E12,"TB",IF(ABS(G56)&gt;=1E9,"GB",IF(ABS(G56)&gt;=1E6,"MB",IF(ABS(G56)&gt;=1E3,"KB","bytes")))))="",""," "&amp;(IF(ABS(G56)&gt;=1E12,"TB",IF(ABS(G56)&gt;=1E9,"GB",IF(ABS(G56)&gt;=1E6,"MB",IF(ABS(G56)&gt;=1E3,"KB","bytes"))))))</f>
        <v>534.377 MB</v>
      </c>
      <c r="C56" s="33" t="str">
        <f>TEXT(IF(ABS(H56)&gt;=1E12,H56/1E12,IF(ABS(H56)&gt;=1E9,H56/1E9,IF(ABS(H56)&gt;=1E6,H56/1E6,IF(ABS(H56)&gt;=1E3,H56/1E3,H56)))),"#,##0.000")&amp;IF((IF(ABS(H56)&gt;=1E12,"TB",IF(ABS(H56)&gt;=1E9,"GB",IF(ABS(H56)&gt;=1E6,"MB",IF(ABS(H56)&gt;=1E3,"KB","bytes")))))="",""," "&amp;(IF(ABS(H56)&gt;=1E12,"TB",IF(ABS(H56)&gt;=1E9,"GB",IF(ABS(H56)&gt;=1E6,"MB",IF(ABS(H56)&gt;=1E3,"KB","bytes"))))))</f>
        <v>534.377 MB</v>
      </c>
      <c r="D56" s="4" t="s">
        <v>510</v>
      </c>
      <c r="G56" s="32">
        <f>'Prefill_8K'!$BB$51</f>
        <v>534376892.0</v>
      </c>
      <c r="H56" s="32">
        <f>'Prefill_8K'!$BB$51</f>
        <v>534376892.0</v>
      </c>
    </row>
    <row r="57" spans="1:8">
      <c r="A57" s="31" t="s">
        <v>476</v>
      </c>
      <c r="B57" s="31" t="str">
        <f>TEXT(IF(ABS(G57)&gt;=1E12,G57/1E12,IF(ABS(G57)&gt;=1E9,G57/1E9,IF(ABS(G57)&gt;=1E6,G57/1E6,IF(ABS(G57)&gt;=1E3,G57/1E3,G57)))),"#,##0.000")&amp;IF((IF(ABS(G57)&gt;=1E12,"TB",IF(ABS(G57)&gt;=1E9,"GB",IF(ABS(G57)&gt;=1E6,"MB",IF(ABS(G57)&gt;=1E3,"KB","bytes")))))="",""," "&amp;(IF(ABS(G57)&gt;=1E12,"TB",IF(ABS(G57)&gt;=1E9,"GB",IF(ABS(G57)&gt;=1E6,"MB",IF(ABS(G57)&gt;=1E3,"KB","bytes"))))))</f>
        <v>22.350 GB</v>
      </c>
      <c r="C57" s="31" t="str">
        <f>TEXT(IF(ABS(H57)&gt;=1E12,H57/1E12,IF(ABS(H57)&gt;=1E9,H57/1E9,IF(ABS(H57)&gt;=1E6,H57/1E6,IF(ABS(H57)&gt;=1E3,H57/1E3,H57)))),"#,##0.000")&amp;IF((IF(ABS(H57)&gt;=1E12,"TB",IF(ABS(H57)&gt;=1E9,"GB",IF(ABS(H57)&gt;=1E6,"MB",IF(ABS(H57)&gt;=1E3,"KB","bytes")))))="",""," "&amp;(IF(ABS(H57)&gt;=1E12,"TB",IF(ABS(H57)&gt;=1E9,"GB",IF(ABS(H57)&gt;=1E6,"MB",IF(ABS(H57)&gt;=1E3,"KB","bytes"))))))</f>
        <v>22.350 GB</v>
      </c>
      <c r="D57" s="4" t="s">
        <v>514</v>
      </c>
      <c r="G57" s="32">
        <f>'Prefill_8K'!$BB$52</f>
        <v>22349822332.0</v>
      </c>
      <c r="H57" s="32">
        <f>'Prefill_8K'!$BB$52</f>
        <v>22349822332.0</v>
      </c>
    </row>
    <row r="58" spans="1:8">
      <c r="A58" s="4" t="s">
        <v>478</v>
      </c>
      <c r="B58" s="33" t="str">
        <f>TEXT(IF(ABS(G58)&gt;=1E12,G58/1E12,IF(ABS(G58)&gt;=1E9,G58/1E9,IF(ABS(G58)&gt;=1E6,G58/1E6,IF(ABS(G58)&gt;=1E3,G58/1E3,G58)))),"#,##0.000")&amp;IF((IF(ABS(G58)&gt;=1E12,"TB",IF(ABS(G58)&gt;=1E9,"GB",IF(ABS(G58)&gt;=1E6,"MB",IF(ABS(G58)&gt;=1E3,"KB","bytes")))))="",""," "&amp;(IF(ABS(G58)&gt;=1E12,"TB",IF(ABS(G58)&gt;=1E9,"GB",IF(ABS(G58)&gt;=1E6,"MB",IF(ABS(G58)&gt;=1E3,"KB","bytes"))))))</f>
        <v>50.987 MB</v>
      </c>
      <c r="C58" s="33" t="str">
        <f>TEXT(IF(ABS(H58)&gt;=1E12,H58/1E12,IF(ABS(H58)&gt;=1E9,H58/1E9,IF(ABS(H58)&gt;=1E6,H58/1E6,IF(ABS(H58)&gt;=1E3,H58/1E3,H58)))),"#,##0.000")&amp;IF((IF(ABS(H58)&gt;=1E12,"TB",IF(ABS(H58)&gt;=1E9,"GB",IF(ABS(H58)&gt;=1E6,"MB",IF(ABS(H58)&gt;=1E3,"KB","bytes")))))="",""," "&amp;(IF(ABS(H58)&gt;=1E12,"TB",IF(ABS(H58)&gt;=1E9,"GB",IF(ABS(H58)&gt;=1E6,"MB",IF(ABS(H58)&gt;=1E3,"KB","bytes"))))))</f>
        <v>5.811 GB</v>
      </c>
      <c r="D58" s="4" t="s">
        <v>515</v>
      </c>
      <c r="G58" s="32">
        <f>'Prefill_8K'!$X$35</f>
        <v>50987008</v>
      </c>
      <c r="H58" s="32">
        <f>'Decode_1M'!$X$35</f>
        <v>5810552832</v>
      </c>
    </row>
    <row r="59" spans="1:8">
      <c r="A59" s="4" t="s">
        <v>480</v>
      </c>
      <c r="B59" s="33" t="str">
        <f>TEXT(IF(ABS(G59)&gt;=1E12,G59/1E12,IF(ABS(G59)&gt;=1E9,G59/1E9,IF(ABS(G59)&gt;=1E6,G59/1E6,IF(ABS(G59)&gt;=1E3,G59/1E3,G59)))),"#,##0.000")&amp;IF((IF(ABS(G59)&gt;=1E12,"TB",IF(ABS(G59)&gt;=1E9,"GB",IF(ABS(G59)&gt;=1E6,"MB",IF(ABS(G59)&gt;=1E3,"KB","bytes")))))="",""," "&amp;(IF(ABS(G59)&gt;=1E12,"TB",IF(ABS(G59)&gt;=1E9,"GB",IF(ABS(G59)&gt;=1E6,"MB",IF(ABS(G59)&gt;=1E3,"KB","bytes"))))))</f>
        <v>11.010 MB</v>
      </c>
      <c r="C59" s="33" t="str">
        <f>TEXT(IF(ABS(H59)&gt;=1E12,H59/1E12,IF(ABS(H59)&gt;=1E9,H59/1E9,IF(ABS(H59)&gt;=1E6,H59/1E6,IF(ABS(H59)&gt;=1E3,H59/1E3,H59)))),"#,##0.000")&amp;IF((IF(ABS(H59)&gt;=1E12,"TB",IF(ABS(H59)&gt;=1E9,"GB",IF(ABS(H59)&gt;=1E6,"MB",IF(ABS(H59)&gt;=1E3,"KB","bytes")))))="",""," "&amp;(IF(ABS(H59)&gt;=1E12,"TB",IF(ABS(H59)&gt;=1E9,"GB",IF(ABS(H59)&gt;=1E6,"MB",IF(ABS(H59)&gt;=1E3,"KB","bytes"))))))</f>
        <v>1.409 GB</v>
      </c>
      <c r="D59" s="4" t="s">
        <v>515</v>
      </c>
      <c r="G59" s="32">
        <f>'Prefill_8K'!$X$36</f>
        <v>11010048</v>
      </c>
      <c r="H59" s="32">
        <f>'Decode_1M'!$X$36</f>
        <v>1409286144</v>
      </c>
    </row>
    <row r="60" spans="1:8">
      <c r="A60" s="4" t="s">
        <v>481</v>
      </c>
      <c r="B60" s="33" t="str">
        <f>TEXT(IF(ABS(G60)&gt;=1E12,G60/1E12,IF(ABS(G60)&gt;=1E9,G60/1E9,IF(ABS(G60)&gt;=1E6,G60/1E6,IF(ABS(G60)&gt;=1E3,G60/1E3,G60)))),"#,##0.000")&amp;IF((IF(ABS(G60)&gt;=1E12,"TB",IF(ABS(G60)&gt;=1E9,"GB",IF(ABS(G60)&gt;=1E6,"MB",IF(ABS(G60)&gt;=1E3,"KB","bytes")))))="",""," "&amp;(IF(ABS(G60)&gt;=1E12,"TB",IF(ABS(G60)&gt;=1E9,"GB",IF(ABS(G60)&gt;=1E6,"MB",IF(ABS(G60)&gt;=1E3,"KB","bytes"))))))</f>
        <v>12.206 MB</v>
      </c>
      <c r="C60" s="33" t="str">
        <f>TEXT(IF(ABS(H60)&gt;=1E12,H60/1E12,IF(ABS(H60)&gt;=1E9,H60/1E9,IF(ABS(H60)&gt;=1E6,H60/1E6,IF(ABS(H60)&gt;=1E3,H60/1E3,H60)))),"#,##0.000")&amp;IF((IF(ABS(H60)&gt;=1E12,"TB",IF(ABS(H60)&gt;=1E9,"GB",IF(ABS(H60)&gt;=1E6,"MB",IF(ABS(H60)&gt;=1E3,"KB","bytes")))))="",""," "&amp;(IF(ABS(H60)&gt;=1E12,"TB",IF(ABS(H60)&gt;=1E9,"GB",IF(ABS(H60)&gt;=1E6,"MB",IF(ABS(H60)&gt;=1E3,"KB","bytes"))))))</f>
        <v>12.206 MB</v>
      </c>
      <c r="D60" s="4" t="s">
        <v>515</v>
      </c>
      <c r="G60" s="32">
        <f>'Prefill_8K'!$X$37</f>
        <v>12206080</v>
      </c>
      <c r="H60" s="32">
        <f>'Decode_1M'!$X$37</f>
        <v>12206080</v>
      </c>
    </row>
    <row r="61" spans="1:8">
      <c r="A61" s="4" t="s">
        <v>482</v>
      </c>
      <c r="B61" s="33" t="str">
        <f>TEXT(IF(ABS(G61)&gt;=1E12,G61/1E12,IF(ABS(G61)&gt;=1E9,G61/1E9,IF(ABS(G61)&gt;=1E6,G61/1E6,IF(ABS(G61)&gt;=1E3,G61/1E3,G61)))),"#,##0.000")&amp;IF((IF(ABS(G61)&gt;=1E12,"TB",IF(ABS(G61)&gt;=1E9,"GB",IF(ABS(G61)&gt;=1E6,"MB",IF(ABS(G61)&gt;=1E3,"KB","bytes")))))="",""," "&amp;(IF(ABS(G61)&gt;=1E12,"TB",IF(ABS(G61)&gt;=1E9,"GB",IF(ABS(G61)&gt;=1E6,"MB",IF(ABS(G61)&gt;=1E3,"KB","bytes"))))))</f>
        <v>7.232 GB</v>
      </c>
      <c r="C61" s="33" t="str">
        <f>TEXT(IF(ABS(H61)&gt;=1E12,H61/1E12,IF(ABS(H61)&gt;=1E9,H61/1E9,IF(ABS(H61)&gt;=1E6,H61/1E6,IF(ABS(H61)&gt;=1E3,H61/1E3,H61)))),"#,##0.000")&amp;IF((IF(ABS(H61)&gt;=1E12,"TB",IF(ABS(H61)&gt;=1E9,"GB",IF(ABS(H61)&gt;=1E6,"MB",IF(ABS(H61)&gt;=1E3,"KB","bytes")))))="",""," "&amp;(IF(ABS(H61)&gt;=1E12,"TB",IF(ABS(H61)&gt;=1E9,"GB",IF(ABS(H61)&gt;=1E6,"MB",IF(ABS(H61)&gt;=1E3,"KB","bytes"))))))</f>
        <v>7.232 GB</v>
      </c>
      <c r="D61" s="4" t="s">
        <v>515</v>
      </c>
      <c r="G61" s="32">
        <f>'Prefill_8K'!$X$38</f>
        <v>7232045056</v>
      </c>
      <c r="H61" s="32">
        <f>'Decode_1M'!$X$38</f>
        <v>7232045056</v>
      </c>
    </row>
    <row r="62" spans="1:8">
      <c r="A62" s="31" t="s">
        <v>483</v>
      </c>
      <c r="B62" s="31" t="str">
        <f>TEXT(IF(ABS(G62)&gt;=1E12,G62/1E12,IF(ABS(G62)&gt;=1E9,G62/1E9,IF(ABS(G62)&gt;=1E6,G62/1E6,IF(ABS(G62)&gt;=1E3,G62/1E3,G62)))),"#,##0.000")&amp;IF((IF(ABS(G62)&gt;=1E12,"TB",IF(ABS(G62)&gt;=1E9,"GB",IF(ABS(G62)&gt;=1E6,"MB",IF(ABS(G62)&gt;=1E3,"KB","bytes")))))="",""," "&amp;(IF(ABS(G62)&gt;=1E12,"TB",IF(ABS(G62)&gt;=1E9,"GB",IF(ABS(G62)&gt;=1E6,"MB",IF(ABS(G62)&gt;=1E3,"KB","bytes"))))))</f>
        <v>29.582 GB</v>
      </c>
      <c r="C62" s="31" t="str">
        <f>TEXT(IF(ABS(H62)&gt;=1E12,H62/1E12,IF(ABS(H62)&gt;=1E9,H62/1E9,IF(ABS(H62)&gt;=1E6,H62/1E6,IF(ABS(H62)&gt;=1E3,H62/1E3,H62)))),"#,##0.000")&amp;IF((IF(ABS(H62)&gt;=1E12,"TB",IF(ABS(H62)&gt;=1E9,"GB",IF(ABS(H62)&gt;=1E6,"MB",IF(ABS(H62)&gt;=1E3,"KB","bytes")))))="",""," "&amp;(IF(ABS(H62)&gt;=1E12,"TB",IF(ABS(H62)&gt;=1E9,"GB",IF(ABS(H62)&gt;=1E6,"MB",IF(ABS(H62)&gt;=1E3,"KB","bytes"))))))</f>
        <v>29.582 GB</v>
      </c>
      <c r="D62" s="4" t="s">
        <v>516</v>
      </c>
      <c r="G62" s="32">
        <f>'Prefill_8K'!$BB$52+'Prefill_8K'!$X$38</f>
        <v>29581867388.0</v>
      </c>
      <c r="H62" s="32">
        <f>'Prefill_8K'!$BB$52+'Decode_1M'!$X$38</f>
        <v>29581867388.0</v>
      </c>
    </row>
  </sheetData>
  <mergeCells count="2">
    <mergeCell ref="A4:D4"/>
    <mergeCell ref="A34:D3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67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2" width="12.7109375" customWidth="1"/>
    <col min="3" max="4" width="20.7109375" customWidth="1"/>
    <col min="5" max="6" width="34.7109375" customWidth="1"/>
  </cols>
  <sheetData>
    <row r="1" spans="1:6">
      <c r="A1" s="1" t="s">
        <v>518</v>
      </c>
    </row>
    <row r="2" spans="1:6">
      <c r="A2" s="2" t="s">
        <v>519</v>
      </c>
    </row>
    <row r="3" spans="1:6">
      <c r="A3" s="3" t="s">
        <v>421</v>
      </c>
      <c r="B3" s="3" t="s">
        <v>520</v>
      </c>
      <c r="C3" s="3" t="s">
        <v>521</v>
      </c>
      <c r="D3" s="3" t="s">
        <v>423</v>
      </c>
      <c r="E3" s="3" t="s">
        <v>522</v>
      </c>
      <c r="F3" s="3" t="s">
        <v>523</v>
      </c>
    </row>
    <row r="4" spans="1:6">
      <c r="A4" s="34">
        <v>0</v>
      </c>
      <c r="B4" s="35">
        <v>1</v>
      </c>
      <c r="C4" s="35" t="s">
        <v>524</v>
      </c>
      <c r="D4" s="36">
        <f>IF(C4="window",0,IF(C4="short",ShortRatio,LongRatio))</f>
        <v>0</v>
      </c>
      <c r="E4" s="4" t="str">
        <f>IF(B4=0,"inactive",IF(C4="window","raw sliding window",IF(C4="short","compressed KV + Indexer Top-K","deterministic compressed KV")))</f>
        <v>raw sliding window</v>
      </c>
      <c r="F4" s="4" t="str">
        <f>IF(B4=0,"inactive",IF(A4&lt;HashLayers,"hash","score"))</f>
        <v>hash</v>
      </c>
    </row>
    <row r="5" spans="1:6">
      <c r="A5" s="34">
        <v>1</v>
      </c>
      <c r="B5" s="35">
        <v>1</v>
      </c>
      <c r="C5" s="35" t="s">
        <v>524</v>
      </c>
      <c r="D5" s="36">
        <f>IF(C5="window",0,IF(C5="short",ShortRatio,LongRatio))</f>
        <v>0</v>
      </c>
      <c r="E5" s="4" t="str">
        <f>IF(B5=0,"inactive",IF(C5="window","raw sliding window",IF(C5="short","compressed KV + Indexer Top-K","deterministic compressed KV")))</f>
        <v>raw sliding window</v>
      </c>
      <c r="F5" s="4" t="str">
        <f>IF(B5=0,"inactive",IF(A5&lt;HashLayers,"hash","score"))</f>
        <v>hash</v>
      </c>
    </row>
    <row r="6" spans="1:6">
      <c r="A6" s="34">
        <v>2</v>
      </c>
      <c r="B6" s="35">
        <v>1</v>
      </c>
      <c r="C6" s="35" t="s">
        <v>525</v>
      </c>
      <c r="D6" s="36">
        <f>IF(C6="window",0,IF(C6="short",ShortRatio,LongRatio))</f>
        <v>4</v>
      </c>
      <c r="E6" s="4" t="str">
        <f>IF(B6=0,"inactive",IF(C6="window","raw sliding window",IF(C6="short","compressed KV + Indexer Top-K","deterministic compressed KV")))</f>
        <v>compressed KV + Indexer Top-K</v>
      </c>
      <c r="F6" s="4" t="str">
        <f>IF(B6=0,"inactive",IF(A6&lt;HashLayers,"hash","score"))</f>
        <v>hash</v>
      </c>
    </row>
    <row r="7" spans="1:6">
      <c r="A7" s="34">
        <v>3</v>
      </c>
      <c r="B7" s="35">
        <v>1</v>
      </c>
      <c r="C7" s="35" t="s">
        <v>526</v>
      </c>
      <c r="D7" s="36">
        <f>IF(C7="window",0,IF(C7="short",ShortRatio,LongRatio))</f>
        <v>128</v>
      </c>
      <c r="E7" s="4" t="str">
        <f>IF(B7=0,"inactive",IF(C7="window","raw sliding window",IF(C7="short","compressed KV + Indexer Top-K","deterministic compressed KV")))</f>
        <v>deterministic compressed KV</v>
      </c>
      <c r="F7" s="4" t="str">
        <f>IF(B7=0,"inactive",IF(A7&lt;HashLayers,"hash","score"))</f>
        <v>score</v>
      </c>
    </row>
    <row r="8" spans="1:6">
      <c r="A8" s="34">
        <v>4</v>
      </c>
      <c r="B8" s="35">
        <v>1</v>
      </c>
      <c r="C8" s="35" t="s">
        <v>525</v>
      </c>
      <c r="D8" s="36">
        <f>IF(C8="window",0,IF(C8="short",ShortRatio,LongRatio))</f>
        <v>4</v>
      </c>
      <c r="E8" s="4" t="str">
        <f>IF(B8=0,"inactive",IF(C8="window","raw sliding window",IF(C8="short","compressed KV + Indexer Top-K","deterministic compressed KV")))</f>
        <v>compressed KV + Indexer Top-K</v>
      </c>
      <c r="F8" s="4" t="str">
        <f>IF(B8=0,"inactive",IF(A8&lt;HashLayers,"hash","score"))</f>
        <v>score</v>
      </c>
    </row>
    <row r="9" spans="1:6">
      <c r="A9" s="34">
        <v>5</v>
      </c>
      <c r="B9" s="35">
        <v>1</v>
      </c>
      <c r="C9" s="35" t="s">
        <v>526</v>
      </c>
      <c r="D9" s="36">
        <f>IF(C9="window",0,IF(C9="short",ShortRatio,LongRatio))</f>
        <v>128</v>
      </c>
      <c r="E9" s="4" t="str">
        <f>IF(B9=0,"inactive",IF(C9="window","raw sliding window",IF(C9="short","compressed KV + Indexer Top-K","deterministic compressed KV")))</f>
        <v>deterministic compressed KV</v>
      </c>
      <c r="F9" s="4" t="str">
        <f>IF(B9=0,"inactive",IF(A9&lt;HashLayers,"hash","score"))</f>
        <v>score</v>
      </c>
    </row>
    <row r="10" spans="1:6">
      <c r="A10" s="34">
        <v>6</v>
      </c>
      <c r="B10" s="35">
        <v>1</v>
      </c>
      <c r="C10" s="35" t="s">
        <v>525</v>
      </c>
      <c r="D10" s="36">
        <f>IF(C10="window",0,IF(C10="short",ShortRatio,LongRatio))</f>
        <v>4</v>
      </c>
      <c r="E10" s="4" t="str">
        <f>IF(B10=0,"inactive",IF(C10="window","raw sliding window",IF(C10="short","compressed KV + Indexer Top-K","deterministic compressed KV")))</f>
        <v>compressed KV + Indexer Top-K</v>
      </c>
      <c r="F10" s="4" t="str">
        <f>IF(B10=0,"inactive",IF(A10&lt;HashLayers,"hash","score"))</f>
        <v>score</v>
      </c>
    </row>
    <row r="11" spans="1:6">
      <c r="A11" s="34">
        <v>7</v>
      </c>
      <c r="B11" s="35">
        <v>1</v>
      </c>
      <c r="C11" s="35" t="s">
        <v>526</v>
      </c>
      <c r="D11" s="36">
        <f>IF(C11="window",0,IF(C11="short",ShortRatio,LongRatio))</f>
        <v>128</v>
      </c>
      <c r="E11" s="4" t="str">
        <f>IF(B11=0,"inactive",IF(C11="window","raw sliding window",IF(C11="short","compressed KV + Indexer Top-K","deterministic compressed KV")))</f>
        <v>deterministic compressed KV</v>
      </c>
      <c r="F11" s="4" t="str">
        <f>IF(B11=0,"inactive",IF(A11&lt;HashLayers,"hash","score"))</f>
        <v>score</v>
      </c>
    </row>
    <row r="12" spans="1:6">
      <c r="A12" s="34">
        <v>8</v>
      </c>
      <c r="B12" s="35">
        <v>1</v>
      </c>
      <c r="C12" s="35" t="s">
        <v>525</v>
      </c>
      <c r="D12" s="36">
        <f>IF(C12="window",0,IF(C12="short",ShortRatio,LongRatio))</f>
        <v>4</v>
      </c>
      <c r="E12" s="4" t="str">
        <f>IF(B12=0,"inactive",IF(C12="window","raw sliding window",IF(C12="short","compressed KV + Indexer Top-K","deterministic compressed KV")))</f>
        <v>compressed KV + Indexer Top-K</v>
      </c>
      <c r="F12" s="4" t="str">
        <f>IF(B12=0,"inactive",IF(A12&lt;HashLayers,"hash","score"))</f>
        <v>score</v>
      </c>
    </row>
    <row r="13" spans="1:6">
      <c r="A13" s="34">
        <v>9</v>
      </c>
      <c r="B13" s="35">
        <v>1</v>
      </c>
      <c r="C13" s="35" t="s">
        <v>526</v>
      </c>
      <c r="D13" s="36">
        <f>IF(C13="window",0,IF(C13="short",ShortRatio,LongRatio))</f>
        <v>128</v>
      </c>
      <c r="E13" s="4" t="str">
        <f>IF(B13=0,"inactive",IF(C13="window","raw sliding window",IF(C13="short","compressed KV + Indexer Top-K","deterministic compressed KV")))</f>
        <v>deterministic compressed KV</v>
      </c>
      <c r="F13" s="4" t="str">
        <f>IF(B13=0,"inactive",IF(A13&lt;HashLayers,"hash","score"))</f>
        <v>score</v>
      </c>
    </row>
    <row r="14" spans="1:6">
      <c r="A14" s="34">
        <v>10</v>
      </c>
      <c r="B14" s="35">
        <v>1</v>
      </c>
      <c r="C14" s="35" t="s">
        <v>525</v>
      </c>
      <c r="D14" s="36">
        <f>IF(C14="window",0,IF(C14="short",ShortRatio,LongRatio))</f>
        <v>4</v>
      </c>
      <c r="E14" s="4" t="str">
        <f>IF(B14=0,"inactive",IF(C14="window","raw sliding window",IF(C14="short","compressed KV + Indexer Top-K","deterministic compressed KV")))</f>
        <v>compressed KV + Indexer Top-K</v>
      </c>
      <c r="F14" s="4" t="str">
        <f>IF(B14=0,"inactive",IF(A14&lt;HashLayers,"hash","score"))</f>
        <v>score</v>
      </c>
    </row>
    <row r="15" spans="1:6">
      <c r="A15" s="34">
        <v>11</v>
      </c>
      <c r="B15" s="35">
        <v>1</v>
      </c>
      <c r="C15" s="35" t="s">
        <v>526</v>
      </c>
      <c r="D15" s="36">
        <f>IF(C15="window",0,IF(C15="short",ShortRatio,LongRatio))</f>
        <v>128</v>
      </c>
      <c r="E15" s="4" t="str">
        <f>IF(B15=0,"inactive",IF(C15="window","raw sliding window",IF(C15="short","compressed KV + Indexer Top-K","deterministic compressed KV")))</f>
        <v>deterministic compressed KV</v>
      </c>
      <c r="F15" s="4" t="str">
        <f>IF(B15=0,"inactive",IF(A15&lt;HashLayers,"hash","score"))</f>
        <v>score</v>
      </c>
    </row>
    <row r="16" spans="1:6">
      <c r="A16" s="34">
        <v>12</v>
      </c>
      <c r="B16" s="35">
        <v>1</v>
      </c>
      <c r="C16" s="35" t="s">
        <v>525</v>
      </c>
      <c r="D16" s="36">
        <f>IF(C16="window",0,IF(C16="short",ShortRatio,LongRatio))</f>
        <v>4</v>
      </c>
      <c r="E16" s="4" t="str">
        <f>IF(B16=0,"inactive",IF(C16="window","raw sliding window",IF(C16="short","compressed KV + Indexer Top-K","deterministic compressed KV")))</f>
        <v>compressed KV + Indexer Top-K</v>
      </c>
      <c r="F16" s="4" t="str">
        <f>IF(B16=0,"inactive",IF(A16&lt;HashLayers,"hash","score"))</f>
        <v>score</v>
      </c>
    </row>
    <row r="17" spans="1:6">
      <c r="A17" s="34">
        <v>13</v>
      </c>
      <c r="B17" s="35">
        <v>1</v>
      </c>
      <c r="C17" s="35" t="s">
        <v>526</v>
      </c>
      <c r="D17" s="36">
        <f>IF(C17="window",0,IF(C17="short",ShortRatio,LongRatio))</f>
        <v>128</v>
      </c>
      <c r="E17" s="4" t="str">
        <f>IF(B17=0,"inactive",IF(C17="window","raw sliding window",IF(C17="short","compressed KV + Indexer Top-K","deterministic compressed KV")))</f>
        <v>deterministic compressed KV</v>
      </c>
      <c r="F17" s="4" t="str">
        <f>IF(B17=0,"inactive",IF(A17&lt;HashLayers,"hash","score"))</f>
        <v>score</v>
      </c>
    </row>
    <row r="18" spans="1:6">
      <c r="A18" s="34">
        <v>14</v>
      </c>
      <c r="B18" s="35">
        <v>1</v>
      </c>
      <c r="C18" s="35" t="s">
        <v>525</v>
      </c>
      <c r="D18" s="36">
        <f>IF(C18="window",0,IF(C18="short",ShortRatio,LongRatio))</f>
        <v>4</v>
      </c>
      <c r="E18" s="4" t="str">
        <f>IF(B18=0,"inactive",IF(C18="window","raw sliding window",IF(C18="short","compressed KV + Indexer Top-K","deterministic compressed KV")))</f>
        <v>compressed KV + Indexer Top-K</v>
      </c>
      <c r="F18" s="4" t="str">
        <f>IF(B18=0,"inactive",IF(A18&lt;HashLayers,"hash","score"))</f>
        <v>score</v>
      </c>
    </row>
    <row r="19" spans="1:6">
      <c r="A19" s="34">
        <v>15</v>
      </c>
      <c r="B19" s="35">
        <v>1</v>
      </c>
      <c r="C19" s="35" t="s">
        <v>526</v>
      </c>
      <c r="D19" s="36">
        <f>IF(C19="window",0,IF(C19="short",ShortRatio,LongRatio))</f>
        <v>128</v>
      </c>
      <c r="E19" s="4" t="str">
        <f>IF(B19=0,"inactive",IF(C19="window","raw sliding window",IF(C19="short","compressed KV + Indexer Top-K","deterministic compressed KV")))</f>
        <v>deterministic compressed KV</v>
      </c>
      <c r="F19" s="4" t="str">
        <f>IF(B19=0,"inactive",IF(A19&lt;HashLayers,"hash","score"))</f>
        <v>score</v>
      </c>
    </row>
    <row r="20" spans="1:6">
      <c r="A20" s="34">
        <v>16</v>
      </c>
      <c r="B20" s="35">
        <v>1</v>
      </c>
      <c r="C20" s="35" t="s">
        <v>525</v>
      </c>
      <c r="D20" s="36">
        <f>IF(C20="window",0,IF(C20="short",ShortRatio,LongRatio))</f>
        <v>4</v>
      </c>
      <c r="E20" s="4" t="str">
        <f>IF(B20=0,"inactive",IF(C20="window","raw sliding window",IF(C20="short","compressed KV + Indexer Top-K","deterministic compressed KV")))</f>
        <v>compressed KV + Indexer Top-K</v>
      </c>
      <c r="F20" s="4" t="str">
        <f>IF(B20=0,"inactive",IF(A20&lt;HashLayers,"hash","score"))</f>
        <v>score</v>
      </c>
    </row>
    <row r="21" spans="1:6">
      <c r="A21" s="34">
        <v>17</v>
      </c>
      <c r="B21" s="35">
        <v>1</v>
      </c>
      <c r="C21" s="35" t="s">
        <v>526</v>
      </c>
      <c r="D21" s="36">
        <f>IF(C21="window",0,IF(C21="short",ShortRatio,LongRatio))</f>
        <v>128</v>
      </c>
      <c r="E21" s="4" t="str">
        <f>IF(B21=0,"inactive",IF(C21="window","raw sliding window",IF(C21="short","compressed KV + Indexer Top-K","deterministic compressed KV")))</f>
        <v>deterministic compressed KV</v>
      </c>
      <c r="F21" s="4" t="str">
        <f>IF(B21=0,"inactive",IF(A21&lt;HashLayers,"hash","score"))</f>
        <v>score</v>
      </c>
    </row>
    <row r="22" spans="1:6">
      <c r="A22" s="34">
        <v>18</v>
      </c>
      <c r="B22" s="35">
        <v>1</v>
      </c>
      <c r="C22" s="35" t="s">
        <v>525</v>
      </c>
      <c r="D22" s="36">
        <f>IF(C22="window",0,IF(C22="short",ShortRatio,LongRatio))</f>
        <v>4</v>
      </c>
      <c r="E22" s="4" t="str">
        <f>IF(B22=0,"inactive",IF(C22="window","raw sliding window",IF(C22="short","compressed KV + Indexer Top-K","deterministic compressed KV")))</f>
        <v>compressed KV + Indexer Top-K</v>
      </c>
      <c r="F22" s="4" t="str">
        <f>IF(B22=0,"inactive",IF(A22&lt;HashLayers,"hash","score"))</f>
        <v>score</v>
      </c>
    </row>
    <row r="23" spans="1:6">
      <c r="A23" s="34">
        <v>19</v>
      </c>
      <c r="B23" s="35">
        <v>1</v>
      </c>
      <c r="C23" s="35" t="s">
        <v>526</v>
      </c>
      <c r="D23" s="36">
        <f>IF(C23="window",0,IF(C23="short",ShortRatio,LongRatio))</f>
        <v>128</v>
      </c>
      <c r="E23" s="4" t="str">
        <f>IF(B23=0,"inactive",IF(C23="window","raw sliding window",IF(C23="short","compressed KV + Indexer Top-K","deterministic compressed KV")))</f>
        <v>deterministic compressed KV</v>
      </c>
      <c r="F23" s="4" t="str">
        <f>IF(B23=0,"inactive",IF(A23&lt;HashLayers,"hash","score"))</f>
        <v>score</v>
      </c>
    </row>
    <row r="24" spans="1:6">
      <c r="A24" s="34">
        <v>20</v>
      </c>
      <c r="B24" s="35">
        <v>1</v>
      </c>
      <c r="C24" s="35" t="s">
        <v>525</v>
      </c>
      <c r="D24" s="36">
        <f>IF(C24="window",0,IF(C24="short",ShortRatio,LongRatio))</f>
        <v>4</v>
      </c>
      <c r="E24" s="4" t="str">
        <f>IF(B24=0,"inactive",IF(C24="window","raw sliding window",IF(C24="short","compressed KV + Indexer Top-K","deterministic compressed KV")))</f>
        <v>compressed KV + Indexer Top-K</v>
      </c>
      <c r="F24" s="4" t="str">
        <f>IF(B24=0,"inactive",IF(A24&lt;HashLayers,"hash","score"))</f>
        <v>score</v>
      </c>
    </row>
    <row r="25" spans="1:6">
      <c r="A25" s="34">
        <v>21</v>
      </c>
      <c r="B25" s="35">
        <v>1</v>
      </c>
      <c r="C25" s="35" t="s">
        <v>526</v>
      </c>
      <c r="D25" s="36">
        <f>IF(C25="window",0,IF(C25="short",ShortRatio,LongRatio))</f>
        <v>128</v>
      </c>
      <c r="E25" s="4" t="str">
        <f>IF(B25=0,"inactive",IF(C25="window","raw sliding window",IF(C25="short","compressed KV + Indexer Top-K","deterministic compressed KV")))</f>
        <v>deterministic compressed KV</v>
      </c>
      <c r="F25" s="4" t="str">
        <f>IF(B25=0,"inactive",IF(A25&lt;HashLayers,"hash","score"))</f>
        <v>score</v>
      </c>
    </row>
    <row r="26" spans="1:6">
      <c r="A26" s="34">
        <v>22</v>
      </c>
      <c r="B26" s="35">
        <v>1</v>
      </c>
      <c r="C26" s="35" t="s">
        <v>525</v>
      </c>
      <c r="D26" s="36">
        <f>IF(C26="window",0,IF(C26="short",ShortRatio,LongRatio))</f>
        <v>4</v>
      </c>
      <c r="E26" s="4" t="str">
        <f>IF(B26=0,"inactive",IF(C26="window","raw sliding window",IF(C26="short","compressed KV + Indexer Top-K","deterministic compressed KV")))</f>
        <v>compressed KV + Indexer Top-K</v>
      </c>
      <c r="F26" s="4" t="str">
        <f>IF(B26=0,"inactive",IF(A26&lt;HashLayers,"hash","score"))</f>
        <v>score</v>
      </c>
    </row>
    <row r="27" spans="1:6">
      <c r="A27" s="34">
        <v>23</v>
      </c>
      <c r="B27" s="35">
        <v>1</v>
      </c>
      <c r="C27" s="35" t="s">
        <v>526</v>
      </c>
      <c r="D27" s="36">
        <f>IF(C27="window",0,IF(C27="short",ShortRatio,LongRatio))</f>
        <v>128</v>
      </c>
      <c r="E27" s="4" t="str">
        <f>IF(B27=0,"inactive",IF(C27="window","raw sliding window",IF(C27="short","compressed KV + Indexer Top-K","deterministic compressed KV")))</f>
        <v>deterministic compressed KV</v>
      </c>
      <c r="F27" s="4" t="str">
        <f>IF(B27=0,"inactive",IF(A27&lt;HashLayers,"hash","score"))</f>
        <v>score</v>
      </c>
    </row>
    <row r="28" spans="1:6">
      <c r="A28" s="34">
        <v>24</v>
      </c>
      <c r="B28" s="35">
        <v>1</v>
      </c>
      <c r="C28" s="35" t="s">
        <v>525</v>
      </c>
      <c r="D28" s="36">
        <f>IF(C28="window",0,IF(C28="short",ShortRatio,LongRatio))</f>
        <v>4</v>
      </c>
      <c r="E28" s="4" t="str">
        <f>IF(B28=0,"inactive",IF(C28="window","raw sliding window",IF(C28="short","compressed KV + Indexer Top-K","deterministic compressed KV")))</f>
        <v>compressed KV + Indexer Top-K</v>
      </c>
      <c r="F28" s="4" t="str">
        <f>IF(B28=0,"inactive",IF(A28&lt;HashLayers,"hash","score"))</f>
        <v>score</v>
      </c>
    </row>
    <row r="29" spans="1:6">
      <c r="A29" s="34">
        <v>25</v>
      </c>
      <c r="B29" s="35">
        <v>1</v>
      </c>
      <c r="C29" s="35" t="s">
        <v>526</v>
      </c>
      <c r="D29" s="36">
        <f>IF(C29="window",0,IF(C29="short",ShortRatio,LongRatio))</f>
        <v>128</v>
      </c>
      <c r="E29" s="4" t="str">
        <f>IF(B29=0,"inactive",IF(C29="window","raw sliding window",IF(C29="short","compressed KV + Indexer Top-K","deterministic compressed KV")))</f>
        <v>deterministic compressed KV</v>
      </c>
      <c r="F29" s="4" t="str">
        <f>IF(B29=0,"inactive",IF(A29&lt;HashLayers,"hash","score"))</f>
        <v>score</v>
      </c>
    </row>
    <row r="30" spans="1:6">
      <c r="A30" s="34">
        <v>26</v>
      </c>
      <c r="B30" s="35">
        <v>1</v>
      </c>
      <c r="C30" s="35" t="s">
        <v>525</v>
      </c>
      <c r="D30" s="36">
        <f>IF(C30="window",0,IF(C30="short",ShortRatio,LongRatio))</f>
        <v>4</v>
      </c>
      <c r="E30" s="4" t="str">
        <f>IF(B30=0,"inactive",IF(C30="window","raw sliding window",IF(C30="short","compressed KV + Indexer Top-K","deterministic compressed KV")))</f>
        <v>compressed KV + Indexer Top-K</v>
      </c>
      <c r="F30" s="4" t="str">
        <f>IF(B30=0,"inactive",IF(A30&lt;HashLayers,"hash","score"))</f>
        <v>score</v>
      </c>
    </row>
    <row r="31" spans="1:6">
      <c r="A31" s="34">
        <v>27</v>
      </c>
      <c r="B31" s="35">
        <v>1</v>
      </c>
      <c r="C31" s="35" t="s">
        <v>526</v>
      </c>
      <c r="D31" s="36">
        <f>IF(C31="window",0,IF(C31="short",ShortRatio,LongRatio))</f>
        <v>128</v>
      </c>
      <c r="E31" s="4" t="str">
        <f>IF(B31=0,"inactive",IF(C31="window","raw sliding window",IF(C31="short","compressed KV + Indexer Top-K","deterministic compressed KV")))</f>
        <v>deterministic compressed KV</v>
      </c>
      <c r="F31" s="4" t="str">
        <f>IF(B31=0,"inactive",IF(A31&lt;HashLayers,"hash","score"))</f>
        <v>score</v>
      </c>
    </row>
    <row r="32" spans="1:6">
      <c r="A32" s="34">
        <v>28</v>
      </c>
      <c r="B32" s="35">
        <v>1</v>
      </c>
      <c r="C32" s="35" t="s">
        <v>525</v>
      </c>
      <c r="D32" s="36">
        <f>IF(C32="window",0,IF(C32="short",ShortRatio,LongRatio))</f>
        <v>4</v>
      </c>
      <c r="E32" s="4" t="str">
        <f>IF(B32=0,"inactive",IF(C32="window","raw sliding window",IF(C32="short","compressed KV + Indexer Top-K","deterministic compressed KV")))</f>
        <v>compressed KV + Indexer Top-K</v>
      </c>
      <c r="F32" s="4" t="str">
        <f>IF(B32=0,"inactive",IF(A32&lt;HashLayers,"hash","score"))</f>
        <v>score</v>
      </c>
    </row>
    <row r="33" spans="1:6">
      <c r="A33" s="34">
        <v>29</v>
      </c>
      <c r="B33" s="35">
        <v>1</v>
      </c>
      <c r="C33" s="35" t="s">
        <v>526</v>
      </c>
      <c r="D33" s="36">
        <f>IF(C33="window",0,IF(C33="short",ShortRatio,LongRatio))</f>
        <v>128</v>
      </c>
      <c r="E33" s="4" t="str">
        <f>IF(B33=0,"inactive",IF(C33="window","raw sliding window",IF(C33="short","compressed KV + Indexer Top-K","deterministic compressed KV")))</f>
        <v>deterministic compressed KV</v>
      </c>
      <c r="F33" s="4" t="str">
        <f>IF(B33=0,"inactive",IF(A33&lt;HashLayers,"hash","score"))</f>
        <v>score</v>
      </c>
    </row>
    <row r="34" spans="1:6">
      <c r="A34" s="34">
        <v>30</v>
      </c>
      <c r="B34" s="35">
        <v>1</v>
      </c>
      <c r="C34" s="35" t="s">
        <v>525</v>
      </c>
      <c r="D34" s="36">
        <f>IF(C34="window",0,IF(C34="short",ShortRatio,LongRatio))</f>
        <v>4</v>
      </c>
      <c r="E34" s="4" t="str">
        <f>IF(B34=0,"inactive",IF(C34="window","raw sliding window",IF(C34="short","compressed KV + Indexer Top-K","deterministic compressed KV")))</f>
        <v>compressed KV + Indexer Top-K</v>
      </c>
      <c r="F34" s="4" t="str">
        <f>IF(B34=0,"inactive",IF(A34&lt;HashLayers,"hash","score"))</f>
        <v>score</v>
      </c>
    </row>
    <row r="35" spans="1:6">
      <c r="A35" s="34">
        <v>31</v>
      </c>
      <c r="B35" s="35">
        <v>1</v>
      </c>
      <c r="C35" s="35" t="s">
        <v>526</v>
      </c>
      <c r="D35" s="36">
        <f>IF(C35="window",0,IF(C35="short",ShortRatio,LongRatio))</f>
        <v>128</v>
      </c>
      <c r="E35" s="4" t="str">
        <f>IF(B35=0,"inactive",IF(C35="window","raw sliding window",IF(C35="short","compressed KV + Indexer Top-K","deterministic compressed KV")))</f>
        <v>deterministic compressed KV</v>
      </c>
      <c r="F35" s="4" t="str">
        <f>IF(B35=0,"inactive",IF(A35&lt;HashLayers,"hash","score"))</f>
        <v>score</v>
      </c>
    </row>
    <row r="36" spans="1:6">
      <c r="A36" s="34">
        <v>32</v>
      </c>
      <c r="B36" s="35">
        <v>1</v>
      </c>
      <c r="C36" s="35" t="s">
        <v>525</v>
      </c>
      <c r="D36" s="36">
        <f>IF(C36="window",0,IF(C36="short",ShortRatio,LongRatio))</f>
        <v>4</v>
      </c>
      <c r="E36" s="4" t="str">
        <f>IF(B36=0,"inactive",IF(C36="window","raw sliding window",IF(C36="short","compressed KV + Indexer Top-K","deterministic compressed KV")))</f>
        <v>compressed KV + Indexer Top-K</v>
      </c>
      <c r="F36" s="4" t="str">
        <f>IF(B36=0,"inactive",IF(A36&lt;HashLayers,"hash","score"))</f>
        <v>score</v>
      </c>
    </row>
    <row r="37" spans="1:6">
      <c r="A37" s="34">
        <v>33</v>
      </c>
      <c r="B37" s="35">
        <v>1</v>
      </c>
      <c r="C37" s="35" t="s">
        <v>526</v>
      </c>
      <c r="D37" s="36">
        <f>IF(C37="window",0,IF(C37="short",ShortRatio,LongRatio))</f>
        <v>128</v>
      </c>
      <c r="E37" s="4" t="str">
        <f>IF(B37=0,"inactive",IF(C37="window","raw sliding window",IF(C37="short","compressed KV + Indexer Top-K","deterministic compressed KV")))</f>
        <v>deterministic compressed KV</v>
      </c>
      <c r="F37" s="4" t="str">
        <f>IF(B37=0,"inactive",IF(A37&lt;HashLayers,"hash","score"))</f>
        <v>score</v>
      </c>
    </row>
    <row r="38" spans="1:6">
      <c r="A38" s="34">
        <v>34</v>
      </c>
      <c r="B38" s="35">
        <v>1</v>
      </c>
      <c r="C38" s="35" t="s">
        <v>525</v>
      </c>
      <c r="D38" s="36">
        <f>IF(C38="window",0,IF(C38="short",ShortRatio,LongRatio))</f>
        <v>4</v>
      </c>
      <c r="E38" s="4" t="str">
        <f>IF(B38=0,"inactive",IF(C38="window","raw sliding window",IF(C38="short","compressed KV + Indexer Top-K","deterministic compressed KV")))</f>
        <v>compressed KV + Indexer Top-K</v>
      </c>
      <c r="F38" s="4" t="str">
        <f>IF(B38=0,"inactive",IF(A38&lt;HashLayers,"hash","score"))</f>
        <v>score</v>
      </c>
    </row>
    <row r="39" spans="1:6">
      <c r="A39" s="34">
        <v>35</v>
      </c>
      <c r="B39" s="35">
        <v>1</v>
      </c>
      <c r="C39" s="35" t="s">
        <v>526</v>
      </c>
      <c r="D39" s="36">
        <f>IF(C39="window",0,IF(C39="short",ShortRatio,LongRatio))</f>
        <v>128</v>
      </c>
      <c r="E39" s="4" t="str">
        <f>IF(B39=0,"inactive",IF(C39="window","raw sliding window",IF(C39="short","compressed KV + Indexer Top-K","deterministic compressed KV")))</f>
        <v>deterministic compressed KV</v>
      </c>
      <c r="F39" s="4" t="str">
        <f>IF(B39=0,"inactive",IF(A39&lt;HashLayers,"hash","score"))</f>
        <v>score</v>
      </c>
    </row>
    <row r="40" spans="1:6">
      <c r="A40" s="34">
        <v>36</v>
      </c>
      <c r="B40" s="35">
        <v>1</v>
      </c>
      <c r="C40" s="35" t="s">
        <v>525</v>
      </c>
      <c r="D40" s="36">
        <f>IF(C40="window",0,IF(C40="short",ShortRatio,LongRatio))</f>
        <v>4</v>
      </c>
      <c r="E40" s="4" t="str">
        <f>IF(B40=0,"inactive",IF(C40="window","raw sliding window",IF(C40="short","compressed KV + Indexer Top-K","deterministic compressed KV")))</f>
        <v>compressed KV + Indexer Top-K</v>
      </c>
      <c r="F40" s="4" t="str">
        <f>IF(B40=0,"inactive",IF(A40&lt;HashLayers,"hash","score"))</f>
        <v>score</v>
      </c>
    </row>
    <row r="41" spans="1:6">
      <c r="A41" s="34">
        <v>37</v>
      </c>
      <c r="B41" s="35">
        <v>1</v>
      </c>
      <c r="C41" s="35" t="s">
        <v>526</v>
      </c>
      <c r="D41" s="36">
        <f>IF(C41="window",0,IF(C41="short",ShortRatio,LongRatio))</f>
        <v>128</v>
      </c>
      <c r="E41" s="4" t="str">
        <f>IF(B41=0,"inactive",IF(C41="window","raw sliding window",IF(C41="short","compressed KV + Indexer Top-K","deterministic compressed KV")))</f>
        <v>deterministic compressed KV</v>
      </c>
      <c r="F41" s="4" t="str">
        <f>IF(B41=0,"inactive",IF(A41&lt;HashLayers,"hash","score"))</f>
        <v>score</v>
      </c>
    </row>
    <row r="42" spans="1:6">
      <c r="A42" s="34">
        <v>38</v>
      </c>
      <c r="B42" s="35">
        <v>1</v>
      </c>
      <c r="C42" s="35" t="s">
        <v>525</v>
      </c>
      <c r="D42" s="36">
        <f>IF(C42="window",0,IF(C42="short",ShortRatio,LongRatio))</f>
        <v>4</v>
      </c>
      <c r="E42" s="4" t="str">
        <f>IF(B42=0,"inactive",IF(C42="window","raw sliding window",IF(C42="short","compressed KV + Indexer Top-K","deterministic compressed KV")))</f>
        <v>compressed KV + Indexer Top-K</v>
      </c>
      <c r="F42" s="4" t="str">
        <f>IF(B42=0,"inactive",IF(A42&lt;HashLayers,"hash","score"))</f>
        <v>score</v>
      </c>
    </row>
    <row r="43" spans="1:6">
      <c r="A43" s="34">
        <v>39</v>
      </c>
      <c r="B43" s="35">
        <v>1</v>
      </c>
      <c r="C43" s="35" t="s">
        <v>526</v>
      </c>
      <c r="D43" s="36">
        <f>IF(C43="window",0,IF(C43="short",ShortRatio,LongRatio))</f>
        <v>128</v>
      </c>
      <c r="E43" s="4" t="str">
        <f>IF(B43=0,"inactive",IF(C43="window","raw sliding window",IF(C43="short","compressed KV + Indexer Top-K","deterministic compressed KV")))</f>
        <v>deterministic compressed KV</v>
      </c>
      <c r="F43" s="4" t="str">
        <f>IF(B43=0,"inactive",IF(A43&lt;HashLayers,"hash","score"))</f>
        <v>score</v>
      </c>
    </row>
    <row r="44" spans="1:6">
      <c r="A44" s="34">
        <v>40</v>
      </c>
      <c r="B44" s="35">
        <v>1</v>
      </c>
      <c r="C44" s="35" t="s">
        <v>525</v>
      </c>
      <c r="D44" s="36">
        <f>IF(C44="window",0,IF(C44="short",ShortRatio,LongRatio))</f>
        <v>4</v>
      </c>
      <c r="E44" s="4" t="str">
        <f>IF(B44=0,"inactive",IF(C44="window","raw sliding window",IF(C44="short","compressed KV + Indexer Top-K","deterministic compressed KV")))</f>
        <v>compressed KV + Indexer Top-K</v>
      </c>
      <c r="F44" s="4" t="str">
        <f>IF(B44=0,"inactive",IF(A44&lt;HashLayers,"hash","score"))</f>
        <v>score</v>
      </c>
    </row>
    <row r="45" spans="1:6">
      <c r="A45" s="34">
        <v>41</v>
      </c>
      <c r="B45" s="35">
        <v>1</v>
      </c>
      <c r="C45" s="35" t="s">
        <v>526</v>
      </c>
      <c r="D45" s="36">
        <f>IF(C45="window",0,IF(C45="short",ShortRatio,LongRatio))</f>
        <v>128</v>
      </c>
      <c r="E45" s="4" t="str">
        <f>IF(B45=0,"inactive",IF(C45="window","raw sliding window",IF(C45="short","compressed KV + Indexer Top-K","deterministic compressed KV")))</f>
        <v>deterministic compressed KV</v>
      </c>
      <c r="F45" s="4" t="str">
        <f>IF(B45=0,"inactive",IF(A45&lt;HashLayers,"hash","score"))</f>
        <v>score</v>
      </c>
    </row>
    <row r="46" spans="1:6">
      <c r="A46" s="34">
        <v>42</v>
      </c>
      <c r="B46" s="35">
        <v>1</v>
      </c>
      <c r="C46" s="35" t="s">
        <v>525</v>
      </c>
      <c r="D46" s="36">
        <f>IF(C46="window",0,IF(C46="short",ShortRatio,LongRatio))</f>
        <v>4</v>
      </c>
      <c r="E46" s="4" t="str">
        <f>IF(B46=0,"inactive",IF(C46="window","raw sliding window",IF(C46="short","compressed KV + Indexer Top-K","deterministic compressed KV")))</f>
        <v>compressed KV + Indexer Top-K</v>
      </c>
      <c r="F46" s="4" t="str">
        <f>IF(B46=0,"inactive",IF(A46&lt;HashLayers,"hash","score"))</f>
        <v>score</v>
      </c>
    </row>
    <row r="47" spans="1:6">
      <c r="A47" s="34">
        <v>43</v>
      </c>
      <c r="B47" s="35">
        <v>0</v>
      </c>
      <c r="C47" s="35" t="s">
        <v>524</v>
      </c>
      <c r="D47" s="36">
        <f>IF(C47="window",0,IF(C47="short",ShortRatio,LongRatio))</f>
        <v>0</v>
      </c>
      <c r="E47" s="4" t="str">
        <f>IF(B47=0,"inactive",IF(C47="window","raw sliding window",IF(C47="short","compressed KV + Indexer Top-K","deterministic compressed KV")))</f>
        <v>inactive</v>
      </c>
      <c r="F47" s="4" t="str">
        <f>IF(B47=0,"inactive",IF(A47&lt;HashLayers,"hash","score"))</f>
        <v>inactive</v>
      </c>
    </row>
    <row r="48" spans="1:6">
      <c r="A48" s="34">
        <v>44</v>
      </c>
      <c r="B48" s="35">
        <v>0</v>
      </c>
      <c r="C48" s="35" t="s">
        <v>524</v>
      </c>
      <c r="D48" s="36">
        <f>IF(C48="window",0,IF(C48="short",ShortRatio,LongRatio))</f>
        <v>0</v>
      </c>
      <c r="E48" s="4" t="str">
        <f>IF(B48=0,"inactive",IF(C48="window","raw sliding window",IF(C48="short","compressed KV + Indexer Top-K","deterministic compressed KV")))</f>
        <v>inactive</v>
      </c>
      <c r="F48" s="4" t="str">
        <f>IF(B48=0,"inactive",IF(A48&lt;HashLayers,"hash","score"))</f>
        <v>inactive</v>
      </c>
    </row>
    <row r="49" spans="1:6">
      <c r="A49" s="34">
        <v>45</v>
      </c>
      <c r="B49" s="35">
        <v>0</v>
      </c>
      <c r="C49" s="35" t="s">
        <v>524</v>
      </c>
      <c r="D49" s="36">
        <f>IF(C49="window",0,IF(C49="short",ShortRatio,LongRatio))</f>
        <v>0</v>
      </c>
      <c r="E49" s="4" t="str">
        <f>IF(B49=0,"inactive",IF(C49="window","raw sliding window",IF(C49="short","compressed KV + Indexer Top-K","deterministic compressed KV")))</f>
        <v>inactive</v>
      </c>
      <c r="F49" s="4" t="str">
        <f>IF(B49=0,"inactive",IF(A49&lt;HashLayers,"hash","score"))</f>
        <v>inactive</v>
      </c>
    </row>
    <row r="50" spans="1:6">
      <c r="A50" s="34">
        <v>46</v>
      </c>
      <c r="B50" s="35">
        <v>0</v>
      </c>
      <c r="C50" s="35" t="s">
        <v>524</v>
      </c>
      <c r="D50" s="36">
        <f>IF(C50="window",0,IF(C50="short",ShortRatio,LongRatio))</f>
        <v>0</v>
      </c>
      <c r="E50" s="4" t="str">
        <f>IF(B50=0,"inactive",IF(C50="window","raw sliding window",IF(C50="short","compressed KV + Indexer Top-K","deterministic compressed KV")))</f>
        <v>inactive</v>
      </c>
      <c r="F50" s="4" t="str">
        <f>IF(B50=0,"inactive",IF(A50&lt;HashLayers,"hash","score"))</f>
        <v>inactive</v>
      </c>
    </row>
    <row r="51" spans="1:6">
      <c r="A51" s="34">
        <v>47</v>
      </c>
      <c r="B51" s="35">
        <v>0</v>
      </c>
      <c r="C51" s="35" t="s">
        <v>524</v>
      </c>
      <c r="D51" s="36">
        <f>IF(C51="window",0,IF(C51="short",ShortRatio,LongRatio))</f>
        <v>0</v>
      </c>
      <c r="E51" s="4" t="str">
        <f>IF(B51=0,"inactive",IF(C51="window","raw sliding window",IF(C51="short","compressed KV + Indexer Top-K","deterministic compressed KV")))</f>
        <v>inactive</v>
      </c>
      <c r="F51" s="4" t="str">
        <f>IF(B51=0,"inactive",IF(A51&lt;HashLayers,"hash","score"))</f>
        <v>inactive</v>
      </c>
    </row>
    <row r="52" spans="1:6">
      <c r="A52" s="34">
        <v>48</v>
      </c>
      <c r="B52" s="35">
        <v>0</v>
      </c>
      <c r="C52" s="35" t="s">
        <v>524</v>
      </c>
      <c r="D52" s="36">
        <f>IF(C52="window",0,IF(C52="short",ShortRatio,LongRatio))</f>
        <v>0</v>
      </c>
      <c r="E52" s="4" t="str">
        <f>IF(B52=0,"inactive",IF(C52="window","raw sliding window",IF(C52="short","compressed KV + Indexer Top-K","deterministic compressed KV")))</f>
        <v>inactive</v>
      </c>
      <c r="F52" s="4" t="str">
        <f>IF(B52=0,"inactive",IF(A52&lt;HashLayers,"hash","score"))</f>
        <v>inactive</v>
      </c>
    </row>
    <row r="53" spans="1:6">
      <c r="A53" s="34">
        <v>49</v>
      </c>
      <c r="B53" s="35">
        <v>0</v>
      </c>
      <c r="C53" s="35" t="s">
        <v>524</v>
      </c>
      <c r="D53" s="36">
        <f>IF(C53="window",0,IF(C53="short",ShortRatio,LongRatio))</f>
        <v>0</v>
      </c>
      <c r="E53" s="4" t="str">
        <f>IF(B53=0,"inactive",IF(C53="window","raw sliding window",IF(C53="short","compressed KV + Indexer Top-K","deterministic compressed KV")))</f>
        <v>inactive</v>
      </c>
      <c r="F53" s="4" t="str">
        <f>IF(B53=0,"inactive",IF(A53&lt;HashLayers,"hash","score"))</f>
        <v>inactive</v>
      </c>
    </row>
    <row r="54" spans="1:6">
      <c r="A54" s="34">
        <v>50</v>
      </c>
      <c r="B54" s="35">
        <v>0</v>
      </c>
      <c r="C54" s="35" t="s">
        <v>524</v>
      </c>
      <c r="D54" s="36">
        <f>IF(C54="window",0,IF(C54="short",ShortRatio,LongRatio))</f>
        <v>0</v>
      </c>
      <c r="E54" s="4" t="str">
        <f>IF(B54=0,"inactive",IF(C54="window","raw sliding window",IF(C54="short","compressed KV + Indexer Top-K","deterministic compressed KV")))</f>
        <v>inactive</v>
      </c>
      <c r="F54" s="4" t="str">
        <f>IF(B54=0,"inactive",IF(A54&lt;HashLayers,"hash","score"))</f>
        <v>inactive</v>
      </c>
    </row>
    <row r="55" spans="1:6">
      <c r="A55" s="34">
        <v>51</v>
      </c>
      <c r="B55" s="35">
        <v>0</v>
      </c>
      <c r="C55" s="35" t="s">
        <v>524</v>
      </c>
      <c r="D55" s="36">
        <f>IF(C55="window",0,IF(C55="short",ShortRatio,LongRatio))</f>
        <v>0</v>
      </c>
      <c r="E55" s="4" t="str">
        <f>IF(B55=0,"inactive",IF(C55="window","raw sliding window",IF(C55="short","compressed KV + Indexer Top-K","deterministic compressed KV")))</f>
        <v>inactive</v>
      </c>
      <c r="F55" s="4" t="str">
        <f>IF(B55=0,"inactive",IF(A55&lt;HashLayers,"hash","score"))</f>
        <v>inactive</v>
      </c>
    </row>
    <row r="56" spans="1:6">
      <c r="A56" s="34">
        <v>52</v>
      </c>
      <c r="B56" s="35">
        <v>0</v>
      </c>
      <c r="C56" s="35" t="s">
        <v>524</v>
      </c>
      <c r="D56" s="36">
        <f>IF(C56="window",0,IF(C56="short",ShortRatio,LongRatio))</f>
        <v>0</v>
      </c>
      <c r="E56" s="4" t="str">
        <f>IF(B56=0,"inactive",IF(C56="window","raw sliding window",IF(C56="short","compressed KV + Indexer Top-K","deterministic compressed KV")))</f>
        <v>inactive</v>
      </c>
      <c r="F56" s="4" t="str">
        <f>IF(B56=0,"inactive",IF(A56&lt;HashLayers,"hash","score"))</f>
        <v>inactive</v>
      </c>
    </row>
    <row r="57" spans="1:6">
      <c r="A57" s="34">
        <v>53</v>
      </c>
      <c r="B57" s="35">
        <v>0</v>
      </c>
      <c r="C57" s="35" t="s">
        <v>524</v>
      </c>
      <c r="D57" s="36">
        <f>IF(C57="window",0,IF(C57="short",ShortRatio,LongRatio))</f>
        <v>0</v>
      </c>
      <c r="E57" s="4" t="str">
        <f>IF(B57=0,"inactive",IF(C57="window","raw sliding window",IF(C57="short","compressed KV + Indexer Top-K","deterministic compressed KV")))</f>
        <v>inactive</v>
      </c>
      <c r="F57" s="4" t="str">
        <f>IF(B57=0,"inactive",IF(A57&lt;HashLayers,"hash","score"))</f>
        <v>inactive</v>
      </c>
    </row>
    <row r="58" spans="1:6">
      <c r="A58" s="34">
        <v>54</v>
      </c>
      <c r="B58" s="35">
        <v>0</v>
      </c>
      <c r="C58" s="35" t="s">
        <v>524</v>
      </c>
      <c r="D58" s="36">
        <f>IF(C58="window",0,IF(C58="short",ShortRatio,LongRatio))</f>
        <v>0</v>
      </c>
      <c r="E58" s="4" t="str">
        <f>IF(B58=0,"inactive",IF(C58="window","raw sliding window",IF(C58="short","compressed KV + Indexer Top-K","deterministic compressed KV")))</f>
        <v>inactive</v>
      </c>
      <c r="F58" s="4" t="str">
        <f>IF(B58=0,"inactive",IF(A58&lt;HashLayers,"hash","score"))</f>
        <v>inactive</v>
      </c>
    </row>
    <row r="59" spans="1:6">
      <c r="A59" s="34">
        <v>55</v>
      </c>
      <c r="B59" s="35">
        <v>0</v>
      </c>
      <c r="C59" s="35" t="s">
        <v>524</v>
      </c>
      <c r="D59" s="36">
        <f>IF(C59="window",0,IF(C59="short",ShortRatio,LongRatio))</f>
        <v>0</v>
      </c>
      <c r="E59" s="4" t="str">
        <f>IF(B59=0,"inactive",IF(C59="window","raw sliding window",IF(C59="short","compressed KV + Indexer Top-K","deterministic compressed KV")))</f>
        <v>inactive</v>
      </c>
      <c r="F59" s="4" t="str">
        <f>IF(B59=0,"inactive",IF(A59&lt;HashLayers,"hash","score"))</f>
        <v>inactive</v>
      </c>
    </row>
    <row r="60" spans="1:6">
      <c r="A60" s="34">
        <v>56</v>
      </c>
      <c r="B60" s="35">
        <v>0</v>
      </c>
      <c r="C60" s="35" t="s">
        <v>524</v>
      </c>
      <c r="D60" s="36">
        <f>IF(C60="window",0,IF(C60="short",ShortRatio,LongRatio))</f>
        <v>0</v>
      </c>
      <c r="E60" s="4" t="str">
        <f>IF(B60=0,"inactive",IF(C60="window","raw sliding window",IF(C60="short","compressed KV + Indexer Top-K","deterministic compressed KV")))</f>
        <v>inactive</v>
      </c>
      <c r="F60" s="4" t="str">
        <f>IF(B60=0,"inactive",IF(A60&lt;HashLayers,"hash","score"))</f>
        <v>inactive</v>
      </c>
    </row>
    <row r="61" spans="1:6">
      <c r="A61" s="34">
        <v>57</v>
      </c>
      <c r="B61" s="35">
        <v>0</v>
      </c>
      <c r="C61" s="35" t="s">
        <v>524</v>
      </c>
      <c r="D61" s="36">
        <f>IF(C61="window",0,IF(C61="short",ShortRatio,LongRatio))</f>
        <v>0</v>
      </c>
      <c r="E61" s="4" t="str">
        <f>IF(B61=0,"inactive",IF(C61="window","raw sliding window",IF(C61="short","compressed KV + Indexer Top-K","deterministic compressed KV")))</f>
        <v>inactive</v>
      </c>
      <c r="F61" s="4" t="str">
        <f>IF(B61=0,"inactive",IF(A61&lt;HashLayers,"hash","score"))</f>
        <v>inactive</v>
      </c>
    </row>
    <row r="62" spans="1:6">
      <c r="A62" s="34">
        <v>58</v>
      </c>
      <c r="B62" s="35">
        <v>0</v>
      </c>
      <c r="C62" s="35" t="s">
        <v>524</v>
      </c>
      <c r="D62" s="36">
        <f>IF(C62="window",0,IF(C62="short",ShortRatio,LongRatio))</f>
        <v>0</v>
      </c>
      <c r="E62" s="4" t="str">
        <f>IF(B62=0,"inactive",IF(C62="window","raw sliding window",IF(C62="short","compressed KV + Indexer Top-K","deterministic compressed KV")))</f>
        <v>inactive</v>
      </c>
      <c r="F62" s="4" t="str">
        <f>IF(B62=0,"inactive",IF(A62&lt;HashLayers,"hash","score"))</f>
        <v>inactive</v>
      </c>
    </row>
    <row r="63" spans="1:6">
      <c r="A63" s="34">
        <v>59</v>
      </c>
      <c r="B63" s="35">
        <v>0</v>
      </c>
      <c r="C63" s="35" t="s">
        <v>524</v>
      </c>
      <c r="D63" s="36">
        <f>IF(C63="window",0,IF(C63="short",ShortRatio,LongRatio))</f>
        <v>0</v>
      </c>
      <c r="E63" s="4" t="str">
        <f>IF(B63=0,"inactive",IF(C63="window","raw sliding window",IF(C63="short","compressed KV + Indexer Top-K","deterministic compressed KV")))</f>
        <v>inactive</v>
      </c>
      <c r="F63" s="4" t="str">
        <f>IF(B63=0,"inactive",IF(A63&lt;HashLayers,"hash","score"))</f>
        <v>inactive</v>
      </c>
    </row>
    <row r="64" spans="1:6">
      <c r="A64" s="34">
        <v>60</v>
      </c>
      <c r="B64" s="35">
        <v>0</v>
      </c>
      <c r="C64" s="35" t="s">
        <v>524</v>
      </c>
      <c r="D64" s="36">
        <f>IF(C64="window",0,IF(C64="short",ShortRatio,LongRatio))</f>
        <v>0</v>
      </c>
      <c r="E64" s="4" t="str">
        <f>IF(B64=0,"inactive",IF(C64="window","raw sliding window",IF(C64="short","compressed KV + Indexer Top-K","deterministic compressed KV")))</f>
        <v>inactive</v>
      </c>
      <c r="F64" s="4" t="str">
        <f>IF(B64=0,"inactive",IF(A64&lt;HashLayers,"hash","score"))</f>
        <v>inactive</v>
      </c>
    </row>
    <row r="65" spans="1:6">
      <c r="A65" s="34">
        <v>61</v>
      </c>
      <c r="B65" s="35">
        <v>0</v>
      </c>
      <c r="C65" s="35" t="s">
        <v>524</v>
      </c>
      <c r="D65" s="36">
        <f>IF(C65="window",0,IF(C65="short",ShortRatio,LongRatio))</f>
        <v>0</v>
      </c>
      <c r="E65" s="4" t="str">
        <f>IF(B65=0,"inactive",IF(C65="window","raw sliding window",IF(C65="short","compressed KV + Indexer Top-K","deterministic compressed KV")))</f>
        <v>inactive</v>
      </c>
      <c r="F65" s="4" t="str">
        <f>IF(B65=0,"inactive",IF(A65&lt;HashLayers,"hash","score"))</f>
        <v>inactive</v>
      </c>
    </row>
    <row r="66" spans="1:6">
      <c r="A66" s="34">
        <v>62</v>
      </c>
      <c r="B66" s="35">
        <v>0</v>
      </c>
      <c r="C66" s="35" t="s">
        <v>524</v>
      </c>
      <c r="D66" s="36">
        <f>IF(C66="window",0,IF(C66="short",ShortRatio,LongRatio))</f>
        <v>0</v>
      </c>
      <c r="E66" s="4" t="str">
        <f>IF(B66=0,"inactive",IF(C66="window","raw sliding window",IF(C66="short","compressed KV + Indexer Top-K","deterministic compressed KV")))</f>
        <v>inactive</v>
      </c>
      <c r="F66" s="4" t="str">
        <f>IF(B66=0,"inactive",IF(A66&lt;HashLayers,"hash","score"))</f>
        <v>inactive</v>
      </c>
    </row>
    <row r="67" spans="1:6">
      <c r="A67" s="34">
        <v>63</v>
      </c>
      <c r="B67" s="35">
        <v>0</v>
      </c>
      <c r="C67" s="35" t="s">
        <v>524</v>
      </c>
      <c r="D67" s="36">
        <f>IF(C67="window",0,IF(C67="short",ShortRatio,LongRatio))</f>
        <v>0</v>
      </c>
      <c r="E67" s="4" t="str">
        <f>IF(B67=0,"inactive",IF(C67="window","raw sliding window",IF(C67="short","compressed KV + Indexer Top-K","deterministic compressed KV")))</f>
        <v>inactive</v>
      </c>
      <c r="F67" s="4" t="str">
        <f>IF(B67=0,"inactive",IF(A67&lt;HashLayers,"hash","score"))</f>
        <v>inactive</v>
      </c>
    </row>
  </sheetData>
  <autoFilter ref="A3:F67"/>
  <dataValidations count="2">
    <dataValidation type="list" allowBlank="1" showInputMessage="1" showErrorMessage="1" sqref="B4:B67">
      <formula1>"0,1"</formula1>
    </dataValidation>
    <dataValidation type="list" allowBlank="1" showInputMessage="1" showErrorMessage="1" sqref="C4:C67">
      <formula1>"window,short,long"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8"/>
  <sheetViews>
    <sheetView showGridLines="0" workbookViewId="0"/>
  </sheetViews>
  <sheetFormatPr defaultRowHeight="15"/>
  <cols>
    <col min="1" max="1" width="24.7109375" customWidth="1"/>
    <col min="2" max="2" width="120.7109375" customWidth="1"/>
  </cols>
  <sheetData>
    <row r="1" spans="1:2">
      <c r="A1" s="1" t="s">
        <v>527</v>
      </c>
    </row>
    <row r="3" spans="1:2">
      <c r="A3" s="3" t="s">
        <v>528</v>
      </c>
      <c r="B3" s="3" t="s">
        <v>529</v>
      </c>
    </row>
    <row r="4" spans="1:2">
      <c r="A4" s="4" t="s">
        <v>359</v>
      </c>
      <c r="B4" s="4" t="s">
        <v>530</v>
      </c>
    </row>
    <row r="5" spans="1:2">
      <c r="A5" s="4" t="s">
        <v>531</v>
      </c>
      <c r="B5" s="4" t="s">
        <v>532</v>
      </c>
    </row>
    <row r="6" spans="1:2">
      <c r="A6" s="4" t="s">
        <v>533</v>
      </c>
      <c r="B6" s="4" t="s">
        <v>534</v>
      </c>
    </row>
    <row r="7" spans="1:2">
      <c r="A7" s="4" t="s">
        <v>535</v>
      </c>
      <c r="B7" s="4" t="s">
        <v>536</v>
      </c>
    </row>
    <row r="8" spans="1:2">
      <c r="A8" s="4" t="s">
        <v>59</v>
      </c>
      <c r="B8" s="4" t="s">
        <v>537</v>
      </c>
    </row>
    <row r="9" spans="1:2">
      <c r="A9" s="4" t="s">
        <v>538</v>
      </c>
      <c r="B9" s="4" t="s">
        <v>539</v>
      </c>
    </row>
    <row r="10" spans="1:2">
      <c r="A10" s="4" t="s">
        <v>540</v>
      </c>
      <c r="B10" s="4" t="s">
        <v>541</v>
      </c>
    </row>
    <row r="11" spans="1:2">
      <c r="A11" s="4" t="s">
        <v>542</v>
      </c>
      <c r="B11" s="4" t="s">
        <v>543</v>
      </c>
    </row>
    <row r="12" spans="1:2">
      <c r="A12" s="4" t="s">
        <v>544</v>
      </c>
      <c r="B12" s="4" t="s">
        <v>545</v>
      </c>
    </row>
    <row r="13" spans="1:2">
      <c r="A13" s="4" t="s">
        <v>409</v>
      </c>
      <c r="B13" s="4" t="s">
        <v>546</v>
      </c>
    </row>
    <row r="14" spans="1:2">
      <c r="A14" s="4" t="s">
        <v>547</v>
      </c>
      <c r="B14" s="4" t="s">
        <v>548</v>
      </c>
    </row>
    <row r="15" spans="1:2">
      <c r="A15" s="4" t="s">
        <v>549</v>
      </c>
      <c r="B15" s="4" t="s">
        <v>550</v>
      </c>
    </row>
    <row r="16" spans="1:2">
      <c r="A16" s="4" t="s">
        <v>551</v>
      </c>
      <c r="B16" s="4" t="s">
        <v>552</v>
      </c>
    </row>
    <row r="17" spans="1:2">
      <c r="A17" s="4" t="s">
        <v>553</v>
      </c>
      <c r="B17" s="4" t="s">
        <v>554</v>
      </c>
    </row>
    <row r="18" spans="1:2">
      <c r="A18" s="4" t="s">
        <v>555</v>
      </c>
      <c r="B18" s="4" t="s">
        <v>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73</vt:i4>
      </vt:variant>
    </vt:vector>
  </HeadingPairs>
  <TitlesOfParts>
    <vt:vector size="81" baseType="lpstr">
      <vt:lpstr>Parameters</vt:lpstr>
      <vt:lpstr>Prefill_8K</vt:lpstr>
      <vt:lpstr>Decode_1M</vt:lpstr>
      <vt:lpstr>dtype</vt:lpstr>
      <vt:lpstr>Comparison</vt:lpstr>
      <vt:lpstr>Summary</vt:lpstr>
      <vt:lpstr>Layer_Config</vt:lpstr>
      <vt:lpstr>Methodology</vt:lpstr>
      <vt:lpstr>ActivatedExperts</vt:lpstr>
      <vt:lpstr>ActiveHashLayers</vt:lpstr>
      <vt:lpstr>BF16Bytes</vt:lpstr>
      <vt:lpstr>DC_ExpertActiveProbability</vt:lpstr>
      <vt:lpstr>DC_IndexPairs</vt:lpstr>
      <vt:lpstr>DC_LongPairs</vt:lpstr>
      <vt:lpstr>DC_RawPairs</vt:lpstr>
      <vt:lpstr>DC_Rows</vt:lpstr>
      <vt:lpstr>DC_ShortPairs</vt:lpstr>
      <vt:lpstr>DecodeBatch</vt:lpstr>
      <vt:lpstr>DecodeContext</vt:lpstr>
      <vt:lpstr>DecodeTargetMs</vt:lpstr>
      <vt:lpstr>DecodeTokens</vt:lpstr>
      <vt:lpstr>ExpertInter</vt:lpstr>
      <vt:lpstr>FP32Bytes</vt:lpstr>
      <vt:lpstr>FP4Block</vt:lpstr>
      <vt:lpstr>FP4Bytes</vt:lpstr>
      <vt:lpstr>FP8Block</vt:lpstr>
      <vt:lpstr>FP8Bytes</vt:lpstr>
      <vt:lpstr>HashLayers</vt:lpstr>
      <vt:lpstr>HBMBandwidthGBps</vt:lpstr>
      <vt:lpstr>HCIters</vt:lpstr>
      <vt:lpstr>HCSlots</vt:lpstr>
      <vt:lpstr>HeadDim</vt:lpstr>
      <vt:lpstr>HiddenSize</vt:lpstr>
      <vt:lpstr>IndexHeadDim</vt:lpstr>
      <vt:lpstr>IndexHeads</vt:lpstr>
      <vt:lpstr>IndexTopK</vt:lpstr>
      <vt:lpstr>INT32Bytes</vt:lpstr>
      <vt:lpstr>INT64Bytes</vt:lpstr>
      <vt:lpstr>InterconnectGBps</vt:lpstr>
      <vt:lpstr>KernelMinHeads</vt:lpstr>
      <vt:lpstr>LongLayers</vt:lpstr>
      <vt:lpstr>LongRatio</vt:lpstr>
      <vt:lpstr>MaxContext</vt:lpstr>
      <vt:lpstr>NumHeads</vt:lpstr>
      <vt:lpstr>OGroups</vt:lpstr>
      <vt:lpstr>OLoraRank</vt:lpstr>
      <vt:lpstr>PeakTFLOPs</vt:lpstr>
      <vt:lpstr>PF_ExpertActiveProbability</vt:lpstr>
      <vt:lpstr>PF_IndexPairs</vt:lpstr>
      <vt:lpstr>PF_LongPairs</vt:lpstr>
      <vt:lpstr>PF_RawPairs</vt:lpstr>
      <vt:lpstr>PF_Rows</vt:lpstr>
      <vt:lpstr>PF_ShortPairs</vt:lpstr>
      <vt:lpstr>PrefillBatch</vt:lpstr>
      <vt:lpstr>PrefillSequence</vt:lpstr>
      <vt:lpstr>PrefillTargetMs</vt:lpstr>
      <vt:lpstr>QLoraRank</vt:lpstr>
      <vt:lpstr>RopeDim</vt:lpstr>
      <vt:lpstr>RoutedExperts</vt:lpstr>
      <vt:lpstr>ScaleBytes</vt:lpstr>
      <vt:lpstr>SharedExperts</vt:lpstr>
      <vt:lpstr>ShortLayers</vt:lpstr>
      <vt:lpstr>ShortRatio</vt:lpstr>
      <vt:lpstr>TotalLayers</vt:lpstr>
      <vt:lpstr>TP1KernelLocalHeads</vt:lpstr>
      <vt:lpstr>TP1LocalExperts</vt:lpstr>
      <vt:lpstr>TP1LocalHeads</vt:lpstr>
      <vt:lpstr>TP1LocalIndexHeads</vt:lpstr>
      <vt:lpstr>TP1LocalOGroups</vt:lpstr>
      <vt:lpstr>TP1LocalVocab</vt:lpstr>
      <vt:lpstr>TP1Size</vt:lpstr>
      <vt:lpstr>TP8KernelLocalHeads</vt:lpstr>
      <vt:lpstr>TP8LocalExperts</vt:lpstr>
      <vt:lpstr>TP8LocalHeads</vt:lpstr>
      <vt:lpstr>TP8LocalIndexHeads</vt:lpstr>
      <vt:lpstr>TP8LocalOGroups</vt:lpstr>
      <vt:lpstr>TP8LocalVocab</vt:lpstr>
      <vt:lpstr>TP8Size</vt:lpstr>
      <vt:lpstr>VocabSize</vt:lpstr>
      <vt:lpstr>WindowLayers</vt:lpstr>
      <vt:lpstr>WindowSize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DeepSeek V4 Flash Architecture Calculator</dc:title>
  <dc:subject>Formula-driven TP, FLOPs, HBM, and memory analysis</dc:subject>
  <dc:creator>DeepSeek V4 Flash repository calculator</dc:creator>
  <cp:lastModifiedBy>DeepSeek V4 Flash repository calculator</cp:lastModifiedBy>
  <dcterms:created xsi:type="dcterms:W3CDTF">2026-08-28T13:43:45Z</dcterms:created>
  <dcterms:modified xsi:type="dcterms:W3CDTF">2026-08-28T13:43:45Z</dcterms:modified>
</cp:coreProperties>
</file>