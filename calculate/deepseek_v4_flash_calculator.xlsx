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ameters" sheetId="1" r:id="rId1"/>
    <sheet name="Layer_Config" sheetId="2" r:id="rId2"/>
    <sheet name="Prefill_8K" sheetId="3" r:id="rId3"/>
    <sheet name="Decode_1M" sheetId="4" r:id="rId4"/>
    <sheet name="Memory" sheetId="5" r:id="rId5"/>
    <sheet name="Comparison" sheetId="6" r:id="rId6"/>
    <sheet name="Methodology" sheetId="7" r:id="rId7"/>
  </sheets>
  <definedNames>
    <definedName name="_xlnm._FilterDatabase" localSheetId="3" hidden="1">Decode_1M!$A$28:$M$40</definedName>
    <definedName name="_xlnm._FilterDatabase" localSheetId="1" hidden="1">Layer_Config!$A$3:$F$67</definedName>
    <definedName name="_xlnm._FilterDatabase" localSheetId="4" hidden="1">Memory!$A$3:$G$27</definedName>
    <definedName name="_xlnm._FilterDatabase" localSheetId="0" hidden="1">Parameters!$A$3:$G$57</definedName>
    <definedName name="_xlnm._FilterDatabase" localSheetId="2" hidden="1">Prefill_8K!$A$28:$M$40</definedName>
    <definedName name="ActivatedExperts">'Parameters'!$D$20</definedName>
    <definedName name="ActiveHashLayers">'Parameters'!$D$51</definedName>
    <definedName name="BF16Bytes">'Parameters'!$D$32</definedName>
    <definedName name="DC_ExpertActiveProbability">'Decode_1M'!$C$9</definedName>
    <definedName name="DC_IndexPairs">'Decode_1M'!$C$8</definedName>
    <definedName name="DC_LongPairs">'Decode_1M'!$C$7</definedName>
    <definedName name="DC_RawPairs">'Decode_1M'!$C$5</definedName>
    <definedName name="DC_Rows">'Decode_1M'!$C$4</definedName>
    <definedName name="DC_ShortPairs">'Decode_1M'!$C$6</definedName>
    <definedName name="DecodeBatch">'Parameters'!$D$7</definedName>
    <definedName name="DecodeContext">'Parameters'!$D$9</definedName>
    <definedName name="DecodeTargetMs">'Parameters'!$D$46</definedName>
    <definedName name="DecodeTokens">'Parameters'!$D$8</definedName>
    <definedName name="ExpertInter">'Parameters'!$D$22</definedName>
    <definedName name="FP32Bytes">'Parameters'!$D$33</definedName>
    <definedName name="FP4Block">'Parameters'!$D$40</definedName>
    <definedName name="FP4Bytes">'Parameters'!$D$35</definedName>
    <definedName name="FP8Block">'Parameters'!$D$39</definedName>
    <definedName name="FP8Bytes">'Parameters'!$D$34</definedName>
    <definedName name="HashLayers">'Parameters'!$D$31</definedName>
    <definedName name="HBMBandwidthGBps">'Parameters'!$D$43</definedName>
    <definedName name="HCIters">'Parameters'!$D$30</definedName>
    <definedName name="HCSlots">'Parameters'!$D$29</definedName>
    <definedName name="HeadDim">'Parameters'!$D$14</definedName>
    <definedName name="HiddenSize">'Parameters'!$D$11</definedName>
    <definedName name="IndexHeadDim">'Parameters'!$D$27</definedName>
    <definedName name="IndexHeads">'Parameters'!$D$26</definedName>
    <definedName name="IndexTopK">'Parameters'!$D$28</definedName>
    <definedName name="INT32Bytes">'Parameters'!$D$37</definedName>
    <definedName name="INT64Bytes">'Parameters'!$D$38</definedName>
    <definedName name="InterconnectGBps">'Parameters'!$D$44</definedName>
    <definedName name="KernelLocalHeads">'Parameters'!$D$53</definedName>
    <definedName name="KernelMinHeads">'Parameters'!$D$41</definedName>
    <definedName name="LocalExperts">'Parameters'!$D$55</definedName>
    <definedName name="LocalHeads">'Parameters'!$D$52</definedName>
    <definedName name="LocalIndexHeads">'Parameters'!$D$54</definedName>
    <definedName name="LocalOGroups">'Parameters'!$D$56</definedName>
    <definedName name="LocalVocab">'Parameters'!$D$57</definedName>
    <definedName name="LongLayers">'Parameters'!$D$50</definedName>
    <definedName name="LongRatio">'Parameters'!$D$25</definedName>
    <definedName name="MaxContext">'Parameters'!$D$10</definedName>
    <definedName name="NumHeads">'Parameters'!$D$13</definedName>
    <definedName name="OGroups">'Parameters'!$D$17</definedName>
    <definedName name="OLoraRank">'Parameters'!$D$18</definedName>
    <definedName name="ParameterTotalPerRank">'Memory'!$D$15</definedName>
    <definedName name="PeakTFLOPs">'Parameters'!$D$42</definedName>
    <definedName name="PF_ExpertActiveProbability">'Prefill_8K'!$C$9</definedName>
    <definedName name="PF_IndexPairs">'Prefill_8K'!$C$8</definedName>
    <definedName name="PF_LongPairs">'Prefill_8K'!$C$7</definedName>
    <definedName name="PF_RawPairs">'Prefill_8K'!$C$5</definedName>
    <definedName name="PF_Rows">'Prefill_8K'!$C$4</definedName>
    <definedName name="PF_ShortPairs">'Prefill_8K'!$C$6</definedName>
    <definedName name="PrefillBatch">'Parameters'!$D$5</definedName>
    <definedName name="PrefillSequence">'Parameters'!$D$6</definedName>
    <definedName name="PrefillTargetMs">'Parameters'!$D$45</definedName>
    <definedName name="QLoraRank">'Parameters'!$D$16</definedName>
    <definedName name="RopeDim">'Parameters'!$D$15</definedName>
    <definedName name="RoutedExperts">'Parameters'!$D$19</definedName>
    <definedName name="ScaleBytes">'Parameters'!$D$36</definedName>
    <definedName name="SharedExperts">'Parameters'!$D$21</definedName>
    <definedName name="ShortLayers">'Parameters'!$D$49</definedName>
    <definedName name="ShortRatio">'Parameters'!$D$24</definedName>
    <definedName name="TotalLayers">'Parameters'!$D$47</definedName>
    <definedName name="TPSize">'Parameters'!$D$4</definedName>
    <definedName name="VocabSize">'Parameters'!$D$12</definedName>
    <definedName name="WindowLayers">'Parameters'!$D$48</definedName>
    <definedName name="WindowSize">'Parameters'!$D$23</definedName>
  </definedNames>
  <calcPr calcId="124519" fullCalcOnLoad="1"/>
</workbook>
</file>

<file path=xl/sharedStrings.xml><?xml version="1.0" encoding="utf-8"?>
<sst xmlns="http://schemas.openxmlformats.org/spreadsheetml/2006/main" count="802" uniqueCount="435">
  <si>
    <t>DeepSeek V4 Flash - Editable Architecture Parameters</t>
  </si>
  <si>
    <t>Blue cells are editable inputs. Green cells are derived Excel formulas.</t>
  </si>
  <si>
    <t>Category</t>
  </si>
  <si>
    <t>Parameter</t>
  </si>
  <si>
    <t>Excel name</t>
  </si>
  <si>
    <t>Value</t>
  </si>
  <si>
    <t>Unit</t>
  </si>
  <si>
    <t>Description</t>
  </si>
  <si>
    <t>Validation</t>
  </si>
  <si>
    <t>Parallel</t>
  </si>
  <si>
    <t>Tensor parallel size</t>
  </si>
  <si>
    <t>TPSize</t>
  </si>
  <si>
    <t>ranks</t>
  </si>
  <si>
    <t>Number of tensor-parallel ranks.</t>
  </si>
  <si>
    <t>Scenario</t>
  </si>
  <si>
    <t>Prefill batch size</t>
  </si>
  <si>
    <t>PrefillBatch</t>
  </si>
  <si>
    <t>sequences</t>
  </si>
  <si>
    <t>Editable prefill batch size.</t>
  </si>
  <si>
    <t>Prefill sequence length</t>
  </si>
  <si>
    <t>PrefillSequence</t>
  </si>
  <si>
    <t>tokens</t>
  </si>
  <si>
    <t>Prompt tokens processed in one prefill.</t>
  </si>
  <si>
    <t>Decode batch size</t>
  </si>
  <si>
    <t>DecodeBatch</t>
  </si>
  <si>
    <t>Editable decode batch size.</t>
  </si>
  <si>
    <t>Decode tokens per step</t>
  </si>
  <si>
    <t>DecodeTokens</t>
  </si>
  <si>
    <t>Usually 1; formulas model each token at DecodeContext.</t>
  </si>
  <si>
    <t>Decode context</t>
  </si>
  <si>
    <t>DecodeContext</t>
  </si>
  <si>
    <t>Effective context visible during decode.</t>
  </si>
  <si>
    <t>Maximum allocated context</t>
  </si>
  <si>
    <t>MaxContext</t>
  </si>
  <si>
    <t>KV cache preallocation capacity.</t>
  </si>
  <si>
    <t>Model</t>
  </si>
  <si>
    <t>Hidden size</t>
  </si>
  <si>
    <t>HiddenSize</t>
  </si>
  <si>
    <t>elements</t>
  </si>
  <si>
    <t>Transformer residual width.</t>
  </si>
  <si>
    <t>Vocabulary size</t>
  </si>
  <si>
    <t>VocabSize</t>
  </si>
  <si>
    <t>Embedding and LM-head vocabulary.</t>
  </si>
  <si>
    <t>Attention</t>
  </si>
  <si>
    <t>Query heads</t>
  </si>
  <si>
    <t>NumHeads</t>
  </si>
  <si>
    <t>heads</t>
  </si>
  <si>
    <t>Global Q-head count.</t>
  </si>
  <si>
    <t>Head dimension</t>
  </si>
  <si>
    <t>HeadDim</t>
  </si>
  <si>
    <t>Shared latent KV width and per-Q-head width.</t>
  </si>
  <si>
    <t>RoPE dimension</t>
  </si>
  <si>
    <t>RopeDim</t>
  </si>
  <si>
    <t>Rotary dimensions inside HeadDim.</t>
  </si>
  <si>
    <t>Q LoRA rank</t>
  </si>
  <si>
    <t>QLoraRank</t>
  </si>
  <si>
    <t>Low-rank intermediate width for Q.</t>
  </si>
  <si>
    <t>Output groups</t>
  </si>
  <si>
    <t>OGroups</t>
  </si>
  <si>
    <t>groups</t>
  </si>
  <si>
    <t>Grouped low-rank output projection groups.</t>
  </si>
  <si>
    <t>Output LoRA rank</t>
  </si>
  <si>
    <t>OLoraRank</t>
  </si>
  <si>
    <t>Per-group output low-rank width.</t>
  </si>
  <si>
    <t>MoE</t>
  </si>
  <si>
    <t>Routed experts</t>
  </si>
  <si>
    <t>RoutedExperts</t>
  </si>
  <si>
    <t>experts</t>
  </si>
  <si>
    <t>Global routed-expert count per block.</t>
  </si>
  <si>
    <t>Activated experts</t>
  </si>
  <si>
    <t>ActivatedExperts</t>
  </si>
  <si>
    <t>experts/token</t>
  </si>
  <si>
    <t>Top-K routed experts per token.</t>
  </si>
  <si>
    <t>Shared experts</t>
  </si>
  <si>
    <t>SharedExperts</t>
  </si>
  <si>
    <t>Replicated shared experts per block.</t>
  </si>
  <si>
    <t>Expert intermediate size</t>
  </si>
  <si>
    <t>ExpertInter</t>
  </si>
  <si>
    <t>SwiGLU expert intermediate width.</t>
  </si>
  <si>
    <t>Cache</t>
  </si>
  <si>
    <t>Raw sliding window</t>
  </si>
  <si>
    <t>WindowSize</t>
  </si>
  <si>
    <t>Raw KV positions retained per layer.</t>
  </si>
  <si>
    <t>Short compression ratio</t>
  </si>
  <si>
    <t>ShortRatio</t>
  </si>
  <si>
    <t>tokens/entry</t>
  </si>
  <si>
    <t>Default ratio-4 mode.</t>
  </si>
  <si>
    <t>Long compression ratio</t>
  </si>
  <si>
    <t>LongRatio</t>
  </si>
  <si>
    <t>Default ratio-128 mode.</t>
  </si>
  <si>
    <t>Indexer</t>
  </si>
  <si>
    <t>Indexer heads</t>
  </si>
  <si>
    <t>IndexHeads</t>
  </si>
  <si>
    <t>Global ratio-4 indexer heads.</t>
  </si>
  <si>
    <t>Indexer head dimension</t>
  </si>
  <si>
    <t>IndexHeadDim</t>
  </si>
  <si>
    <t>Indexer Q/K dimension.</t>
  </si>
  <si>
    <t>Indexer Top-K</t>
  </si>
  <si>
    <t>IndexTopK</t>
  </si>
  <si>
    <t>entries</t>
  </si>
  <si>
    <t>Compressed entries retained by ratio-4 attention.</t>
  </si>
  <si>
    <t>HC</t>
  </si>
  <si>
    <t>HC slots</t>
  </si>
  <si>
    <t>HCSlots</t>
  </si>
  <si>
    <t>streams</t>
  </si>
  <si>
    <t>Hyper-Connection residual streams.</t>
  </si>
  <si>
    <t>Sinkhorn iterations</t>
  </si>
  <si>
    <t>HCIters</t>
  </si>
  <si>
    <t>iterations</t>
  </si>
  <si>
    <t>HC combination normalization iterations.</t>
  </si>
  <si>
    <t>Routing</t>
  </si>
  <si>
    <t>Hash-routed layers</t>
  </si>
  <si>
    <t>HashLayers</t>
  </si>
  <si>
    <t>layers</t>
  </si>
  <si>
    <t>First active layers using token-ID routing.</t>
  </si>
  <si>
    <t>DType</t>
  </si>
  <si>
    <t>BF16 bytes</t>
  </si>
  <si>
    <t>BF16Bytes</t>
  </si>
  <si>
    <t>bytes</t>
  </si>
  <si>
    <t>Storage bytes per BF16 element.</t>
  </si>
  <si>
    <t>FP32 bytes</t>
  </si>
  <si>
    <t>FP32Bytes</t>
  </si>
  <si>
    <t>Storage bytes per FP32 element.</t>
  </si>
  <si>
    <t>FP8 bytes</t>
  </si>
  <si>
    <t>FP8Bytes</t>
  </si>
  <si>
    <t>Storage bytes per FP8 element.</t>
  </si>
  <si>
    <t>FP4 bytes</t>
  </si>
  <si>
    <t>FP4Bytes</t>
  </si>
  <si>
    <t>Logical packed bytes per FP4 element.</t>
  </si>
  <si>
    <t>Scale bytes</t>
  </si>
  <si>
    <t>ScaleBytes</t>
  </si>
  <si>
    <t>E8M0 scale storage.</t>
  </si>
  <si>
    <t>INT32 bytes</t>
  </si>
  <si>
    <t>INT32Bytes</t>
  </si>
  <si>
    <t>Storage bytes per INT32 element.</t>
  </si>
  <si>
    <t>INT64 bytes</t>
  </si>
  <si>
    <t>INT64Bytes</t>
  </si>
  <si>
    <t>Storage bytes per INT64 element.</t>
  </si>
  <si>
    <t>Quantization</t>
  </si>
  <si>
    <t>FP8 scale block</t>
  </si>
  <si>
    <t>FP8Block</t>
  </si>
  <si>
    <t>2D FP8 weight scale block.</t>
  </si>
  <si>
    <t>FP4 scale block</t>
  </si>
  <si>
    <t>FP4Block</t>
  </si>
  <si>
    <t>FP4 expert scale block along K.</t>
  </si>
  <si>
    <t>Kernel</t>
  </si>
  <si>
    <t>Minimum sparse-attention heads</t>
  </si>
  <si>
    <t>KernelMinHeads</t>
  </si>
  <si>
    <t>Kernel pads local heads below this value.</t>
  </si>
  <si>
    <t>Hardware</t>
  </si>
  <si>
    <t>Peak compute</t>
  </si>
  <si>
    <t>PeakTFLOPs</t>
  </si>
  <si>
    <t>TFLOP/s</t>
  </si>
  <si>
    <t>Editable illustrative hardware peak.</t>
  </si>
  <si>
    <t>HBM bandwidth</t>
  </si>
  <si>
    <t>HBMBandwidthGBps</t>
  </si>
  <si>
    <t>GB/s</t>
  </si>
  <si>
    <t>Editable sustained/target HBM bandwidth.</t>
  </si>
  <si>
    <t>Interconnect bandwidth</t>
  </si>
  <si>
    <t>InterconnectGBps</t>
  </si>
  <si>
    <t>Editable effective bidirectional bandwidth.</t>
  </si>
  <si>
    <t>Prefill target latency</t>
  </si>
  <si>
    <t>PrefillTargetMs</t>
  </si>
  <si>
    <t>ms</t>
  </si>
  <si>
    <t>Used to derive required throughput.</t>
  </si>
  <si>
    <t>Decode target latency</t>
  </si>
  <si>
    <t>DecodeTargetMs</t>
  </si>
  <si>
    <t>Derived</t>
  </si>
  <si>
    <t>Active layers</t>
  </si>
  <si>
    <t>TotalLayers</t>
  </si>
  <si>
    <t>Count of active Layer_Config rows.</t>
  </si>
  <si>
    <t>Window-only layers</t>
  </si>
  <si>
    <t>WindowLayers</t>
  </si>
  <si>
    <t>Active window-only rows.</t>
  </si>
  <si>
    <t>Short-compression layers</t>
  </si>
  <si>
    <t>ShortLayers</t>
  </si>
  <si>
    <t>Active ratio-4/short rows.</t>
  </si>
  <si>
    <t>Long-compression layers</t>
  </si>
  <si>
    <t>LongLayers</t>
  </si>
  <si>
    <t>Active ratio-128/long rows.</t>
  </si>
  <si>
    <t>Active hash layers</t>
  </si>
  <si>
    <t>ActiveHashLayers</t>
  </si>
  <si>
    <t>Active layer IDs below HashLayers.</t>
  </si>
  <si>
    <t>Local Q heads</t>
  </si>
  <si>
    <t>LocalHeads</t>
  </si>
  <si>
    <t>heads/rank</t>
  </si>
  <si>
    <t>Q heads assigned to one rank.</t>
  </si>
  <si>
    <t>Kernel local heads</t>
  </si>
  <si>
    <t>KernelLocalHeads</t>
  </si>
  <si>
    <t>Physical sparse-kernel heads after padding.</t>
  </si>
  <si>
    <t>Local index heads</t>
  </si>
  <si>
    <t>LocalIndexHeads</t>
  </si>
  <si>
    <t>Indexer heads assigned to one rank.</t>
  </si>
  <si>
    <t>Local experts</t>
  </si>
  <si>
    <t>LocalExperts</t>
  </si>
  <si>
    <t>experts/rank</t>
  </si>
  <si>
    <t>Routed experts resident on one rank.</t>
  </si>
  <si>
    <t>Local output groups</t>
  </si>
  <si>
    <t>LocalOGroups</t>
  </si>
  <si>
    <t>groups/rank</t>
  </si>
  <si>
    <t>Output groups assigned to one rank.</t>
  </si>
  <si>
    <t>Local vocabulary</t>
  </si>
  <si>
    <t>LocalVocab</t>
  </si>
  <si>
    <t>tokens/rank</t>
  </si>
  <si>
    <t>Vocabulary rows assigned to one rank.</t>
  </si>
  <si>
    <t>Architecture validation</t>
  </si>
  <si>
    <t>Q heads divisible by TP</t>
  </si>
  <si>
    <t>Experts divisible by TP</t>
  </si>
  <si>
    <t>Output groups divisible by TP</t>
  </si>
  <si>
    <t>Indexer heads divisible by TP</t>
  </si>
  <si>
    <t>Top-K is valid</t>
  </si>
  <si>
    <t>RoPE fits in head</t>
  </si>
  <si>
    <t>Per-Layer Attention and Routing Configuration</t>
  </si>
  <si>
    <t>Edit Active and Mode. Compression ratio and routing behavior update automatically.</t>
  </si>
  <si>
    <t>Layer ID</t>
  </si>
  <si>
    <t>Active</t>
  </si>
  <si>
    <t>Mode</t>
  </si>
  <si>
    <t>Compression ratio</t>
  </si>
  <si>
    <t>Attention behavior</t>
  </si>
  <si>
    <t>Routing behavior</t>
  </si>
  <si>
    <t>window</t>
  </si>
  <si>
    <t>short</t>
  </si>
  <si>
    <t>long</t>
  </si>
  <si>
    <t>8K Prefill - Formula Model</t>
  </si>
  <si>
    <t>All numeric result cells below are Excel formulas. Change blue cells in Parameters or Layer_Config.</t>
  </si>
  <si>
    <t>Helper metric</t>
  </si>
  <si>
    <t>Excel formula</t>
  </si>
  <si>
    <t>Token rows</t>
  </si>
  <si>
    <t>token rows</t>
  </si>
  <si>
    <t>Causal raw-window pairs</t>
  </si>
  <si>
    <t>pairs/sequence</t>
  </si>
  <si>
    <t>Capped short-compressed pairs</t>
  </si>
  <si>
    <t>Long-compressed pairs</t>
  </si>
  <si>
    <t>Indexer scan pairs</t>
  </si>
  <si>
    <t>Expert activation probability</t>
  </si>
  <si>
    <t>probability</t>
  </si>
  <si>
    <t>Scenario summary</t>
  </si>
  <si>
    <t>Metric</t>
  </si>
  <si>
    <t>Attention major FLOPs/rank</t>
  </si>
  <si>
    <t>FLOPs</t>
  </si>
  <si>
    <t>MoE major FLOPs/rank</t>
  </si>
  <si>
    <t>Total FLOPs/rank</t>
  </si>
  <si>
    <t>Total aggregate FLOPs</t>
  </si>
  <si>
    <t>HBM read/rank</t>
  </si>
  <si>
    <t>HBM write/rank</t>
  </si>
  <si>
    <t>HBM total/rank</t>
  </si>
  <si>
    <t>Interconnect/rank</t>
  </si>
  <si>
    <t>Arithmetic intensity</t>
  </si>
  <si>
    <t>FLOPs/byte</t>
  </si>
  <si>
    <t>Required compute at target</t>
  </si>
  <si>
    <t>Required HBM at target</t>
  </si>
  <si>
    <t>Compute lower bound</t>
  </si>
  <si>
    <t>HBM lower bound</t>
  </si>
  <si>
    <t>Interconnect lower bound</t>
  </si>
  <si>
    <t>Detailed calculation rows</t>
  </si>
  <si>
    <t>Item</t>
  </si>
  <si>
    <t>Layer scope</t>
  </si>
  <si>
    <t>Readable formula</t>
  </si>
  <si>
    <t>Global FLOPs</t>
  </si>
  <si>
    <t>Per-rank FLOPs</t>
  </si>
  <si>
    <t>HBM read/rank (B)</t>
  </si>
  <si>
    <t>HBM write/rank (B)</t>
  </si>
  <si>
    <t>HBM total/rank (B)</t>
  </si>
  <si>
    <t>Interconnect/rank (B)</t>
  </si>
  <si>
    <t>Accounting</t>
  </si>
  <si>
    <t>Notes</t>
  </si>
  <si>
    <t>Q/K/O projections</t>
  </si>
  <si>
    <t>All active layers</t>
  </si>
  <si>
    <t>2*rows*layers*(Wq_a+Wq_b+Wkv+Wo_a+Wo_b)</t>
  </si>
  <si>
    <t>Major</t>
  </si>
  <si>
    <t>Wq_a and Wkv are replicated; Wq_b/Wo_a/Wo_b are TP-sharded.</t>
  </si>
  <si>
    <t>Sparse attention QK + AV</t>
  </si>
  <si>
    <t>Window/short/long layer mix</t>
  </si>
  <si>
    <t>4*batch*heads*head_dim*sum(candidate pairs)</t>
  </si>
  <si>
    <t>KV is shared across heads; per-rank kernel heads include minimum-head padding.</t>
  </si>
  <si>
    <t>Ratio-4 Indexer projections</t>
  </si>
  <si>
    <t>2*rows*short_layers*(q_rank*index_heads*index_dim+hidden*index_heads)</t>
  </si>
  <si>
    <t>Indexer Q and token-weight projections; only ratio-4 layers use it.</t>
  </si>
  <si>
    <t>Ratio-4 Indexer score scan</t>
  </si>
  <si>
    <t>2*batch*short_layers*index_heads*index_dim*causal compressed pairs</t>
  </si>
  <si>
    <t>Scans all completed ratio-4 index entries before Top-K selection.</t>
  </si>
  <si>
    <t>Main KV compressor projections</t>
  </si>
  <si>
    <t>All compressed-KV layers</t>
  </si>
  <si>
    <t>rows*(short_layers*8*hidden*head_dim+long_layers*4*hidden*head_dim)</t>
  </si>
  <si>
    <t>Replicated on every TP rank; ratio-4 uses overlapping 2x projections.</t>
  </si>
  <si>
    <t>Indexer compressor projections</t>
  </si>
  <si>
    <t>rows*short_layers*8*hidden*index_dim</t>
  </si>
  <si>
    <t>Replicated auxiliary compressor used to build the Indexer cache.</t>
  </si>
  <si>
    <t>Router score projection</t>
  </si>
  <si>
    <t>2*rows*layers*hidden*routed_experts</t>
  </si>
  <si>
    <t>The source computes gate scores even in hash-routed layers.</t>
  </si>
  <si>
    <t>Top-K routed experts</t>
  </si>
  <si>
    <t>rows*layers*top_k*(W1+W3+W2), MAC=2 FLOPs</t>
  </si>
  <si>
    <t>Balanced expected assignments per rank; parameter read uses expert activation probability.</t>
  </si>
  <si>
    <t>Shared expert</t>
  </si>
  <si>
    <t>rows*layers*shared_experts*(W1+W3+W2), MAC=2 FLOPs</t>
  </si>
  <si>
    <t>Shared experts are replicated and computed independently on every TP rank.</t>
  </si>
  <si>
    <t>Other</t>
  </si>
  <si>
    <t>Hyper-Connections and block norms</t>
  </si>
  <si>
    <t>Two HC pre/post paths per block; Sinkhorn special math excluded</t>
  </si>
  <si>
    <t>Auxiliary</t>
  </si>
  <si>
    <t>Approximate HC arithmetic; sigmoid/exp are tracked qualitatively.</t>
  </si>
  <si>
    <t>LM head</t>
  </si>
  <si>
    <t>Tail</t>
  </si>
  <si>
    <t>2*batch_or_decode_rows*hidden*vocab; prefill uses last token only</t>
  </si>
  <si>
    <t>The inference path computes logits only from the final hidden token.</t>
  </si>
  <si>
    <t>Communication</t>
  </si>
  <si>
    <t>TP collectives</t>
  </si>
  <si>
    <t>Embedding + each block + LM head</t>
  </si>
  <si>
    <t>Ring AllReduce/AllGather send+receive bytes per rank</t>
  </si>
  <si>
    <t>Zero at TP=1. This is transfer volume, not HBM traffic.</t>
  </si>
  <si>
    <t>1M-context Decode - Formula Model</t>
  </si>
  <si>
    <t>Raw-window candidates</t>
  </si>
  <si>
    <t>Short-compressed Top-K candidates</t>
  </si>
  <si>
    <t>Long-compressed candidates</t>
  </si>
  <si>
    <t>Indexer scan candidates</t>
  </si>
  <si>
    <t>Per-Rank Parameter and KV Capacity</t>
  </si>
  <si>
    <t>All capacities are formulas. Runtime allocator overhead and transient kernel workspace are excluded.</t>
  </si>
  <si>
    <t>Bytes/rank</t>
  </si>
  <si>
    <t>GB/rank</t>
  </si>
  <si>
    <t>GiB/rank</t>
  </si>
  <si>
    <t>Parameters</t>
  </si>
  <si>
    <t>Embedding</t>
  </si>
  <si>
    <t>VocabSize/TPSize*HiddenSize*BF16Bytes</t>
  </si>
  <si>
    <t>Vocabulary sharded.</t>
  </si>
  <si>
    <t>VocabSize/TPSize*HiddenSize*FP32Bytes</t>
  </si>
  <si>
    <t>Independent FP32 inference head.</t>
  </si>
  <si>
    <t>Core attention projections</t>
  </si>
  <si>
    <t>TotalLayers*(((HiddenSize)*(QLoraRank)*FP8Bytes+ROUNDUP((HiddenSize)/FP8Block,0)*ROUNDUP((QLoraRank)/FP8Block,0)*ScaleBytes)+((QLoraRank)*(LocalHeads*HeadDim)*FP8Bytes+ROUNDUP((QLoraRank)/FP8Block,0)*ROUNDUP((LocalHeads*HeadDim)/FP8Block,0)*ScaleBytes)+((HiddenSize)*(HeadDim)*FP8Bytes+ROUNDUP((HiddenSize)/FP8Block,0)*ROUNDUP((HeadDim)/FP8Block,0)*ScaleBytes)+LocalHeads*HeadDim*OLoraRank*BF16Bytes+((LocalOGroups*OLoraRank)*(HiddenSize)*FP8Bytes+ROUNDUP((LocalOGroups*OLoraRank)/FP8Block,0)*ROUNDUP((HiddenSize)/FP8Block,0)*ScaleBytes))</t>
  </si>
  <si>
    <t>Includes FP8 scales; Wo_a is BF16 after conversion.</t>
  </si>
  <si>
    <t>Main KV compressors</t>
  </si>
  <si>
    <t>ShortLayers*(2*HiddenSize*(2*HeadDim)*FP32Bytes+ShortRatio*2*HeadDim*FP32Bytes+HeadDim*FP32Bytes)+LongLayers*(2*HiddenSize*HeadDim*FP32Bytes+LongRatio*HeadDim*FP32Bytes+HeadDim*FP32Bytes)</t>
  </si>
  <si>
    <t>Replicated across TP ranks.</t>
  </si>
  <si>
    <t>Ratio-4 Indexers</t>
  </si>
  <si>
    <t>ShortLayers*(((QLoraRank)*(LocalIndexHeads*IndexHeadDim)*FP8Bytes+ROUNDUP((QLoraRank)/FP8Block,0)*ROUNDUP((LocalIndexHeads*IndexHeadDim)/FP8Block,0)*ScaleBytes)+HiddenSize*LocalIndexHeads*BF16Bytes+2*HiddenSize*(2*IndexHeadDim)*FP32Bytes+ShortRatio*2*IndexHeadDim*FP32Bytes+IndexHeadDim*FP32Bytes)</t>
  </si>
  <si>
    <t>Indexer projections plus its compressor.</t>
  </si>
  <si>
    <t>TotalLayers*LocalExperts*(3*HiddenSize*ExpertInter*FP4Bytes+3*HiddenSize*ExpertInter/FP4Block*ScaleBytes)</t>
  </si>
  <si>
    <t>FP4 packed weights and per-32 scales.</t>
  </si>
  <si>
    <t>TotalLayers*SharedExperts*(2*((HiddenSize)*(ExpertInter)*FP8Bytes+ROUNDUP((HiddenSize)/FP8Block,0)*ROUNDUP((ExpertInter)/FP8Block,0)*ScaleBytes)+((ExpertInter)*(HiddenSize)*FP8Bytes+ROUNDUP((ExpertInter)/FP8Block,0)*ROUNDUP((HiddenSize)/FP8Block,0)*ScaleBytes))</t>
  </si>
  <si>
    <t>Replicated FP8 shared experts.</t>
  </si>
  <si>
    <t>Router and hash tables</t>
  </si>
  <si>
    <t>TotalLayers*RoutedExperts*HiddenSize*BF16Bytes+(TotalLayers-ActiveHashLayers)*RoutedExperts*FP32Bytes+ActiveHashLayers*VocabSize*ActivatedExperts*INT32Bytes</t>
  </si>
  <si>
    <t>Gate weight, score bias, and token-to-expert tables.</t>
  </si>
  <si>
    <t>Hyper-Connections</t>
  </si>
  <si>
    <t>TotalLayers*2*(((2+HCSlots)*HCSlots)*HCSlots*HiddenSize*FP32Bytes+(((2+HCSlots)*HCSlots)+3)*FP32Bytes)</t>
  </si>
  <si>
    <t>Two HC parameter sets per block.</t>
  </si>
  <si>
    <t>Norms and attention sinks</t>
  </si>
  <si>
    <t>TotalLayers*(2*HiddenSize+QLoraRank+HeadDim+LocalHeads)*FP32Bytes</t>
  </si>
  <si>
    <t>Block norms, Q/KV norms, local sink.</t>
  </si>
  <si>
    <t>Tail HC and final norm</t>
  </si>
  <si>
    <t>HCSlots*HCSlots*HiddenSize*FP32Bytes+(HCSlots+1)*FP32Bytes+HiddenSize*FP32Bytes</t>
  </si>
  <si>
    <t>Final HC reduction and RMSNorm.</t>
  </si>
  <si>
    <t>Total parameter capacity/rank</t>
  </si>
  <si>
    <t>SUM(parameter rows)</t>
  </si>
  <si>
    <t>Static runtime parameter estimate; excludes MTP.</t>
  </si>
  <si>
    <t>KV Cache</t>
  </si>
  <si>
    <t>Prefill effective main KV</t>
  </si>
  <si>
    <t>PrefillBatch*HeadDim*BF16Bytes*(WindowLayers*MIN(PrefillSequence,WindowSize)+ShortLayers*(MIN(PrefillSequence,WindowSize)+INT(PrefillSequence/ShortRatio))+LongLayers*(MIN(PrefillSequence,WindowSize)+INT(PrefillSequence/LongRatio)))</t>
  </si>
  <si>
    <t>Raw plus generated compressed main-attention KV.</t>
  </si>
  <si>
    <t>Prefill effective Indexer KV</t>
  </si>
  <si>
    <t>PrefillBatch*ShortLayers*INT(PrefillSequence/ShortRatio)*IndexHeadDim*BF16Bytes</t>
  </si>
  <si>
    <t>Ratio-4 index cache actually populated by 8K prefill.</t>
  </si>
  <si>
    <t>Prefill compressor states</t>
  </si>
  <si>
    <t>PrefillBatch*FP32Bytes*(ShortLayers*2*(2*ShortRatio)*(2*HeadDim)+LongLayers*2*LongRatio*HeadDim+ShortLayers*2*(2*ShortRatio)*(2*IndexHeadDim))</t>
  </si>
  <si>
    <t>Main and Indexer incremental compressor states.</t>
  </si>
  <si>
    <t>Prefill 1M preallocated cache</t>
  </si>
  <si>
    <t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t>
  </si>
  <si>
    <t>Current implementation allocates from max context.</t>
  </si>
  <si>
    <t>Decode effective main KV</t>
  </si>
  <si>
    <t>DecodeBatch*HeadDim*BF16Bytes*(WindowLayers*MIN(DecodeContext,WindowSize)+ShortLayers*(MIN(DecodeContext,WindowSize)+INT(DecodeContext/ShortRatio))+LongLayers*(MIN(DecodeContext,WindowSize)+INT(DecodeContext/LongRatio)))</t>
  </si>
  <si>
    <t>Raw plus compressed main-attention KV at DecodeContext.</t>
  </si>
  <si>
    <t>Decode effective Indexer KV</t>
  </si>
  <si>
    <t>DecodeBatch*ShortLayers*INT(DecodeContext/ShortRatio)*IndexHeadDim*BF16Bytes</t>
  </si>
  <si>
    <t>Ratio-4 index cache at DecodeContext.</t>
  </si>
  <si>
    <t>Decode compressor states</t>
  </si>
  <si>
    <t>DecodeBatch*FP32Bytes*(ShortLayers*2*(2*ShortRatio)*(2*HeadDim)+LongLayers*2*LongRatio*HeadDim+ShortLayers*2*(2*ShortRatio)*(2*IndexHeadDim))</t>
  </si>
  <si>
    <t>Decode 1M preallocated cache</t>
  </si>
  <si>
    <t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t>
  </si>
  <si>
    <t>Allocated cache and states for DecodeBatch.</t>
  </si>
  <si>
    <t>Transient</t>
  </si>
  <si>
    <t>Prefill largest major activation</t>
  </si>
  <si>
    <t>MAX(PrefillBatch*PrefillSequence*HCSlots*HiddenSize*BF16Bytes,PrefillBatch*PrefillSequence*NumHeads*HeadDim*BF16Bytes)</t>
  </si>
  <si>
    <t>Max of HC state and full Q tensor; not allocator peak.</t>
  </si>
  <si>
    <t>Decode largest major activation</t>
  </si>
  <si>
    <t>MAX(DecodeBatch*DecodeTokens*HCSlots*HiddenSize*BF16Bytes,DecodeBatch*DecodeTokens*NumHeads*HeadDim*BF16Bytes)</t>
  </si>
  <si>
    <t>Prefill 8K vs Decode 1M</t>
  </si>
  <si>
    <t>Values reference the two scenario sheets and update when inputs change.</t>
  </si>
  <si>
    <t>Prefill 8K</t>
  </si>
  <si>
    <t>Decode 1M</t>
  </si>
  <si>
    <t>Interpretation</t>
  </si>
  <si>
    <t>Attention FLOPs/rank</t>
  </si>
  <si>
    <t>Per-rank logical/physical calculation according to TP and kernel padding.</t>
  </si>
  <si>
    <t>MoE FLOPs/rank</t>
  </si>
  <si>
    <t>Other FLOPs/rank</t>
  </si>
  <si>
    <t>Attention HBM traffic/rank</t>
  </si>
  <si>
    <t>Logical reads plus writes; cache/fusion effects are not simulated.</t>
  </si>
  <si>
    <t>MoE HBM traffic/rank</t>
  </si>
  <si>
    <t>Other HBM traffic/rank</t>
  </si>
  <si>
    <t>Attention HBM share</t>
  </si>
  <si>
    <t>fraction</t>
  </si>
  <si>
    <t>Share of modeled per-rank logical HBM reads plus writes.</t>
  </si>
  <si>
    <t>MoE HBM share</t>
  </si>
  <si>
    <t>Other HBM share</t>
  </si>
  <si>
    <t>Effective KV + state</t>
  </si>
  <si>
    <t>Scenario-populated cache and compressor states.</t>
  </si>
  <si>
    <t>Preallocated KV + state</t>
  </si>
  <si>
    <t>Capacity reserved from MaxContext and each scenario batch.</t>
  </si>
  <si>
    <t>Parameters/rank</t>
  </si>
  <si>
    <t>Weights do not scale with batch or sequence length.</t>
  </si>
  <si>
    <t>Methodology and Limits</t>
  </si>
  <si>
    <t>Topic</t>
  </si>
  <si>
    <t>Definition</t>
  </si>
  <si>
    <t>Scope</t>
  </si>
  <si>
    <t>43-layer main inference path by default; MTP is excluded. Layer_Config may activate/deactivate up to 64 rows.</t>
  </si>
  <si>
    <t>Matrix multiply-accumulate counts as 2 FLOPs. Main Attention and MoE rows are exact major GEMM estimates; HC and elementwise work is approximate.</t>
  </si>
  <si>
    <t>Prefill attention</t>
  </si>
  <si>
    <t>Uses causal pair counts, not S*S blindly. Raw window pairs, compressed pairs, and Indexer scan pairs are separate formulas.</t>
  </si>
  <si>
    <t>Decode attention</t>
  </si>
  <si>
    <t>Each DecodeTokens item is modeled at DecodeContext. Ratio-4 main attention uses Top-K, while its Indexer scans all compressed entries.</t>
  </si>
  <si>
    <t>Compute uses Top-K routed assignments plus SharedExperts. Routed parameter reads use the probability that an expert is touched at least once.</t>
  </si>
  <si>
    <t>HBM traffic</t>
  </si>
  <si>
    <t>Logical parameter/activation/KV reads and writes. It does not model L2 reuse, fusion, tiling, allocator behavior, or compression in a vendor kernel.</t>
  </si>
  <si>
    <t>Memory</t>
  </si>
  <si>
    <t>Parameter capacity follows inference runtime dtypes: routed FP4, most projections FP8, Wo_a BF16, compressor FP32, and LM head FP32.</t>
  </si>
  <si>
    <t>KV cache</t>
  </si>
  <si>
    <t>Effective cache reports populated entries. Preallocated cache uses MaxContext. KV is replicated on every TP rank in the current implementation.</t>
  </si>
  <si>
    <t>TP</t>
  </si>
  <si>
    <t>Wq_a, Wkv, compressors, router, HC, and shared experts are replicated. Q/O shards, routed experts, vocabulary, and LM head are divided by TP.</t>
  </si>
  <si>
    <t>Ring formulas report send+receive transfer bytes per rank. TP=1 is zero. This is not an observed GB/s or latency.</t>
  </si>
  <si>
    <t>Roofline</t>
  </si>
  <si>
    <t>Compute/HBM/interconnect lower bounds use editable hardware cells and assume no overlap. Real runtime requires profiling.</t>
  </si>
  <si>
    <t>Units</t>
  </si>
  <si>
    <t>GB uses 10^9 bytes; GiB uses 2^30 bytes; TFLOP uses 10^12 FLOPs.</t>
  </si>
  <si>
    <t>Formula maintenance</t>
  </si>
  <si>
    <t>Blue cells are inputs. Green and result cells contain formulas and cached baseline values. Excel is configured to recalculate on open.</t>
  </si>
</sst>
</file>

<file path=xl/styles.xml><?xml version="1.0" encoding="utf-8"?>
<styleSheet xmlns="http://schemas.openxmlformats.org/spreadsheetml/2006/main">
  <numFmts count="5">
    <numFmt numFmtId="164" formatCode="0.########"/>
    <numFmt numFmtId="165" formatCode="#,##0"/>
    <numFmt numFmtId="166" formatCode="0.000E+00"/>
    <numFmt numFmtId="167" formatCode="0.000"/>
    <numFmt numFmtId="168" formatCode="#,##0.000"/>
  </numFmts>
  <fonts count="6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4" fontId="0" fillId="4" borderId="1" xfId="0" applyNumberFormat="1" applyFill="1" applyBorder="1"/>
    <xf numFmtId="0" fontId="3" fillId="5" borderId="1" xfId="0" applyFont="1" applyFill="1" applyBorder="1"/>
    <xf numFmtId="0" fontId="4" fillId="6" borderId="1" xfId="0" applyFont="1" applyFill="1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168" fontId="0" fillId="0" borderId="1" xfId="0" applyNumberFormat="1" applyBorder="1"/>
    <xf numFmtId="168" fontId="5" fillId="7" borderId="1" xfId="0" applyNumberFormat="1" applyFont="1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Per-rank FLOPs distribution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Prefill 8K</c:v>
          </c:tx>
          <c:cat>
            <c:strRef>
              <c:f>Comparison!$A$5:$A$7</c:f>
              <c:strCache>
                <c:ptCount val="3"/>
                <c:pt idx="0">
                  <c:v>Attention FLOPs/rank</c:v>
                </c:pt>
                <c:pt idx="1">
                  <c:v>MoE FLOPs/rank</c:v>
                </c:pt>
                <c:pt idx="2">
                  <c:v>Other FLOPs/rank</c:v>
                </c:pt>
              </c:strCache>
            </c:strRef>
          </c:cat>
          <c:val>
            <c:numRef>
              <c:f>Comparison!$B$5:$B$7</c:f>
              <c:numCache>
                <c:formatCode>General</c:formatCode>
                <c:ptCount val="3"/>
                <c:pt idx="0">
                  <c:v>102836037746688.0</c:v>
                </c:pt>
                <c:pt idx="1">
                  <c:v>124846109360128.0</c:v>
                </c:pt>
                <c:pt idx="2">
                  <c:v>702280286208.0</c:v>
                </c:pt>
              </c:numCache>
            </c:numRef>
          </c:val>
        </c:ser>
        <c:ser>
          <c:idx val="1"/>
          <c:order val="1"/>
          <c:tx>
            <c:v>Decode 1M</c:v>
          </c:tx>
          <c:cat>
            <c:strRef>
              <c:f>Comparison!$A$5:$A$7</c:f>
              <c:strCache>
                <c:ptCount val="3"/>
                <c:pt idx="0">
                  <c:v>Attention FLOPs/rank</c:v>
                </c:pt>
                <c:pt idx="1">
                  <c:v>MoE FLOPs/rank</c:v>
                </c:pt>
                <c:pt idx="2">
                  <c:v>Other FLOPs/rank</c:v>
                </c:pt>
              </c:strCache>
            </c:strRef>
          </c:cat>
          <c:val>
            <c:numRef>
              <c:f>Comparison!$C$5:$C$7</c:f>
              <c:numCache>
                <c:formatCode>General</c:formatCode>
                <c:ptCount val="3"/>
                <c:pt idx="0">
                  <c:v>123969470464.0</c:v>
                </c:pt>
                <c:pt idx="1">
                  <c:v>15240003584.0</c:v>
                </c:pt>
                <c:pt idx="2">
                  <c:v>1144660054.0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logBase val="10"/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FLOPs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Per-rank logical HBM traffic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Prefill 8K</c:v>
          </c:tx>
          <c:cat>
            <c:strRef>
              <c:f>Comparison!$A$8:$A$10</c:f>
              <c:strCache>
                <c:ptCount val="3"/>
                <c:pt idx="0">
                  <c:v>Attention HBM traffic/rank</c:v>
                </c:pt>
                <c:pt idx="1">
                  <c:v>MoE HBM traffic/rank</c:v>
                </c:pt>
                <c:pt idx="2">
                  <c:v>Other HBM traffic/rank</c:v>
                </c:pt>
              </c:strCache>
            </c:strRef>
          </c:cat>
          <c:val>
            <c:numRef>
              <c:f>Comparison!$B$8:$B$10</c:f>
              <c:numCache>
                <c:formatCode>General</c:formatCode>
                <c:ptCount val="3"/>
                <c:pt idx="0">
                  <c:v>358037814400.0</c:v>
                </c:pt>
                <c:pt idx="1">
                  <c:v>191988670976.0</c:v>
                </c:pt>
                <c:pt idx="2">
                  <c:v>94595729480.0</c:v>
                </c:pt>
              </c:numCache>
            </c:numRef>
          </c:val>
        </c:ser>
        <c:ser>
          <c:idx val="1"/>
          <c:order val="1"/>
          <c:tx>
            <c:v>Decode 1M</c:v>
          </c:tx>
          <c:cat>
            <c:strRef>
              <c:f>Comparison!$A$8:$A$10</c:f>
              <c:strCache>
                <c:ptCount val="3"/>
                <c:pt idx="0">
                  <c:v>Attention HBM traffic/rank</c:v>
                </c:pt>
                <c:pt idx="1">
                  <c:v>MoE HBM traffic/rank</c:v>
                </c:pt>
                <c:pt idx="2">
                  <c:v>Other HBM traffic/rank</c:v>
                </c:pt>
              </c:strCache>
            </c:strRef>
          </c:cat>
          <c:val>
            <c:numRef>
              <c:f>Comparison!$C$8:$C$10</c:f>
              <c:numCache>
                <c:formatCode>General</c:formatCode>
                <c:ptCount val="3"/>
                <c:pt idx="0">
                  <c:v>10492228352.0</c:v>
                </c:pt>
                <c:pt idx="1">
                  <c:v>4627033672.0</c:v>
                </c:pt>
                <c:pt idx="2">
                  <c:v>2265204808.0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logBase val="10"/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Bytes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15</xdr:col>
      <xdr:colOff>228600</xdr:colOff>
      <xdr:row>19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20</xdr:row>
      <xdr:rowOff>0</xdr:rowOff>
    </xdr:from>
    <xdr:to>
      <xdr:col>15</xdr:col>
      <xdr:colOff>228600</xdr:colOff>
      <xdr:row>36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65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16.7109375" customWidth="1"/>
    <col min="6" max="6" width="58.7109375" customWidth="1"/>
    <col min="7" max="7" width="16.7109375" customWidth="1"/>
  </cols>
  <sheetData>
    <row r="1" spans="1:7">
      <c r="A1" s="1" t="s">
        <v>0</v>
      </c>
    </row>
    <row r="2" spans="1:7">
      <c r="A2" s="2" t="s">
        <v>1</v>
      </c>
    </row>
    <row r="3" spans="1:7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7">
      <c r="A4" s="4" t="s">
        <v>9</v>
      </c>
      <c r="B4" s="4" t="s">
        <v>10</v>
      </c>
      <c r="C4" s="4" t="s">
        <v>11</v>
      </c>
      <c r="D4" s="5">
        <v>1</v>
      </c>
      <c r="E4" s="4" t="s">
        <v>12</v>
      </c>
      <c r="F4" s="4" t="s">
        <v>13</v>
      </c>
    </row>
    <row r="5" spans="1:7">
      <c r="A5" s="4" t="s">
        <v>14</v>
      </c>
      <c r="B5" s="4" t="s">
        <v>15</v>
      </c>
      <c r="C5" s="4" t="s">
        <v>16</v>
      </c>
      <c r="D5" s="5">
        <v>1</v>
      </c>
      <c r="E5" s="4" t="s">
        <v>17</v>
      </c>
      <c r="F5" s="4" t="s">
        <v>18</v>
      </c>
    </row>
    <row r="6" spans="1:7">
      <c r="A6" s="4" t="s">
        <v>14</v>
      </c>
      <c r="B6" s="4" t="s">
        <v>19</v>
      </c>
      <c r="C6" s="4" t="s">
        <v>20</v>
      </c>
      <c r="D6" s="5">
        <v>8192</v>
      </c>
      <c r="E6" s="4" t="s">
        <v>21</v>
      </c>
      <c r="F6" s="4" t="s">
        <v>22</v>
      </c>
    </row>
    <row r="7" spans="1:7">
      <c r="A7" s="4" t="s">
        <v>14</v>
      </c>
      <c r="B7" s="4" t="s">
        <v>23</v>
      </c>
      <c r="C7" s="4" t="s">
        <v>24</v>
      </c>
      <c r="D7" s="5">
        <v>1</v>
      </c>
      <c r="E7" s="4" t="s">
        <v>17</v>
      </c>
      <c r="F7" s="4" t="s">
        <v>25</v>
      </c>
    </row>
    <row r="8" spans="1:7">
      <c r="A8" s="4" t="s">
        <v>14</v>
      </c>
      <c r="B8" s="4" t="s">
        <v>26</v>
      </c>
      <c r="C8" s="4" t="s">
        <v>27</v>
      </c>
      <c r="D8" s="5">
        <v>1</v>
      </c>
      <c r="E8" s="4" t="s">
        <v>21</v>
      </c>
      <c r="F8" s="4" t="s">
        <v>28</v>
      </c>
    </row>
    <row r="9" spans="1:7">
      <c r="A9" s="4" t="s">
        <v>14</v>
      </c>
      <c r="B9" s="4" t="s">
        <v>29</v>
      </c>
      <c r="C9" s="4" t="s">
        <v>30</v>
      </c>
      <c r="D9" s="5">
        <v>1048576</v>
      </c>
      <c r="E9" s="4" t="s">
        <v>21</v>
      </c>
      <c r="F9" s="4" t="s">
        <v>31</v>
      </c>
    </row>
    <row r="10" spans="1:7">
      <c r="A10" s="4" t="s">
        <v>14</v>
      </c>
      <c r="B10" s="4" t="s">
        <v>32</v>
      </c>
      <c r="C10" s="4" t="s">
        <v>33</v>
      </c>
      <c r="D10" s="5">
        <v>1048576</v>
      </c>
      <c r="E10" s="4" t="s">
        <v>21</v>
      </c>
      <c r="F10" s="4" t="s">
        <v>34</v>
      </c>
    </row>
    <row r="11" spans="1:7">
      <c r="A11" s="4" t="s">
        <v>35</v>
      </c>
      <c r="B11" s="4" t="s">
        <v>36</v>
      </c>
      <c r="C11" s="4" t="s">
        <v>37</v>
      </c>
      <c r="D11" s="5">
        <v>4096</v>
      </c>
      <c r="E11" s="4" t="s">
        <v>38</v>
      </c>
      <c r="F11" s="4" t="s">
        <v>39</v>
      </c>
    </row>
    <row r="12" spans="1:7">
      <c r="A12" s="4" t="s">
        <v>35</v>
      </c>
      <c r="B12" s="4" t="s">
        <v>40</v>
      </c>
      <c r="C12" s="4" t="s">
        <v>41</v>
      </c>
      <c r="D12" s="5">
        <v>129280</v>
      </c>
      <c r="E12" s="4" t="s">
        <v>21</v>
      </c>
      <c r="F12" s="4" t="s">
        <v>42</v>
      </c>
    </row>
    <row r="13" spans="1:7">
      <c r="A13" s="4" t="s">
        <v>43</v>
      </c>
      <c r="B13" s="4" t="s">
        <v>44</v>
      </c>
      <c r="C13" s="4" t="s">
        <v>45</v>
      </c>
      <c r="D13" s="5">
        <v>64</v>
      </c>
      <c r="E13" s="4" t="s">
        <v>46</v>
      </c>
      <c r="F13" s="4" t="s">
        <v>47</v>
      </c>
    </row>
    <row r="14" spans="1:7">
      <c r="A14" s="4" t="s">
        <v>43</v>
      </c>
      <c r="B14" s="4" t="s">
        <v>48</v>
      </c>
      <c r="C14" s="4" t="s">
        <v>49</v>
      </c>
      <c r="D14" s="5">
        <v>512</v>
      </c>
      <c r="E14" s="4" t="s">
        <v>38</v>
      </c>
      <c r="F14" s="4" t="s">
        <v>50</v>
      </c>
    </row>
    <row r="15" spans="1:7">
      <c r="A15" s="4" t="s">
        <v>43</v>
      </c>
      <c r="B15" s="4" t="s">
        <v>51</v>
      </c>
      <c r="C15" s="4" t="s">
        <v>52</v>
      </c>
      <c r="D15" s="5">
        <v>64</v>
      </c>
      <c r="E15" s="4" t="s">
        <v>38</v>
      </c>
      <c r="F15" s="4" t="s">
        <v>53</v>
      </c>
    </row>
    <row r="16" spans="1:7">
      <c r="A16" s="4" t="s">
        <v>43</v>
      </c>
      <c r="B16" s="4" t="s">
        <v>54</v>
      </c>
      <c r="C16" s="4" t="s">
        <v>55</v>
      </c>
      <c r="D16" s="5">
        <v>1024</v>
      </c>
      <c r="E16" s="4" t="s">
        <v>38</v>
      </c>
      <c r="F16" s="4" t="s">
        <v>56</v>
      </c>
    </row>
    <row r="17" spans="1:6">
      <c r="A17" s="4" t="s">
        <v>43</v>
      </c>
      <c r="B17" s="4" t="s">
        <v>57</v>
      </c>
      <c r="C17" s="4" t="s">
        <v>58</v>
      </c>
      <c r="D17" s="5">
        <v>8</v>
      </c>
      <c r="E17" s="4" t="s">
        <v>59</v>
      </c>
      <c r="F17" s="4" t="s">
        <v>60</v>
      </c>
    </row>
    <row r="18" spans="1:6">
      <c r="A18" s="4" t="s">
        <v>43</v>
      </c>
      <c r="B18" s="4" t="s">
        <v>61</v>
      </c>
      <c r="C18" s="4" t="s">
        <v>62</v>
      </c>
      <c r="D18" s="5">
        <v>1024</v>
      </c>
      <c r="E18" s="4" t="s">
        <v>38</v>
      </c>
      <c r="F18" s="4" t="s">
        <v>63</v>
      </c>
    </row>
    <row r="19" spans="1:6">
      <c r="A19" s="4" t="s">
        <v>64</v>
      </c>
      <c r="B19" s="4" t="s">
        <v>65</v>
      </c>
      <c r="C19" s="4" t="s">
        <v>66</v>
      </c>
      <c r="D19" s="5">
        <v>256</v>
      </c>
      <c r="E19" s="4" t="s">
        <v>67</v>
      </c>
      <c r="F19" s="4" t="s">
        <v>68</v>
      </c>
    </row>
    <row r="20" spans="1:6">
      <c r="A20" s="4" t="s">
        <v>64</v>
      </c>
      <c r="B20" s="4" t="s">
        <v>69</v>
      </c>
      <c r="C20" s="4" t="s">
        <v>70</v>
      </c>
      <c r="D20" s="5">
        <v>6</v>
      </c>
      <c r="E20" s="4" t="s">
        <v>71</v>
      </c>
      <c r="F20" s="4" t="s">
        <v>72</v>
      </c>
    </row>
    <row r="21" spans="1:6">
      <c r="A21" s="4" t="s">
        <v>64</v>
      </c>
      <c r="B21" s="4" t="s">
        <v>73</v>
      </c>
      <c r="C21" s="4" t="s">
        <v>74</v>
      </c>
      <c r="D21" s="5">
        <v>1</v>
      </c>
      <c r="E21" s="4" t="s">
        <v>67</v>
      </c>
      <c r="F21" s="4" t="s">
        <v>75</v>
      </c>
    </row>
    <row r="22" spans="1:6">
      <c r="A22" s="4" t="s">
        <v>64</v>
      </c>
      <c r="B22" s="4" t="s">
        <v>76</v>
      </c>
      <c r="C22" s="4" t="s">
        <v>77</v>
      </c>
      <c r="D22" s="5">
        <v>2048</v>
      </c>
      <c r="E22" s="4" t="s">
        <v>38</v>
      </c>
      <c r="F22" s="4" t="s">
        <v>78</v>
      </c>
    </row>
    <row r="23" spans="1:6">
      <c r="A23" s="4" t="s">
        <v>79</v>
      </c>
      <c r="B23" s="4" t="s">
        <v>80</v>
      </c>
      <c r="C23" s="4" t="s">
        <v>81</v>
      </c>
      <c r="D23" s="5">
        <v>128</v>
      </c>
      <c r="E23" s="4" t="s">
        <v>21</v>
      </c>
      <c r="F23" s="4" t="s">
        <v>82</v>
      </c>
    </row>
    <row r="24" spans="1:6">
      <c r="A24" s="4" t="s">
        <v>79</v>
      </c>
      <c r="B24" s="4" t="s">
        <v>83</v>
      </c>
      <c r="C24" s="4" t="s">
        <v>84</v>
      </c>
      <c r="D24" s="5">
        <v>4</v>
      </c>
      <c r="E24" s="4" t="s">
        <v>85</v>
      </c>
      <c r="F24" s="4" t="s">
        <v>86</v>
      </c>
    </row>
    <row r="25" spans="1:6">
      <c r="A25" s="4" t="s">
        <v>79</v>
      </c>
      <c r="B25" s="4" t="s">
        <v>87</v>
      </c>
      <c r="C25" s="4" t="s">
        <v>88</v>
      </c>
      <c r="D25" s="5">
        <v>128</v>
      </c>
      <c r="E25" s="4" t="s">
        <v>85</v>
      </c>
      <c r="F25" s="4" t="s">
        <v>89</v>
      </c>
    </row>
    <row r="26" spans="1:6">
      <c r="A26" s="4" t="s">
        <v>90</v>
      </c>
      <c r="B26" s="4" t="s">
        <v>91</v>
      </c>
      <c r="C26" s="4" t="s">
        <v>92</v>
      </c>
      <c r="D26" s="5">
        <v>64</v>
      </c>
      <c r="E26" s="4" t="s">
        <v>46</v>
      </c>
      <c r="F26" s="4" t="s">
        <v>93</v>
      </c>
    </row>
    <row r="27" spans="1:6">
      <c r="A27" s="4" t="s">
        <v>90</v>
      </c>
      <c r="B27" s="4" t="s">
        <v>94</v>
      </c>
      <c r="C27" s="4" t="s">
        <v>95</v>
      </c>
      <c r="D27" s="5">
        <v>128</v>
      </c>
      <c r="E27" s="4" t="s">
        <v>38</v>
      </c>
      <c r="F27" s="4" t="s">
        <v>96</v>
      </c>
    </row>
    <row r="28" spans="1:6">
      <c r="A28" s="4" t="s">
        <v>90</v>
      </c>
      <c r="B28" s="4" t="s">
        <v>97</v>
      </c>
      <c r="C28" s="4" t="s">
        <v>98</v>
      </c>
      <c r="D28" s="5">
        <v>512</v>
      </c>
      <c r="E28" s="4" t="s">
        <v>99</v>
      </c>
      <c r="F28" s="4" t="s">
        <v>100</v>
      </c>
    </row>
    <row r="29" spans="1:6">
      <c r="A29" s="4" t="s">
        <v>101</v>
      </c>
      <c r="B29" s="4" t="s">
        <v>102</v>
      </c>
      <c r="C29" s="4" t="s">
        <v>103</v>
      </c>
      <c r="D29" s="5">
        <v>4</v>
      </c>
      <c r="E29" s="4" t="s">
        <v>104</v>
      </c>
      <c r="F29" s="4" t="s">
        <v>105</v>
      </c>
    </row>
    <row r="30" spans="1:6">
      <c r="A30" s="4" t="s">
        <v>101</v>
      </c>
      <c r="B30" s="4" t="s">
        <v>106</v>
      </c>
      <c r="C30" s="4" t="s">
        <v>107</v>
      </c>
      <c r="D30" s="5">
        <v>20</v>
      </c>
      <c r="E30" s="4" t="s">
        <v>108</v>
      </c>
      <c r="F30" s="4" t="s">
        <v>109</v>
      </c>
    </row>
    <row r="31" spans="1:6">
      <c r="A31" s="4" t="s">
        <v>110</v>
      </c>
      <c r="B31" s="4" t="s">
        <v>111</v>
      </c>
      <c r="C31" s="4" t="s">
        <v>112</v>
      </c>
      <c r="D31" s="5">
        <v>3</v>
      </c>
      <c r="E31" s="4" t="s">
        <v>113</v>
      </c>
      <c r="F31" s="4" t="s">
        <v>114</v>
      </c>
    </row>
    <row r="32" spans="1:6">
      <c r="A32" s="4" t="s">
        <v>115</v>
      </c>
      <c r="B32" s="4" t="s">
        <v>116</v>
      </c>
      <c r="C32" s="4" t="s">
        <v>117</v>
      </c>
      <c r="D32" s="5">
        <v>2</v>
      </c>
      <c r="E32" s="4" t="s">
        <v>118</v>
      </c>
      <c r="F32" s="4" t="s">
        <v>119</v>
      </c>
    </row>
    <row r="33" spans="1:6">
      <c r="A33" s="4" t="s">
        <v>115</v>
      </c>
      <c r="B33" s="4" t="s">
        <v>120</v>
      </c>
      <c r="C33" s="4" t="s">
        <v>121</v>
      </c>
      <c r="D33" s="5">
        <v>4</v>
      </c>
      <c r="E33" s="4" t="s">
        <v>118</v>
      </c>
      <c r="F33" s="4" t="s">
        <v>122</v>
      </c>
    </row>
    <row r="34" spans="1:6">
      <c r="A34" s="4" t="s">
        <v>115</v>
      </c>
      <c r="B34" s="4" t="s">
        <v>123</v>
      </c>
      <c r="C34" s="4" t="s">
        <v>124</v>
      </c>
      <c r="D34" s="5">
        <v>1</v>
      </c>
      <c r="E34" s="4" t="s">
        <v>118</v>
      </c>
      <c r="F34" s="4" t="s">
        <v>125</v>
      </c>
    </row>
    <row r="35" spans="1:6">
      <c r="A35" s="4" t="s">
        <v>115</v>
      </c>
      <c r="B35" s="4" t="s">
        <v>126</v>
      </c>
      <c r="C35" s="4" t="s">
        <v>127</v>
      </c>
      <c r="D35" s="5">
        <v>0.5</v>
      </c>
      <c r="E35" s="4" t="s">
        <v>118</v>
      </c>
      <c r="F35" s="4" t="s">
        <v>128</v>
      </c>
    </row>
    <row r="36" spans="1:6">
      <c r="A36" s="4" t="s">
        <v>115</v>
      </c>
      <c r="B36" s="4" t="s">
        <v>129</v>
      </c>
      <c r="C36" s="4" t="s">
        <v>130</v>
      </c>
      <c r="D36" s="5">
        <v>1</v>
      </c>
      <c r="E36" s="4" t="s">
        <v>118</v>
      </c>
      <c r="F36" s="4" t="s">
        <v>131</v>
      </c>
    </row>
    <row r="37" spans="1:6">
      <c r="A37" s="4" t="s">
        <v>115</v>
      </c>
      <c r="B37" s="4" t="s">
        <v>132</v>
      </c>
      <c r="C37" s="4" t="s">
        <v>133</v>
      </c>
      <c r="D37" s="5">
        <v>4</v>
      </c>
      <c r="E37" s="4" t="s">
        <v>118</v>
      </c>
      <c r="F37" s="4" t="s">
        <v>134</v>
      </c>
    </row>
    <row r="38" spans="1:6">
      <c r="A38" s="4" t="s">
        <v>115</v>
      </c>
      <c r="B38" s="4" t="s">
        <v>135</v>
      </c>
      <c r="C38" s="4" t="s">
        <v>136</v>
      </c>
      <c r="D38" s="5">
        <v>8</v>
      </c>
      <c r="E38" s="4" t="s">
        <v>118</v>
      </c>
      <c r="F38" s="4" t="s">
        <v>137</v>
      </c>
    </row>
    <row r="39" spans="1:6">
      <c r="A39" s="4" t="s">
        <v>138</v>
      </c>
      <c r="B39" s="4" t="s">
        <v>139</v>
      </c>
      <c r="C39" s="4" t="s">
        <v>140</v>
      </c>
      <c r="D39" s="5">
        <v>128</v>
      </c>
      <c r="E39" s="4" t="s">
        <v>38</v>
      </c>
      <c r="F39" s="4" t="s">
        <v>141</v>
      </c>
    </row>
    <row r="40" spans="1:6">
      <c r="A40" s="4" t="s">
        <v>138</v>
      </c>
      <c r="B40" s="4" t="s">
        <v>142</v>
      </c>
      <c r="C40" s="4" t="s">
        <v>143</v>
      </c>
      <c r="D40" s="5">
        <v>32</v>
      </c>
      <c r="E40" s="4" t="s">
        <v>38</v>
      </c>
      <c r="F40" s="4" t="s">
        <v>144</v>
      </c>
    </row>
    <row r="41" spans="1:6">
      <c r="A41" s="4" t="s">
        <v>145</v>
      </c>
      <c r="B41" s="4" t="s">
        <v>146</v>
      </c>
      <c r="C41" s="4" t="s">
        <v>147</v>
      </c>
      <c r="D41" s="5">
        <v>16</v>
      </c>
      <c r="E41" s="4" t="s">
        <v>46</v>
      </c>
      <c r="F41" s="4" t="s">
        <v>148</v>
      </c>
    </row>
    <row r="42" spans="1:6">
      <c r="A42" s="4" t="s">
        <v>149</v>
      </c>
      <c r="B42" s="4" t="s">
        <v>150</v>
      </c>
      <c r="C42" s="4" t="s">
        <v>151</v>
      </c>
      <c r="D42" s="5">
        <v>1000</v>
      </c>
      <c r="E42" s="4" t="s">
        <v>152</v>
      </c>
      <c r="F42" s="4" t="s">
        <v>153</v>
      </c>
    </row>
    <row r="43" spans="1:6">
      <c r="A43" s="4" t="s">
        <v>149</v>
      </c>
      <c r="B43" s="4" t="s">
        <v>154</v>
      </c>
      <c r="C43" s="4" t="s">
        <v>155</v>
      </c>
      <c r="D43" s="5">
        <v>3000</v>
      </c>
      <c r="E43" s="4" t="s">
        <v>156</v>
      </c>
      <c r="F43" s="4" t="s">
        <v>157</v>
      </c>
    </row>
    <row r="44" spans="1:6">
      <c r="A44" s="4" t="s">
        <v>149</v>
      </c>
      <c r="B44" s="4" t="s">
        <v>158</v>
      </c>
      <c r="C44" s="4" t="s">
        <v>159</v>
      </c>
      <c r="D44" s="5">
        <v>900</v>
      </c>
      <c r="E44" s="4" t="s">
        <v>156</v>
      </c>
      <c r="F44" s="4" t="s">
        <v>160</v>
      </c>
    </row>
    <row r="45" spans="1:6">
      <c r="A45" s="4" t="s">
        <v>149</v>
      </c>
      <c r="B45" s="4" t="s">
        <v>161</v>
      </c>
      <c r="C45" s="4" t="s">
        <v>162</v>
      </c>
      <c r="D45" s="5">
        <v>1000</v>
      </c>
      <c r="E45" s="4" t="s">
        <v>163</v>
      </c>
      <c r="F45" s="4" t="s">
        <v>164</v>
      </c>
    </row>
    <row r="46" spans="1:6">
      <c r="A46" s="4" t="s">
        <v>149</v>
      </c>
      <c r="B46" s="4" t="s">
        <v>165</v>
      </c>
      <c r="C46" s="4" t="s">
        <v>166</v>
      </c>
      <c r="D46" s="5">
        <v>10</v>
      </c>
      <c r="E46" s="4" t="s">
        <v>163</v>
      </c>
      <c r="F46" s="4" t="s">
        <v>164</v>
      </c>
    </row>
    <row r="47" spans="1:6">
      <c r="A47" s="4" t="s">
        <v>167</v>
      </c>
      <c r="B47" s="4" t="s">
        <v>168</v>
      </c>
      <c r="C47" s="4" t="s">
        <v>169</v>
      </c>
      <c r="D47" s="6">
        <f>SUM(Layer_Config!$B$4:$B$67)</f>
        <v>43</v>
      </c>
      <c r="E47" s="4" t="s">
        <v>113</v>
      </c>
      <c r="F47" s="4" t="s">
        <v>170</v>
      </c>
    </row>
    <row r="48" spans="1:6">
      <c r="A48" s="4" t="s">
        <v>167</v>
      </c>
      <c r="B48" s="4" t="s">
        <v>171</v>
      </c>
      <c r="C48" s="4" t="s">
        <v>172</v>
      </c>
      <c r="D48" s="6">
        <f>COUNTIFS(Layer_Config!$B$4:$B$67,1,Layer_Config!$C$4:$C$67,"window")</f>
        <v>2</v>
      </c>
      <c r="E48" s="4" t="s">
        <v>113</v>
      </c>
      <c r="F48" s="4" t="s">
        <v>173</v>
      </c>
    </row>
    <row r="49" spans="1:7">
      <c r="A49" s="4" t="s">
        <v>167</v>
      </c>
      <c r="B49" s="4" t="s">
        <v>174</v>
      </c>
      <c r="C49" s="4" t="s">
        <v>175</v>
      </c>
      <c r="D49" s="6">
        <f>COUNTIFS(Layer_Config!$B$4:$B$67,1,Layer_Config!$C$4:$C$67,"short")</f>
        <v>21</v>
      </c>
      <c r="E49" s="4" t="s">
        <v>113</v>
      </c>
      <c r="F49" s="4" t="s">
        <v>176</v>
      </c>
    </row>
    <row r="50" spans="1:7">
      <c r="A50" s="4" t="s">
        <v>167</v>
      </c>
      <c r="B50" s="4" t="s">
        <v>177</v>
      </c>
      <c r="C50" s="4" t="s">
        <v>178</v>
      </c>
      <c r="D50" s="6">
        <f>COUNTIFS(Layer_Config!$B$4:$B$67,1,Layer_Config!$C$4:$C$67,"long")</f>
        <v>20</v>
      </c>
      <c r="E50" s="4" t="s">
        <v>113</v>
      </c>
      <c r="F50" s="4" t="s">
        <v>179</v>
      </c>
    </row>
    <row r="51" spans="1:7">
      <c r="A51" s="4" t="s">
        <v>167</v>
      </c>
      <c r="B51" s="4" t="s">
        <v>180</v>
      </c>
      <c r="C51" s="4" t="s">
        <v>181</v>
      </c>
      <c r="D51" s="6">
        <f>COUNTIFS(Layer_Config!$B$4:$B$67,1,Layer_Config!$A$4:$A$67,"&lt;"&amp;HashLayers)</f>
        <v>3</v>
      </c>
      <c r="E51" s="4" t="s">
        <v>113</v>
      </c>
      <c r="F51" s="4" t="s">
        <v>182</v>
      </c>
    </row>
    <row r="52" spans="1:7">
      <c r="A52" s="4" t="s">
        <v>167</v>
      </c>
      <c r="B52" s="4" t="s">
        <v>183</v>
      </c>
      <c r="C52" s="4" t="s">
        <v>184</v>
      </c>
      <c r="D52" s="6">
        <f>NumHeads/TPSize</f>
        <v>64.0</v>
      </c>
      <c r="E52" s="4" t="s">
        <v>185</v>
      </c>
      <c r="F52" s="4" t="s">
        <v>186</v>
      </c>
    </row>
    <row r="53" spans="1:7">
      <c r="A53" s="4" t="s">
        <v>167</v>
      </c>
      <c r="B53" s="4" t="s">
        <v>187</v>
      </c>
      <c r="C53" s="4" t="s">
        <v>188</v>
      </c>
      <c r="D53" s="6">
        <f>MAX(LocalHeads,KernelMinHeads)</f>
        <v>64.0</v>
      </c>
      <c r="E53" s="4" t="s">
        <v>185</v>
      </c>
      <c r="F53" s="4" t="s">
        <v>189</v>
      </c>
    </row>
    <row r="54" spans="1:7">
      <c r="A54" s="4" t="s">
        <v>167</v>
      </c>
      <c r="B54" s="4" t="s">
        <v>190</v>
      </c>
      <c r="C54" s="4" t="s">
        <v>191</v>
      </c>
      <c r="D54" s="6">
        <f>IndexHeads/TPSize</f>
        <v>64.0</v>
      </c>
      <c r="E54" s="4" t="s">
        <v>185</v>
      </c>
      <c r="F54" s="4" t="s">
        <v>192</v>
      </c>
    </row>
    <row r="55" spans="1:7">
      <c r="A55" s="4" t="s">
        <v>167</v>
      </c>
      <c r="B55" s="4" t="s">
        <v>193</v>
      </c>
      <c r="C55" s="4" t="s">
        <v>194</v>
      </c>
      <c r="D55" s="6">
        <f>RoutedExperts/TPSize</f>
        <v>256.0</v>
      </c>
      <c r="E55" s="4" t="s">
        <v>195</v>
      </c>
      <c r="F55" s="4" t="s">
        <v>196</v>
      </c>
    </row>
    <row r="56" spans="1:7">
      <c r="A56" s="4" t="s">
        <v>167</v>
      </c>
      <c r="B56" s="4" t="s">
        <v>197</v>
      </c>
      <c r="C56" s="4" t="s">
        <v>198</v>
      </c>
      <c r="D56" s="6">
        <f>OGroups/TPSize</f>
        <v>8.0</v>
      </c>
      <c r="E56" s="4" t="s">
        <v>199</v>
      </c>
      <c r="F56" s="4" t="s">
        <v>200</v>
      </c>
    </row>
    <row r="57" spans="1:7">
      <c r="A57" s="4" t="s">
        <v>167</v>
      </c>
      <c r="B57" s="4" t="s">
        <v>201</v>
      </c>
      <c r="C57" s="4" t="s">
        <v>202</v>
      </c>
      <c r="D57" s="6">
        <f>VocabSize/TPSize</f>
        <v>129280.0</v>
      </c>
      <c r="E57" s="4" t="s">
        <v>203</v>
      </c>
      <c r="F57" s="4" t="s">
        <v>204</v>
      </c>
    </row>
    <row r="59" spans="1:7">
      <c r="A59" s="7" t="s">
        <v>205</v>
      </c>
      <c r="B59" s="7"/>
      <c r="C59" s="7"/>
      <c r="D59" s="7"/>
      <c r="E59" s="7"/>
      <c r="F59" s="7"/>
      <c r="G59" s="7"/>
    </row>
    <row r="60" spans="1:7">
      <c r="A60" s="4" t="s">
        <v>206</v>
      </c>
      <c r="G60" s="8" t="str">
        <f>IF(MOD(NumHeads,TPSize)=0,"OK","ERROR")</f>
        <v>OK</v>
      </c>
    </row>
    <row r="61" spans="1:7">
      <c r="A61" s="4" t="s">
        <v>207</v>
      </c>
      <c r="G61" s="8" t="str">
        <f>IF(MOD(RoutedExperts,TPSize)=0,"OK","ERROR")</f>
        <v>OK</v>
      </c>
    </row>
    <row r="62" spans="1:7">
      <c r="A62" s="4" t="s">
        <v>208</v>
      </c>
      <c r="G62" s="8" t="str">
        <f>IF(MOD(OGroups,TPSize)=0,"OK","ERROR")</f>
        <v>OK</v>
      </c>
    </row>
    <row r="63" spans="1:7">
      <c r="A63" s="4" t="s">
        <v>209</v>
      </c>
      <c r="G63" s="8" t="str">
        <f>IF(MOD(IndexHeads,TPSize)=0,"OK","ERROR")</f>
        <v>OK</v>
      </c>
    </row>
    <row r="64" spans="1:7">
      <c r="A64" s="4" t="s">
        <v>210</v>
      </c>
      <c r="G64" s="8" t="str">
        <f>IF(ActivatedExperts&lt;=RoutedExperts,"OK","ERROR")</f>
        <v>OK</v>
      </c>
    </row>
    <row r="65" spans="1:7">
      <c r="A65" s="4" t="s">
        <v>211</v>
      </c>
      <c r="G65" s="8" t="str">
        <f>IF(RopeDim&lt;=HeadDim,"OK","ERROR")</f>
        <v>OK</v>
      </c>
    </row>
  </sheetData>
  <autoFilter ref="A3:G57"/>
  <mergeCells count="1">
    <mergeCell ref="A59:G59"/>
  </mergeCells>
  <conditionalFormatting sqref="G4:G66">
    <cfRule type="containsText" dxfId="0" priority="1" operator="containsText" text="ERROR">
      <formula>NOT(ISERROR(SEARCH("ERROR",G4)))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212</v>
      </c>
    </row>
    <row r="2" spans="1:6">
      <c r="A2" s="2" t="s">
        <v>213</v>
      </c>
    </row>
    <row r="3" spans="1:6">
      <c r="A3" s="3" t="s">
        <v>214</v>
      </c>
      <c r="B3" s="3" t="s">
        <v>215</v>
      </c>
      <c r="C3" s="3" t="s">
        <v>216</v>
      </c>
      <c r="D3" s="3" t="s">
        <v>217</v>
      </c>
      <c r="E3" s="3" t="s">
        <v>218</v>
      </c>
      <c r="F3" s="3" t="s">
        <v>219</v>
      </c>
    </row>
    <row r="4" spans="1:6">
      <c r="A4" s="9">
        <v>0</v>
      </c>
      <c r="B4" s="5">
        <v>1</v>
      </c>
      <c r="C4" s="5" t="s">
        <v>220</v>
      </c>
      <c r="D4" s="6">
        <f>IF(C4="window",0,IF(C4="short",ShortRatio,LongRatio))</f>
        <v>0</v>
      </c>
      <c r="E4" s="4" t="str">
        <f>IF(B4=0,"inactive",IF(C4="window","raw sliding window",IF(C4="short","compressed KV + Indexer Top-K","deterministic compressed KV")))</f>
        <v>raw sliding window</v>
      </c>
      <c r="F4" s="4" t="str">
        <f>IF(B4=0,"inactive",IF(A4&lt;HashLayers,"hash","score"))</f>
        <v>hash</v>
      </c>
    </row>
    <row r="5" spans="1:6">
      <c r="A5" s="9">
        <v>1</v>
      </c>
      <c r="B5" s="5">
        <v>1</v>
      </c>
      <c r="C5" s="5" t="s">
        <v>220</v>
      </c>
      <c r="D5" s="6">
        <f>IF(C5="window",0,IF(C5="short",ShortRatio,LongRatio))</f>
        <v>0</v>
      </c>
      <c r="E5" s="4" t="str">
        <f>IF(B5=0,"inactive",IF(C5="window","raw sliding window",IF(C5="short","compressed KV + Indexer Top-K","deterministic compressed KV")))</f>
        <v>raw sliding window</v>
      </c>
      <c r="F5" s="4" t="str">
        <f>IF(B5=0,"inactive",IF(A5&lt;HashLayers,"hash","score"))</f>
        <v>hash</v>
      </c>
    </row>
    <row r="6" spans="1:6">
      <c r="A6" s="9">
        <v>2</v>
      </c>
      <c r="B6" s="5">
        <v>1</v>
      </c>
      <c r="C6" s="5" t="s">
        <v>221</v>
      </c>
      <c r="D6" s="6">
        <f>IF(C6="window",0,IF(C6="short",ShortRatio,LongRatio))</f>
        <v>4</v>
      </c>
      <c r="E6" s="4" t="str">
        <f>IF(B6=0,"inactive",IF(C6="window","raw sliding window",IF(C6="short","compressed KV + Indexer Top-K","deterministic compressed KV")))</f>
        <v>compressed KV + Indexer Top-K</v>
      </c>
      <c r="F6" s="4" t="str">
        <f>IF(B6=0,"inactive",IF(A6&lt;HashLayers,"hash","score"))</f>
        <v>hash</v>
      </c>
    </row>
    <row r="7" spans="1:6">
      <c r="A7" s="9">
        <v>3</v>
      </c>
      <c r="B7" s="5">
        <v>1</v>
      </c>
      <c r="C7" s="5" t="s">
        <v>222</v>
      </c>
      <c r="D7" s="6">
        <f>IF(C7="window",0,IF(C7="short",ShortRatio,LongRatio))</f>
        <v>128</v>
      </c>
      <c r="E7" s="4" t="str">
        <f>IF(B7=0,"inactive",IF(C7="window","raw sliding window",IF(C7="short","compressed KV + Indexer Top-K","deterministic compressed KV")))</f>
        <v>deterministic compressed KV</v>
      </c>
      <c r="F7" s="4" t="str">
        <f>IF(B7=0,"inactive",IF(A7&lt;HashLayers,"hash","score"))</f>
        <v>score</v>
      </c>
    </row>
    <row r="8" spans="1:6">
      <c r="A8" s="9">
        <v>4</v>
      </c>
      <c r="B8" s="5">
        <v>1</v>
      </c>
      <c r="C8" s="5" t="s">
        <v>221</v>
      </c>
      <c r="D8" s="6">
        <f>IF(C8="window",0,IF(C8="short",ShortRatio,LongRatio))</f>
        <v>4</v>
      </c>
      <c r="E8" s="4" t="str">
        <f>IF(B8=0,"inactive",IF(C8="window","raw sliding window",IF(C8="short","compressed KV + Indexer Top-K","deterministic compressed KV")))</f>
        <v>compressed KV + Indexer Top-K</v>
      </c>
      <c r="F8" s="4" t="str">
        <f>IF(B8=0,"inactive",IF(A8&lt;HashLayers,"hash","score"))</f>
        <v>score</v>
      </c>
    </row>
    <row r="9" spans="1:6">
      <c r="A9" s="9">
        <v>5</v>
      </c>
      <c r="B9" s="5">
        <v>1</v>
      </c>
      <c r="C9" s="5" t="s">
        <v>222</v>
      </c>
      <c r="D9" s="6">
        <f>IF(C9="window",0,IF(C9="short",ShortRatio,LongRatio))</f>
        <v>128</v>
      </c>
      <c r="E9" s="4" t="str">
        <f>IF(B9=0,"inactive",IF(C9="window","raw sliding window",IF(C9="short","compressed KV + Indexer Top-K","deterministic compressed KV")))</f>
        <v>deterministic compressed KV</v>
      </c>
      <c r="F9" s="4" t="str">
        <f>IF(B9=0,"inactive",IF(A9&lt;HashLayers,"hash","score"))</f>
        <v>score</v>
      </c>
    </row>
    <row r="10" spans="1:6">
      <c r="A10" s="9">
        <v>6</v>
      </c>
      <c r="B10" s="5">
        <v>1</v>
      </c>
      <c r="C10" s="5" t="s">
        <v>221</v>
      </c>
      <c r="D10" s="6">
        <f>IF(C10="window",0,IF(C10="short",ShortRatio,LongRatio))</f>
        <v>4</v>
      </c>
      <c r="E10" s="4" t="str">
        <f>IF(B10=0,"inactive",IF(C10="window","raw sliding window",IF(C10="short","compressed KV + Indexer Top-K","deterministic compressed KV")))</f>
        <v>compressed KV + Indexer Top-K</v>
      </c>
      <c r="F10" s="4" t="str">
        <f>IF(B10=0,"inactive",IF(A10&lt;HashLayers,"hash","score"))</f>
        <v>score</v>
      </c>
    </row>
    <row r="11" spans="1:6">
      <c r="A11" s="9">
        <v>7</v>
      </c>
      <c r="B11" s="5">
        <v>1</v>
      </c>
      <c r="C11" s="5" t="s">
        <v>222</v>
      </c>
      <c r="D11" s="6">
        <f>IF(C11="window",0,IF(C11="short",ShortRatio,LongRatio))</f>
        <v>128</v>
      </c>
      <c r="E11" s="4" t="str">
        <f>IF(B11=0,"inactive",IF(C11="window","raw sliding window",IF(C11="short","compressed KV + Indexer Top-K","deterministic compressed KV")))</f>
        <v>deterministic compressed KV</v>
      </c>
      <c r="F11" s="4" t="str">
        <f>IF(B11=0,"inactive",IF(A11&lt;HashLayers,"hash","score"))</f>
        <v>score</v>
      </c>
    </row>
    <row r="12" spans="1:6">
      <c r="A12" s="9">
        <v>8</v>
      </c>
      <c r="B12" s="5">
        <v>1</v>
      </c>
      <c r="C12" s="5" t="s">
        <v>221</v>
      </c>
      <c r="D12" s="6">
        <f>IF(C12="window",0,IF(C12="short",ShortRatio,LongRatio))</f>
        <v>4</v>
      </c>
      <c r="E12" s="4" t="str">
        <f>IF(B12=0,"inactive",IF(C12="window","raw sliding window",IF(C12="short","compressed KV + Indexer Top-K","deterministic compressed KV")))</f>
        <v>compressed KV + Indexer Top-K</v>
      </c>
      <c r="F12" s="4" t="str">
        <f>IF(B12=0,"inactive",IF(A12&lt;HashLayers,"hash","score"))</f>
        <v>score</v>
      </c>
    </row>
    <row r="13" spans="1:6">
      <c r="A13" s="9">
        <v>9</v>
      </c>
      <c r="B13" s="5">
        <v>1</v>
      </c>
      <c r="C13" s="5" t="s">
        <v>222</v>
      </c>
      <c r="D13" s="6">
        <f>IF(C13="window",0,IF(C13="short",ShortRatio,LongRatio))</f>
        <v>128</v>
      </c>
      <c r="E13" s="4" t="str">
        <f>IF(B13=0,"inactive",IF(C13="window","raw sliding window",IF(C13="short","compressed KV + Indexer Top-K","deterministic compressed KV")))</f>
        <v>deterministic compressed KV</v>
      </c>
      <c r="F13" s="4" t="str">
        <f>IF(B13=0,"inactive",IF(A13&lt;HashLayers,"hash","score"))</f>
        <v>score</v>
      </c>
    </row>
    <row r="14" spans="1:6">
      <c r="A14" s="9">
        <v>10</v>
      </c>
      <c r="B14" s="5">
        <v>1</v>
      </c>
      <c r="C14" s="5" t="s">
        <v>221</v>
      </c>
      <c r="D14" s="6">
        <f>IF(C14="window",0,IF(C14="short",ShortRatio,LongRatio))</f>
        <v>4</v>
      </c>
      <c r="E14" s="4" t="str">
        <f>IF(B14=0,"inactive",IF(C14="window","raw sliding window",IF(C14="short","compressed KV + Indexer Top-K","deterministic compressed KV")))</f>
        <v>compressed KV + Indexer Top-K</v>
      </c>
      <c r="F14" s="4" t="str">
        <f>IF(B14=0,"inactive",IF(A14&lt;HashLayers,"hash","score"))</f>
        <v>score</v>
      </c>
    </row>
    <row r="15" spans="1:6">
      <c r="A15" s="9">
        <v>11</v>
      </c>
      <c r="B15" s="5">
        <v>1</v>
      </c>
      <c r="C15" s="5" t="s">
        <v>222</v>
      </c>
      <c r="D15" s="6">
        <f>IF(C15="window",0,IF(C15="short",ShortRatio,LongRatio))</f>
        <v>128</v>
      </c>
      <c r="E15" s="4" t="str">
        <f>IF(B15=0,"inactive",IF(C15="window","raw sliding window",IF(C15="short","compressed KV + Indexer Top-K","deterministic compressed KV")))</f>
        <v>deterministic compressed KV</v>
      </c>
      <c r="F15" s="4" t="str">
        <f>IF(B15=0,"inactive",IF(A15&lt;HashLayers,"hash","score"))</f>
        <v>score</v>
      </c>
    </row>
    <row r="16" spans="1:6">
      <c r="A16" s="9">
        <v>12</v>
      </c>
      <c r="B16" s="5">
        <v>1</v>
      </c>
      <c r="C16" s="5" t="s">
        <v>221</v>
      </c>
      <c r="D16" s="6">
        <f>IF(C16="window",0,IF(C16="short",ShortRatio,LongRatio))</f>
        <v>4</v>
      </c>
      <c r="E16" s="4" t="str">
        <f>IF(B16=0,"inactive",IF(C16="window","raw sliding window",IF(C16="short","compressed KV + Indexer Top-K","deterministic compressed KV")))</f>
        <v>compressed KV + Indexer Top-K</v>
      </c>
      <c r="F16" s="4" t="str">
        <f>IF(B16=0,"inactive",IF(A16&lt;HashLayers,"hash","score"))</f>
        <v>score</v>
      </c>
    </row>
    <row r="17" spans="1:6">
      <c r="A17" s="9">
        <v>13</v>
      </c>
      <c r="B17" s="5">
        <v>1</v>
      </c>
      <c r="C17" s="5" t="s">
        <v>222</v>
      </c>
      <c r="D17" s="6">
        <f>IF(C17="window",0,IF(C17="short",ShortRatio,LongRatio))</f>
        <v>128</v>
      </c>
      <c r="E17" s="4" t="str">
        <f>IF(B17=0,"inactive",IF(C17="window","raw sliding window",IF(C17="short","compressed KV + Indexer Top-K","deterministic compressed KV")))</f>
        <v>deterministic compressed KV</v>
      </c>
      <c r="F17" s="4" t="str">
        <f>IF(B17=0,"inactive",IF(A17&lt;HashLayers,"hash","score"))</f>
        <v>score</v>
      </c>
    </row>
    <row r="18" spans="1:6">
      <c r="A18" s="9">
        <v>14</v>
      </c>
      <c r="B18" s="5">
        <v>1</v>
      </c>
      <c r="C18" s="5" t="s">
        <v>221</v>
      </c>
      <c r="D18" s="6">
        <f>IF(C18="window",0,IF(C18="short",ShortRatio,LongRatio))</f>
        <v>4</v>
      </c>
      <c r="E18" s="4" t="str">
        <f>IF(B18=0,"inactive",IF(C18="window","raw sliding window",IF(C18="short","compressed KV + Indexer Top-K","deterministic compressed KV")))</f>
        <v>compressed KV + Indexer Top-K</v>
      </c>
      <c r="F18" s="4" t="str">
        <f>IF(B18=0,"inactive",IF(A18&lt;HashLayers,"hash","score"))</f>
        <v>score</v>
      </c>
    </row>
    <row r="19" spans="1:6">
      <c r="A19" s="9">
        <v>15</v>
      </c>
      <c r="B19" s="5">
        <v>1</v>
      </c>
      <c r="C19" s="5" t="s">
        <v>222</v>
      </c>
      <c r="D19" s="6">
        <f>IF(C19="window",0,IF(C19="short",ShortRatio,LongRatio))</f>
        <v>128</v>
      </c>
      <c r="E19" s="4" t="str">
        <f>IF(B19=0,"inactive",IF(C19="window","raw sliding window",IF(C19="short","compressed KV + Indexer Top-K","deterministic compressed KV")))</f>
        <v>deterministic compressed KV</v>
      </c>
      <c r="F19" s="4" t="str">
        <f>IF(B19=0,"inactive",IF(A19&lt;HashLayers,"hash","score"))</f>
        <v>score</v>
      </c>
    </row>
    <row r="20" spans="1:6">
      <c r="A20" s="9">
        <v>16</v>
      </c>
      <c r="B20" s="5">
        <v>1</v>
      </c>
      <c r="C20" s="5" t="s">
        <v>221</v>
      </c>
      <c r="D20" s="6">
        <f>IF(C20="window",0,IF(C20="short",ShortRatio,LongRatio))</f>
        <v>4</v>
      </c>
      <c r="E20" s="4" t="str">
        <f>IF(B20=0,"inactive",IF(C20="window","raw sliding window",IF(C20="short","compressed KV + Indexer Top-K","deterministic compressed KV")))</f>
        <v>compressed KV + Indexer Top-K</v>
      </c>
      <c r="F20" s="4" t="str">
        <f>IF(B20=0,"inactive",IF(A20&lt;HashLayers,"hash","score"))</f>
        <v>score</v>
      </c>
    </row>
    <row r="21" spans="1:6">
      <c r="A21" s="9">
        <v>17</v>
      </c>
      <c r="B21" s="5">
        <v>1</v>
      </c>
      <c r="C21" s="5" t="s">
        <v>222</v>
      </c>
      <c r="D21" s="6">
        <f>IF(C21="window",0,IF(C21="short",ShortRatio,LongRatio))</f>
        <v>128</v>
      </c>
      <c r="E21" s="4" t="str">
        <f>IF(B21=0,"inactive",IF(C21="window","raw sliding window",IF(C21="short","compressed KV + Indexer Top-K","deterministic compressed KV")))</f>
        <v>deterministic compressed KV</v>
      </c>
      <c r="F21" s="4" t="str">
        <f>IF(B21=0,"inactive",IF(A21&lt;HashLayers,"hash","score"))</f>
        <v>score</v>
      </c>
    </row>
    <row r="22" spans="1:6">
      <c r="A22" s="9">
        <v>18</v>
      </c>
      <c r="B22" s="5">
        <v>1</v>
      </c>
      <c r="C22" s="5" t="s">
        <v>221</v>
      </c>
      <c r="D22" s="6">
        <f>IF(C22="window",0,IF(C22="short",ShortRatio,LongRatio))</f>
        <v>4</v>
      </c>
      <c r="E22" s="4" t="str">
        <f>IF(B22=0,"inactive",IF(C22="window","raw sliding window",IF(C22="short","compressed KV + Indexer Top-K","deterministic compressed KV")))</f>
        <v>compressed KV + Indexer Top-K</v>
      </c>
      <c r="F22" s="4" t="str">
        <f>IF(B22=0,"inactive",IF(A22&lt;HashLayers,"hash","score"))</f>
        <v>score</v>
      </c>
    </row>
    <row r="23" spans="1:6">
      <c r="A23" s="9">
        <v>19</v>
      </c>
      <c r="B23" s="5">
        <v>1</v>
      </c>
      <c r="C23" s="5" t="s">
        <v>222</v>
      </c>
      <c r="D23" s="6">
        <f>IF(C23="window",0,IF(C23="short",ShortRatio,LongRatio))</f>
        <v>128</v>
      </c>
      <c r="E23" s="4" t="str">
        <f>IF(B23=0,"inactive",IF(C23="window","raw sliding window",IF(C23="short","compressed KV + Indexer Top-K","deterministic compressed KV")))</f>
        <v>deterministic compressed KV</v>
      </c>
      <c r="F23" s="4" t="str">
        <f>IF(B23=0,"inactive",IF(A23&lt;HashLayers,"hash","score"))</f>
        <v>score</v>
      </c>
    </row>
    <row r="24" spans="1:6">
      <c r="A24" s="9">
        <v>20</v>
      </c>
      <c r="B24" s="5">
        <v>1</v>
      </c>
      <c r="C24" s="5" t="s">
        <v>221</v>
      </c>
      <c r="D24" s="6">
        <f>IF(C24="window",0,IF(C24="short",ShortRatio,LongRatio))</f>
        <v>4</v>
      </c>
      <c r="E24" s="4" t="str">
        <f>IF(B24=0,"inactive",IF(C24="window","raw sliding window",IF(C24="short","compressed KV + Indexer Top-K","deterministic compressed KV")))</f>
        <v>compressed KV + Indexer Top-K</v>
      </c>
      <c r="F24" s="4" t="str">
        <f>IF(B24=0,"inactive",IF(A24&lt;HashLayers,"hash","score"))</f>
        <v>score</v>
      </c>
    </row>
    <row r="25" spans="1:6">
      <c r="A25" s="9">
        <v>21</v>
      </c>
      <c r="B25" s="5">
        <v>1</v>
      </c>
      <c r="C25" s="5" t="s">
        <v>222</v>
      </c>
      <c r="D25" s="6">
        <f>IF(C25="window",0,IF(C25="short",ShortRatio,LongRatio))</f>
        <v>128</v>
      </c>
      <c r="E25" s="4" t="str">
        <f>IF(B25=0,"inactive",IF(C25="window","raw sliding window",IF(C25="short","compressed KV + Indexer Top-K","deterministic compressed KV")))</f>
        <v>deterministic compressed KV</v>
      </c>
      <c r="F25" s="4" t="str">
        <f>IF(B25=0,"inactive",IF(A25&lt;HashLayers,"hash","score"))</f>
        <v>score</v>
      </c>
    </row>
    <row r="26" spans="1:6">
      <c r="A26" s="9">
        <v>22</v>
      </c>
      <c r="B26" s="5">
        <v>1</v>
      </c>
      <c r="C26" s="5" t="s">
        <v>221</v>
      </c>
      <c r="D26" s="6">
        <f>IF(C26="window",0,IF(C26="short",ShortRatio,LongRatio))</f>
        <v>4</v>
      </c>
      <c r="E26" s="4" t="str">
        <f>IF(B26=0,"inactive",IF(C26="window","raw sliding window",IF(C26="short","compressed KV + Indexer Top-K","deterministic compressed KV")))</f>
        <v>compressed KV + Indexer Top-K</v>
      </c>
      <c r="F26" s="4" t="str">
        <f>IF(B26=0,"inactive",IF(A26&lt;HashLayers,"hash","score"))</f>
        <v>score</v>
      </c>
    </row>
    <row r="27" spans="1:6">
      <c r="A27" s="9">
        <v>23</v>
      </c>
      <c r="B27" s="5">
        <v>1</v>
      </c>
      <c r="C27" s="5" t="s">
        <v>222</v>
      </c>
      <c r="D27" s="6">
        <f>IF(C27="window",0,IF(C27="short",ShortRatio,LongRatio))</f>
        <v>128</v>
      </c>
      <c r="E27" s="4" t="str">
        <f>IF(B27=0,"inactive",IF(C27="window","raw sliding window",IF(C27="short","compressed KV + Indexer Top-K","deterministic compressed KV")))</f>
        <v>deterministic compressed KV</v>
      </c>
      <c r="F27" s="4" t="str">
        <f>IF(B27=0,"inactive",IF(A27&lt;HashLayers,"hash","score"))</f>
        <v>score</v>
      </c>
    </row>
    <row r="28" spans="1:6">
      <c r="A28" s="9">
        <v>24</v>
      </c>
      <c r="B28" s="5">
        <v>1</v>
      </c>
      <c r="C28" s="5" t="s">
        <v>221</v>
      </c>
      <c r="D28" s="6">
        <f>IF(C28="window",0,IF(C28="short",ShortRatio,LongRatio))</f>
        <v>4</v>
      </c>
      <c r="E28" s="4" t="str">
        <f>IF(B28=0,"inactive",IF(C28="window","raw sliding window",IF(C28="short","compressed KV + Indexer Top-K","deterministic compressed KV")))</f>
        <v>compressed KV + Indexer Top-K</v>
      </c>
      <c r="F28" s="4" t="str">
        <f>IF(B28=0,"inactive",IF(A28&lt;HashLayers,"hash","score"))</f>
        <v>score</v>
      </c>
    </row>
    <row r="29" spans="1:6">
      <c r="A29" s="9">
        <v>25</v>
      </c>
      <c r="B29" s="5">
        <v>1</v>
      </c>
      <c r="C29" s="5" t="s">
        <v>222</v>
      </c>
      <c r="D29" s="6">
        <f>IF(C29="window",0,IF(C29="short",ShortRatio,LongRatio))</f>
        <v>128</v>
      </c>
      <c r="E29" s="4" t="str">
        <f>IF(B29=0,"inactive",IF(C29="window","raw sliding window",IF(C29="short","compressed KV + Indexer Top-K","deterministic compressed KV")))</f>
        <v>deterministic compressed KV</v>
      </c>
      <c r="F29" s="4" t="str">
        <f>IF(B29=0,"inactive",IF(A29&lt;HashLayers,"hash","score"))</f>
        <v>score</v>
      </c>
    </row>
    <row r="30" spans="1:6">
      <c r="A30" s="9">
        <v>26</v>
      </c>
      <c r="B30" s="5">
        <v>1</v>
      </c>
      <c r="C30" s="5" t="s">
        <v>221</v>
      </c>
      <c r="D30" s="6">
        <f>IF(C30="window",0,IF(C30="short",ShortRatio,LongRatio))</f>
        <v>4</v>
      </c>
      <c r="E30" s="4" t="str">
        <f>IF(B30=0,"inactive",IF(C30="window","raw sliding window",IF(C30="short","compressed KV + Indexer Top-K","deterministic compressed KV")))</f>
        <v>compressed KV + Indexer Top-K</v>
      </c>
      <c r="F30" s="4" t="str">
        <f>IF(B30=0,"inactive",IF(A30&lt;HashLayers,"hash","score"))</f>
        <v>score</v>
      </c>
    </row>
    <row r="31" spans="1:6">
      <c r="A31" s="9">
        <v>27</v>
      </c>
      <c r="B31" s="5">
        <v>1</v>
      </c>
      <c r="C31" s="5" t="s">
        <v>222</v>
      </c>
      <c r="D31" s="6">
        <f>IF(C31="window",0,IF(C31="short",ShortRatio,LongRatio))</f>
        <v>128</v>
      </c>
      <c r="E31" s="4" t="str">
        <f>IF(B31=0,"inactive",IF(C31="window","raw sliding window",IF(C31="short","compressed KV + Indexer Top-K","deterministic compressed KV")))</f>
        <v>deterministic compressed KV</v>
      </c>
      <c r="F31" s="4" t="str">
        <f>IF(B31=0,"inactive",IF(A31&lt;HashLayers,"hash","score"))</f>
        <v>score</v>
      </c>
    </row>
    <row r="32" spans="1:6">
      <c r="A32" s="9">
        <v>28</v>
      </c>
      <c r="B32" s="5">
        <v>1</v>
      </c>
      <c r="C32" s="5" t="s">
        <v>221</v>
      </c>
      <c r="D32" s="6">
        <f>IF(C32="window",0,IF(C32="short",ShortRatio,LongRatio))</f>
        <v>4</v>
      </c>
      <c r="E32" s="4" t="str">
        <f>IF(B32=0,"inactive",IF(C32="window","raw sliding window",IF(C32="short","compressed KV + Indexer Top-K","deterministic compressed KV")))</f>
        <v>compressed KV + Indexer Top-K</v>
      </c>
      <c r="F32" s="4" t="str">
        <f>IF(B32=0,"inactive",IF(A32&lt;HashLayers,"hash","score"))</f>
        <v>score</v>
      </c>
    </row>
    <row r="33" spans="1:6">
      <c r="A33" s="9">
        <v>29</v>
      </c>
      <c r="B33" s="5">
        <v>1</v>
      </c>
      <c r="C33" s="5" t="s">
        <v>222</v>
      </c>
      <c r="D33" s="6">
        <f>IF(C33="window",0,IF(C33="short",ShortRatio,LongRatio))</f>
        <v>128</v>
      </c>
      <c r="E33" s="4" t="str">
        <f>IF(B33=0,"inactive",IF(C33="window","raw sliding window",IF(C33="short","compressed KV + Indexer Top-K","deterministic compressed KV")))</f>
        <v>deterministic compressed KV</v>
      </c>
      <c r="F33" s="4" t="str">
        <f>IF(B33=0,"inactive",IF(A33&lt;HashLayers,"hash","score"))</f>
        <v>score</v>
      </c>
    </row>
    <row r="34" spans="1:6">
      <c r="A34" s="9">
        <v>30</v>
      </c>
      <c r="B34" s="5">
        <v>1</v>
      </c>
      <c r="C34" s="5" t="s">
        <v>221</v>
      </c>
      <c r="D34" s="6">
        <f>IF(C34="window",0,IF(C34="short",ShortRatio,LongRatio))</f>
        <v>4</v>
      </c>
      <c r="E34" s="4" t="str">
        <f>IF(B34=0,"inactive",IF(C34="window","raw sliding window",IF(C34="short","compressed KV + Indexer Top-K","deterministic compressed KV")))</f>
        <v>compressed KV + Indexer Top-K</v>
      </c>
      <c r="F34" s="4" t="str">
        <f>IF(B34=0,"inactive",IF(A34&lt;HashLayers,"hash","score"))</f>
        <v>score</v>
      </c>
    </row>
    <row r="35" spans="1:6">
      <c r="A35" s="9">
        <v>31</v>
      </c>
      <c r="B35" s="5">
        <v>1</v>
      </c>
      <c r="C35" s="5" t="s">
        <v>222</v>
      </c>
      <c r="D35" s="6">
        <f>IF(C35="window",0,IF(C35="short",ShortRatio,LongRatio))</f>
        <v>128</v>
      </c>
      <c r="E35" s="4" t="str">
        <f>IF(B35=0,"inactive",IF(C35="window","raw sliding window",IF(C35="short","compressed KV + Indexer Top-K","deterministic compressed KV")))</f>
        <v>deterministic compressed KV</v>
      </c>
      <c r="F35" s="4" t="str">
        <f>IF(B35=0,"inactive",IF(A35&lt;HashLayers,"hash","score"))</f>
        <v>score</v>
      </c>
    </row>
    <row r="36" spans="1:6">
      <c r="A36" s="9">
        <v>32</v>
      </c>
      <c r="B36" s="5">
        <v>1</v>
      </c>
      <c r="C36" s="5" t="s">
        <v>221</v>
      </c>
      <c r="D36" s="6">
        <f>IF(C36="window",0,IF(C36="short",ShortRatio,LongRatio))</f>
        <v>4</v>
      </c>
      <c r="E36" s="4" t="str">
        <f>IF(B36=0,"inactive",IF(C36="window","raw sliding window",IF(C36="short","compressed KV + Indexer Top-K","deterministic compressed KV")))</f>
        <v>compressed KV + Indexer Top-K</v>
      </c>
      <c r="F36" s="4" t="str">
        <f>IF(B36=0,"inactive",IF(A36&lt;HashLayers,"hash","score"))</f>
        <v>score</v>
      </c>
    </row>
    <row r="37" spans="1:6">
      <c r="A37" s="9">
        <v>33</v>
      </c>
      <c r="B37" s="5">
        <v>1</v>
      </c>
      <c r="C37" s="5" t="s">
        <v>222</v>
      </c>
      <c r="D37" s="6">
        <f>IF(C37="window",0,IF(C37="short",ShortRatio,LongRatio))</f>
        <v>128</v>
      </c>
      <c r="E37" s="4" t="str">
        <f>IF(B37=0,"inactive",IF(C37="window","raw sliding window",IF(C37="short","compressed KV + Indexer Top-K","deterministic compressed KV")))</f>
        <v>deterministic compressed KV</v>
      </c>
      <c r="F37" s="4" t="str">
        <f>IF(B37=0,"inactive",IF(A37&lt;HashLayers,"hash","score"))</f>
        <v>score</v>
      </c>
    </row>
    <row r="38" spans="1:6">
      <c r="A38" s="9">
        <v>34</v>
      </c>
      <c r="B38" s="5">
        <v>1</v>
      </c>
      <c r="C38" s="5" t="s">
        <v>221</v>
      </c>
      <c r="D38" s="6">
        <f>IF(C38="window",0,IF(C38="short",ShortRatio,LongRatio))</f>
        <v>4</v>
      </c>
      <c r="E38" s="4" t="str">
        <f>IF(B38=0,"inactive",IF(C38="window","raw sliding window",IF(C38="short","compressed KV + Indexer Top-K","deterministic compressed KV")))</f>
        <v>compressed KV + Indexer Top-K</v>
      </c>
      <c r="F38" s="4" t="str">
        <f>IF(B38=0,"inactive",IF(A38&lt;HashLayers,"hash","score"))</f>
        <v>score</v>
      </c>
    </row>
    <row r="39" spans="1:6">
      <c r="A39" s="9">
        <v>35</v>
      </c>
      <c r="B39" s="5">
        <v>1</v>
      </c>
      <c r="C39" s="5" t="s">
        <v>222</v>
      </c>
      <c r="D39" s="6">
        <f>IF(C39="window",0,IF(C39="short",ShortRatio,LongRatio))</f>
        <v>128</v>
      </c>
      <c r="E39" s="4" t="str">
        <f>IF(B39=0,"inactive",IF(C39="window","raw sliding window",IF(C39="short","compressed KV + Indexer Top-K","deterministic compressed KV")))</f>
        <v>deterministic compressed KV</v>
      </c>
      <c r="F39" s="4" t="str">
        <f>IF(B39=0,"inactive",IF(A39&lt;HashLayers,"hash","score"))</f>
        <v>score</v>
      </c>
    </row>
    <row r="40" spans="1:6">
      <c r="A40" s="9">
        <v>36</v>
      </c>
      <c r="B40" s="5">
        <v>1</v>
      </c>
      <c r="C40" s="5" t="s">
        <v>221</v>
      </c>
      <c r="D40" s="6">
        <f>IF(C40="window",0,IF(C40="short",ShortRatio,LongRatio))</f>
        <v>4</v>
      </c>
      <c r="E40" s="4" t="str">
        <f>IF(B40=0,"inactive",IF(C40="window","raw sliding window",IF(C40="short","compressed KV + Indexer Top-K","deterministic compressed KV")))</f>
        <v>compressed KV + Indexer Top-K</v>
      </c>
      <c r="F40" s="4" t="str">
        <f>IF(B40=0,"inactive",IF(A40&lt;HashLayers,"hash","score"))</f>
        <v>score</v>
      </c>
    </row>
    <row r="41" spans="1:6">
      <c r="A41" s="9">
        <v>37</v>
      </c>
      <c r="B41" s="5">
        <v>1</v>
      </c>
      <c r="C41" s="5" t="s">
        <v>222</v>
      </c>
      <c r="D41" s="6">
        <f>IF(C41="window",0,IF(C41="short",ShortRatio,LongRatio))</f>
        <v>128</v>
      </c>
      <c r="E41" s="4" t="str">
        <f>IF(B41=0,"inactive",IF(C41="window","raw sliding window",IF(C41="short","compressed KV + Indexer Top-K","deterministic compressed KV")))</f>
        <v>deterministic compressed KV</v>
      </c>
      <c r="F41" s="4" t="str">
        <f>IF(B41=0,"inactive",IF(A41&lt;HashLayers,"hash","score"))</f>
        <v>score</v>
      </c>
    </row>
    <row r="42" spans="1:6">
      <c r="A42" s="9">
        <v>38</v>
      </c>
      <c r="B42" s="5">
        <v>1</v>
      </c>
      <c r="C42" s="5" t="s">
        <v>221</v>
      </c>
      <c r="D42" s="6">
        <f>IF(C42="window",0,IF(C42="short",ShortRatio,LongRatio))</f>
        <v>4</v>
      </c>
      <c r="E42" s="4" t="str">
        <f>IF(B42=0,"inactive",IF(C42="window","raw sliding window",IF(C42="short","compressed KV + Indexer Top-K","deterministic compressed KV")))</f>
        <v>compressed KV + Indexer Top-K</v>
      </c>
      <c r="F42" s="4" t="str">
        <f>IF(B42=0,"inactive",IF(A42&lt;HashLayers,"hash","score"))</f>
        <v>score</v>
      </c>
    </row>
    <row r="43" spans="1:6">
      <c r="A43" s="9">
        <v>39</v>
      </c>
      <c r="B43" s="5">
        <v>1</v>
      </c>
      <c r="C43" s="5" t="s">
        <v>222</v>
      </c>
      <c r="D43" s="6">
        <f>IF(C43="window",0,IF(C43="short",ShortRatio,LongRatio))</f>
        <v>128</v>
      </c>
      <c r="E43" s="4" t="str">
        <f>IF(B43=0,"inactive",IF(C43="window","raw sliding window",IF(C43="short","compressed KV + Indexer Top-K","deterministic compressed KV")))</f>
        <v>deterministic compressed KV</v>
      </c>
      <c r="F43" s="4" t="str">
        <f>IF(B43=0,"inactive",IF(A43&lt;HashLayers,"hash","score"))</f>
        <v>score</v>
      </c>
    </row>
    <row r="44" spans="1:6">
      <c r="A44" s="9">
        <v>40</v>
      </c>
      <c r="B44" s="5">
        <v>1</v>
      </c>
      <c r="C44" s="5" t="s">
        <v>221</v>
      </c>
      <c r="D44" s="6">
        <f>IF(C44="window",0,IF(C44="short",ShortRatio,LongRatio))</f>
        <v>4</v>
      </c>
      <c r="E44" s="4" t="str">
        <f>IF(B44=0,"inactive",IF(C44="window","raw sliding window",IF(C44="short","compressed KV + Indexer Top-K","deterministic compressed KV")))</f>
        <v>compressed KV + Indexer Top-K</v>
      </c>
      <c r="F44" s="4" t="str">
        <f>IF(B44=0,"inactive",IF(A44&lt;HashLayers,"hash","score"))</f>
        <v>score</v>
      </c>
    </row>
    <row r="45" spans="1:6">
      <c r="A45" s="9">
        <v>41</v>
      </c>
      <c r="B45" s="5">
        <v>1</v>
      </c>
      <c r="C45" s="5" t="s">
        <v>222</v>
      </c>
      <c r="D45" s="6">
        <f>IF(C45="window",0,IF(C45="short",ShortRatio,LongRatio))</f>
        <v>128</v>
      </c>
      <c r="E45" s="4" t="str">
        <f>IF(B45=0,"inactive",IF(C45="window","raw sliding window",IF(C45="short","compressed KV + Indexer Top-K","deterministic compressed KV")))</f>
        <v>deterministic compressed KV</v>
      </c>
      <c r="F45" s="4" t="str">
        <f>IF(B45=0,"inactive",IF(A45&lt;HashLayers,"hash","score"))</f>
        <v>score</v>
      </c>
    </row>
    <row r="46" spans="1:6">
      <c r="A46" s="9">
        <v>42</v>
      </c>
      <c r="B46" s="5">
        <v>1</v>
      </c>
      <c r="C46" s="5" t="s">
        <v>221</v>
      </c>
      <c r="D46" s="6">
        <f>IF(C46="window",0,IF(C46="short",ShortRatio,LongRatio))</f>
        <v>4</v>
      </c>
      <c r="E46" s="4" t="str">
        <f>IF(B46=0,"inactive",IF(C46="window","raw sliding window",IF(C46="short","compressed KV + Indexer Top-K","deterministic compressed KV")))</f>
        <v>compressed KV + Indexer Top-K</v>
      </c>
      <c r="F46" s="4" t="str">
        <f>IF(B46=0,"inactive",IF(A46&lt;HashLayers,"hash","score"))</f>
        <v>score</v>
      </c>
    </row>
    <row r="47" spans="1:6">
      <c r="A47" s="9">
        <v>43</v>
      </c>
      <c r="B47" s="5">
        <v>0</v>
      </c>
      <c r="C47" s="5" t="s">
        <v>220</v>
      </c>
      <c r="D47" s="6">
        <f>IF(C47="window",0,IF(C47="short",ShortRatio,LongRatio))</f>
        <v>0</v>
      </c>
      <c r="E47" s="4" t="str">
        <f>IF(B47=0,"inactive",IF(C47="window","raw sliding window",IF(C47="short","compressed KV + Indexer Top-K","deterministic compressed KV")))</f>
        <v>inactive</v>
      </c>
      <c r="F47" s="4" t="str">
        <f>IF(B47=0,"inactive",IF(A47&lt;HashLayers,"hash","score"))</f>
        <v>inactive</v>
      </c>
    </row>
    <row r="48" spans="1:6">
      <c r="A48" s="9">
        <v>44</v>
      </c>
      <c r="B48" s="5">
        <v>0</v>
      </c>
      <c r="C48" s="5" t="s">
        <v>220</v>
      </c>
      <c r="D48" s="6">
        <f>IF(C48="window",0,IF(C48="short",ShortRatio,LongRatio))</f>
        <v>0</v>
      </c>
      <c r="E48" s="4" t="str">
        <f>IF(B48=0,"inactive",IF(C48="window","raw sliding window",IF(C48="short","compressed KV + Indexer Top-K","deterministic compressed KV")))</f>
        <v>inactive</v>
      </c>
      <c r="F48" s="4" t="str">
        <f>IF(B48=0,"inactive",IF(A48&lt;HashLayers,"hash","score"))</f>
        <v>inactive</v>
      </c>
    </row>
    <row r="49" spans="1:6">
      <c r="A49" s="9">
        <v>45</v>
      </c>
      <c r="B49" s="5">
        <v>0</v>
      </c>
      <c r="C49" s="5" t="s">
        <v>220</v>
      </c>
      <c r="D49" s="6">
        <f>IF(C49="window",0,IF(C49="short",ShortRatio,LongRatio))</f>
        <v>0</v>
      </c>
      <c r="E49" s="4" t="str">
        <f>IF(B49=0,"inactive",IF(C49="window","raw sliding window",IF(C49="short","compressed KV + Indexer Top-K","deterministic compressed KV")))</f>
        <v>inactive</v>
      </c>
      <c r="F49" s="4" t="str">
        <f>IF(B49=0,"inactive",IF(A49&lt;HashLayers,"hash","score"))</f>
        <v>inactive</v>
      </c>
    </row>
    <row r="50" spans="1:6">
      <c r="A50" s="9">
        <v>46</v>
      </c>
      <c r="B50" s="5">
        <v>0</v>
      </c>
      <c r="C50" s="5" t="s">
        <v>220</v>
      </c>
      <c r="D50" s="6">
        <f>IF(C50="window",0,IF(C50="short",ShortRatio,LongRatio))</f>
        <v>0</v>
      </c>
      <c r="E50" s="4" t="str">
        <f>IF(B50=0,"inactive",IF(C50="window","raw sliding window",IF(C50="short","compressed KV + Indexer Top-K","deterministic compressed KV")))</f>
        <v>inactive</v>
      </c>
      <c r="F50" s="4" t="str">
        <f>IF(B50=0,"inactive",IF(A50&lt;HashLayers,"hash","score"))</f>
        <v>inactive</v>
      </c>
    </row>
    <row r="51" spans="1:6">
      <c r="A51" s="9">
        <v>47</v>
      </c>
      <c r="B51" s="5">
        <v>0</v>
      </c>
      <c r="C51" s="5" t="s">
        <v>220</v>
      </c>
      <c r="D51" s="6">
        <f>IF(C51="window",0,IF(C51="short",ShortRatio,LongRatio))</f>
        <v>0</v>
      </c>
      <c r="E51" s="4" t="str">
        <f>IF(B51=0,"inactive",IF(C51="window","raw sliding window",IF(C51="short","compressed KV + Indexer Top-K","deterministic compressed KV")))</f>
        <v>inactive</v>
      </c>
      <c r="F51" s="4" t="str">
        <f>IF(B51=0,"inactive",IF(A51&lt;HashLayers,"hash","score"))</f>
        <v>inactive</v>
      </c>
    </row>
    <row r="52" spans="1:6">
      <c r="A52" s="9">
        <v>48</v>
      </c>
      <c r="B52" s="5">
        <v>0</v>
      </c>
      <c r="C52" s="5" t="s">
        <v>220</v>
      </c>
      <c r="D52" s="6">
        <f>IF(C52="window",0,IF(C52="short",ShortRatio,LongRatio))</f>
        <v>0</v>
      </c>
      <c r="E52" s="4" t="str">
        <f>IF(B52=0,"inactive",IF(C52="window","raw sliding window",IF(C52="short","compressed KV + Indexer Top-K","deterministic compressed KV")))</f>
        <v>inactive</v>
      </c>
      <c r="F52" s="4" t="str">
        <f>IF(B52=0,"inactive",IF(A52&lt;HashLayers,"hash","score"))</f>
        <v>inactive</v>
      </c>
    </row>
    <row r="53" spans="1:6">
      <c r="A53" s="9">
        <v>49</v>
      </c>
      <c r="B53" s="5">
        <v>0</v>
      </c>
      <c r="C53" s="5" t="s">
        <v>220</v>
      </c>
      <c r="D53" s="6">
        <f>IF(C53="window",0,IF(C53="short",ShortRatio,LongRatio))</f>
        <v>0</v>
      </c>
      <c r="E53" s="4" t="str">
        <f>IF(B53=0,"inactive",IF(C53="window","raw sliding window",IF(C53="short","compressed KV + Indexer Top-K","deterministic compressed KV")))</f>
        <v>inactive</v>
      </c>
      <c r="F53" s="4" t="str">
        <f>IF(B53=0,"inactive",IF(A53&lt;HashLayers,"hash","score"))</f>
        <v>inactive</v>
      </c>
    </row>
    <row r="54" spans="1:6">
      <c r="A54" s="9">
        <v>50</v>
      </c>
      <c r="B54" s="5">
        <v>0</v>
      </c>
      <c r="C54" s="5" t="s">
        <v>220</v>
      </c>
      <c r="D54" s="6">
        <f>IF(C54="window",0,IF(C54="short",ShortRatio,LongRatio))</f>
        <v>0</v>
      </c>
      <c r="E54" s="4" t="str">
        <f>IF(B54=0,"inactive",IF(C54="window","raw sliding window",IF(C54="short","compressed KV + Indexer Top-K","deterministic compressed KV")))</f>
        <v>inactive</v>
      </c>
      <c r="F54" s="4" t="str">
        <f>IF(B54=0,"inactive",IF(A54&lt;HashLayers,"hash","score"))</f>
        <v>inactive</v>
      </c>
    </row>
    <row r="55" spans="1:6">
      <c r="A55" s="9">
        <v>51</v>
      </c>
      <c r="B55" s="5">
        <v>0</v>
      </c>
      <c r="C55" s="5" t="s">
        <v>220</v>
      </c>
      <c r="D55" s="6">
        <f>IF(C55="window",0,IF(C55="short",ShortRatio,LongRatio))</f>
        <v>0</v>
      </c>
      <c r="E55" s="4" t="str">
        <f>IF(B55=0,"inactive",IF(C55="window","raw sliding window",IF(C55="short","compressed KV + Indexer Top-K","deterministic compressed KV")))</f>
        <v>inactive</v>
      </c>
      <c r="F55" s="4" t="str">
        <f>IF(B55=0,"inactive",IF(A55&lt;HashLayers,"hash","score"))</f>
        <v>inactive</v>
      </c>
    </row>
    <row r="56" spans="1:6">
      <c r="A56" s="9">
        <v>52</v>
      </c>
      <c r="B56" s="5">
        <v>0</v>
      </c>
      <c r="C56" s="5" t="s">
        <v>220</v>
      </c>
      <c r="D56" s="6">
        <f>IF(C56="window",0,IF(C56="short",ShortRatio,LongRatio))</f>
        <v>0</v>
      </c>
      <c r="E56" s="4" t="str">
        <f>IF(B56=0,"inactive",IF(C56="window","raw sliding window",IF(C56="short","compressed KV + Indexer Top-K","deterministic compressed KV")))</f>
        <v>inactive</v>
      </c>
      <c r="F56" s="4" t="str">
        <f>IF(B56=0,"inactive",IF(A56&lt;HashLayers,"hash","score"))</f>
        <v>inactive</v>
      </c>
    </row>
    <row r="57" spans="1:6">
      <c r="A57" s="9">
        <v>53</v>
      </c>
      <c r="B57" s="5">
        <v>0</v>
      </c>
      <c r="C57" s="5" t="s">
        <v>220</v>
      </c>
      <c r="D57" s="6">
        <f>IF(C57="window",0,IF(C57="short",ShortRatio,LongRatio))</f>
        <v>0</v>
      </c>
      <c r="E57" s="4" t="str">
        <f>IF(B57=0,"inactive",IF(C57="window","raw sliding window",IF(C57="short","compressed KV + Indexer Top-K","deterministic compressed KV")))</f>
        <v>inactive</v>
      </c>
      <c r="F57" s="4" t="str">
        <f>IF(B57=0,"inactive",IF(A57&lt;HashLayers,"hash","score"))</f>
        <v>inactive</v>
      </c>
    </row>
    <row r="58" spans="1:6">
      <c r="A58" s="9">
        <v>54</v>
      </c>
      <c r="B58" s="5">
        <v>0</v>
      </c>
      <c r="C58" s="5" t="s">
        <v>220</v>
      </c>
      <c r="D58" s="6">
        <f>IF(C58="window",0,IF(C58="short",ShortRatio,LongRatio))</f>
        <v>0</v>
      </c>
      <c r="E58" s="4" t="str">
        <f>IF(B58=0,"inactive",IF(C58="window","raw sliding window",IF(C58="short","compressed KV + Indexer Top-K","deterministic compressed KV")))</f>
        <v>inactive</v>
      </c>
      <c r="F58" s="4" t="str">
        <f>IF(B58=0,"inactive",IF(A58&lt;HashLayers,"hash","score"))</f>
        <v>inactive</v>
      </c>
    </row>
    <row r="59" spans="1:6">
      <c r="A59" s="9">
        <v>55</v>
      </c>
      <c r="B59" s="5">
        <v>0</v>
      </c>
      <c r="C59" s="5" t="s">
        <v>220</v>
      </c>
      <c r="D59" s="6">
        <f>IF(C59="window",0,IF(C59="short",ShortRatio,LongRatio))</f>
        <v>0</v>
      </c>
      <c r="E59" s="4" t="str">
        <f>IF(B59=0,"inactive",IF(C59="window","raw sliding window",IF(C59="short","compressed KV + Indexer Top-K","deterministic compressed KV")))</f>
        <v>inactive</v>
      </c>
      <c r="F59" s="4" t="str">
        <f>IF(B59=0,"inactive",IF(A59&lt;HashLayers,"hash","score"))</f>
        <v>inactive</v>
      </c>
    </row>
    <row r="60" spans="1:6">
      <c r="A60" s="9">
        <v>56</v>
      </c>
      <c r="B60" s="5">
        <v>0</v>
      </c>
      <c r="C60" s="5" t="s">
        <v>220</v>
      </c>
      <c r="D60" s="6">
        <f>IF(C60="window",0,IF(C60="short",ShortRatio,LongRatio))</f>
        <v>0</v>
      </c>
      <c r="E60" s="4" t="str">
        <f>IF(B60=0,"inactive",IF(C60="window","raw sliding window",IF(C60="short","compressed KV + Indexer Top-K","deterministic compressed KV")))</f>
        <v>inactive</v>
      </c>
      <c r="F60" s="4" t="str">
        <f>IF(B60=0,"inactive",IF(A60&lt;HashLayers,"hash","score"))</f>
        <v>inactive</v>
      </c>
    </row>
    <row r="61" spans="1:6">
      <c r="A61" s="9">
        <v>57</v>
      </c>
      <c r="B61" s="5">
        <v>0</v>
      </c>
      <c r="C61" s="5" t="s">
        <v>220</v>
      </c>
      <c r="D61" s="6">
        <f>IF(C61="window",0,IF(C61="short",ShortRatio,LongRatio))</f>
        <v>0</v>
      </c>
      <c r="E61" s="4" t="str">
        <f>IF(B61=0,"inactive",IF(C61="window","raw sliding window",IF(C61="short","compressed KV + Indexer Top-K","deterministic compressed KV")))</f>
        <v>inactive</v>
      </c>
      <c r="F61" s="4" t="str">
        <f>IF(B61=0,"inactive",IF(A61&lt;HashLayers,"hash","score"))</f>
        <v>inactive</v>
      </c>
    </row>
    <row r="62" spans="1:6">
      <c r="A62" s="9">
        <v>58</v>
      </c>
      <c r="B62" s="5">
        <v>0</v>
      </c>
      <c r="C62" s="5" t="s">
        <v>220</v>
      </c>
      <c r="D62" s="6">
        <f>IF(C62="window",0,IF(C62="short",ShortRatio,LongRatio))</f>
        <v>0</v>
      </c>
      <c r="E62" s="4" t="str">
        <f>IF(B62=0,"inactive",IF(C62="window","raw sliding window",IF(C62="short","compressed KV + Indexer Top-K","deterministic compressed KV")))</f>
        <v>inactive</v>
      </c>
      <c r="F62" s="4" t="str">
        <f>IF(B62=0,"inactive",IF(A62&lt;HashLayers,"hash","score"))</f>
        <v>inactive</v>
      </c>
    </row>
    <row r="63" spans="1:6">
      <c r="A63" s="9">
        <v>59</v>
      </c>
      <c r="B63" s="5">
        <v>0</v>
      </c>
      <c r="C63" s="5" t="s">
        <v>220</v>
      </c>
      <c r="D63" s="6">
        <f>IF(C63="window",0,IF(C63="short",ShortRatio,LongRatio))</f>
        <v>0</v>
      </c>
      <c r="E63" s="4" t="str">
        <f>IF(B63=0,"inactive",IF(C63="window","raw sliding window",IF(C63="short","compressed KV + Indexer Top-K","deterministic compressed KV")))</f>
        <v>inactive</v>
      </c>
      <c r="F63" s="4" t="str">
        <f>IF(B63=0,"inactive",IF(A63&lt;HashLayers,"hash","score"))</f>
        <v>inactive</v>
      </c>
    </row>
    <row r="64" spans="1:6">
      <c r="A64" s="9">
        <v>60</v>
      </c>
      <c r="B64" s="5">
        <v>0</v>
      </c>
      <c r="C64" s="5" t="s">
        <v>220</v>
      </c>
      <c r="D64" s="6">
        <f>IF(C64="window",0,IF(C64="short",ShortRatio,LongRatio))</f>
        <v>0</v>
      </c>
      <c r="E64" s="4" t="str">
        <f>IF(B64=0,"inactive",IF(C64="window","raw sliding window",IF(C64="short","compressed KV + Indexer Top-K","deterministic compressed KV")))</f>
        <v>inactive</v>
      </c>
      <c r="F64" s="4" t="str">
        <f>IF(B64=0,"inactive",IF(A64&lt;HashLayers,"hash","score"))</f>
        <v>inactive</v>
      </c>
    </row>
    <row r="65" spans="1:6">
      <c r="A65" s="9">
        <v>61</v>
      </c>
      <c r="B65" s="5">
        <v>0</v>
      </c>
      <c r="C65" s="5" t="s">
        <v>220</v>
      </c>
      <c r="D65" s="6">
        <f>IF(C65="window",0,IF(C65="short",ShortRatio,LongRatio))</f>
        <v>0</v>
      </c>
      <c r="E65" s="4" t="str">
        <f>IF(B65=0,"inactive",IF(C65="window","raw sliding window",IF(C65="short","compressed KV + Indexer Top-K","deterministic compressed KV")))</f>
        <v>inactive</v>
      </c>
      <c r="F65" s="4" t="str">
        <f>IF(B65=0,"inactive",IF(A65&lt;HashLayers,"hash","score"))</f>
        <v>inactive</v>
      </c>
    </row>
    <row r="66" spans="1:6">
      <c r="A66" s="9">
        <v>62</v>
      </c>
      <c r="B66" s="5">
        <v>0</v>
      </c>
      <c r="C66" s="5" t="s">
        <v>220</v>
      </c>
      <c r="D66" s="6">
        <f>IF(C66="window",0,IF(C66="short",ShortRatio,LongRatio))</f>
        <v>0</v>
      </c>
      <c r="E66" s="4" t="str">
        <f>IF(B66=0,"inactive",IF(C66="window","raw sliding window",IF(C66="short","compressed KV + Indexer Top-K","deterministic compressed KV")))</f>
        <v>inactive</v>
      </c>
      <c r="F66" s="4" t="str">
        <f>IF(B66=0,"inactive",IF(A66&lt;HashLayers,"hash","score"))</f>
        <v>inactive</v>
      </c>
    </row>
    <row r="67" spans="1:6">
      <c r="A67" s="9">
        <v>63</v>
      </c>
      <c r="B67" s="5">
        <v>0</v>
      </c>
      <c r="C67" s="5" t="s">
        <v>220</v>
      </c>
      <c r="D67" s="6">
        <f>IF(C67="window",0,IF(C67="short",ShortRatio,LongRatio))</f>
        <v>0</v>
      </c>
      <c r="E67" s="4" t="str">
        <f>IF(B67=0,"inactive",IF(C67="window","raw sliding window",IF(C67="short","compressed KV + Indexer Top-K","deterministic compressed KV")))</f>
        <v>inactive</v>
      </c>
      <c r="F67" s="4" t="str">
        <f>IF(B67=0,"inactive",IF(A67&lt;HashLayers,"hash","score"))</f>
        <v>inactive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40"/>
  <sheetViews>
    <sheetView showGridLines="0" workbookViewId="0">
      <pane xSplit="4" ySplit="28" topLeftCell="E29" activePane="bottomRight" state="frozen"/>
      <selection pane="topRight" activeCell="E1" sqref="E1"/>
      <selection pane="bottomLeft" activeCell="A29" sqref="A29"/>
      <selection pane="bottomRight"/>
    </sheetView>
  </sheetViews>
  <sheetFormatPr defaultRowHeight="15"/>
  <cols>
    <col min="1" max="1" width="16.7109375" customWidth="1"/>
    <col min="2" max="2" width="33.7109375" customWidth="1"/>
    <col min="3" max="3" width="25.7109375" customWidth="1"/>
    <col min="4" max="4" width="58.7109375" customWidth="1"/>
    <col min="5" max="11" width="20.7109375" customWidth="1"/>
    <col min="12" max="12" width="13.7109375" customWidth="1"/>
    <col min="13" max="13" width="62.7109375" customWidth="1"/>
  </cols>
  <sheetData>
    <row r="1" spans="1:4">
      <c r="A1" s="1" t="s">
        <v>223</v>
      </c>
    </row>
    <row r="2" spans="1:4">
      <c r="A2" s="2" t="s">
        <v>224</v>
      </c>
    </row>
    <row r="3" spans="1:4">
      <c r="A3" s="3" t="s">
        <v>225</v>
      </c>
      <c r="B3" s="3" t="s">
        <v>226</v>
      </c>
      <c r="C3" s="3" t="s">
        <v>5</v>
      </c>
      <c r="D3" s="3" t="s">
        <v>6</v>
      </c>
    </row>
    <row r="4" spans="1:4">
      <c r="A4" s="4" t="s">
        <v>227</v>
      </c>
      <c r="B4" s="4">
        <f>PrefillBatch*PrefillSequence</f>
        <v>0</v>
      </c>
      <c r="C4" s="6">
        <f>PrefillBatch*PrefillSequence</f>
        <v>8192</v>
      </c>
      <c r="D4" s="4" t="s">
        <v>228</v>
      </c>
    </row>
    <row r="5" spans="1:4">
      <c r="A5" s="4" t="s">
        <v>229</v>
      </c>
      <c r="B5" s="4">
        <f>IF(PrefillSequence&lt;=WindowSize,PrefillSequence*(PrefillSequence+1)/2,WindowSize*(WindowSize+1)/2+(PrefillSequence-WindowSize)*WindowSize)</f>
        <v>0</v>
      </c>
      <c r="C5" s="6">
        <f>IF(PrefillSequence&lt;=WindowSize,PrefillSequence*(PrefillSequence+1)/2,WindowSize*(WindowSize+1)/2+(PrefillSequence-WindowSize)*WindowSize)</f>
        <v>1040448</v>
      </c>
      <c r="D5" s="4" t="s">
        <v>230</v>
      </c>
    </row>
    <row r="6" spans="1:4">
      <c r="A6" s="4" t="s">
        <v>231</v>
      </c>
      <c r="B6" s="4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0</v>
      </c>
      <c r="C6" s="6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  <c r="D6" s="4" t="s">
        <v>230</v>
      </c>
    </row>
    <row r="7" spans="1:4">
      <c r="A7" s="4" t="s">
        <v>232</v>
      </c>
      <c r="B7" s="4">
        <f>LongRatio*INT(PrefillSequence/LongRatio)*(INT(PrefillSequence/LongRatio)-1)/2+INT(PrefillSequence/LongRatio)*(MOD(PrefillSequence,LongRatio)+1)</f>
        <v>0</v>
      </c>
      <c r="C7" s="6">
        <f>LongRatio*INT(PrefillSequence/LongRatio)*(INT(PrefillSequence/LongRatio)-1)/2+INT(PrefillSequence/LongRatio)*(MOD(PrefillSequence,LongRatio)+1)</f>
        <v>258112</v>
      </c>
      <c r="D7" s="4" t="s">
        <v>230</v>
      </c>
    </row>
    <row r="8" spans="1:4">
      <c r="A8" s="4" t="s">
        <v>233</v>
      </c>
      <c r="B8" s="4">
        <f>ShortRatio*INT(PrefillSequence/ShortRatio)*(INT(PrefillSequence/ShortRatio)-1)/2+INT(PrefillSequence/ShortRatio)*(MOD(PrefillSequence,ShortRatio)+1)</f>
        <v>0</v>
      </c>
      <c r="C8" s="6">
        <f>ShortRatio*INT(PrefillSequence/ShortRatio)*(INT(PrefillSequence/ShortRatio)-1)/2+INT(PrefillSequence/ShortRatio)*(MOD(PrefillSequence,ShortRatio)+1)</f>
        <v>8386560</v>
      </c>
      <c r="D8" s="4" t="s">
        <v>230</v>
      </c>
    </row>
    <row r="9" spans="1:4">
      <c r="A9" s="4" t="s">
        <v>234</v>
      </c>
      <c r="B9" s="4">
        <f>1-(1-ActivatedExperts/RoutedExperts)^PF_Rows</f>
        <v>0</v>
      </c>
      <c r="C9" s="6">
        <f>1-(1-ActivatedExperts/RoutedExperts)^PF_Rows</f>
        <v>1.0</v>
      </c>
      <c r="D9" s="4" t="s">
        <v>235</v>
      </c>
    </row>
    <row r="11" spans="1:4">
      <c r="A11" s="7" t="s">
        <v>236</v>
      </c>
      <c r="B11" s="7"/>
      <c r="C11" s="7"/>
      <c r="D11" s="7"/>
    </row>
    <row r="12" spans="1:4">
      <c r="A12" s="3" t="s">
        <v>237</v>
      </c>
      <c r="B12" s="3" t="s">
        <v>226</v>
      </c>
      <c r="C12" s="3" t="s">
        <v>5</v>
      </c>
      <c r="D12" s="3" t="s">
        <v>6</v>
      </c>
    </row>
    <row r="13" spans="1:4">
      <c r="A13" s="4" t="s">
        <v>238</v>
      </c>
      <c r="B13" s="4">
        <f>SUMIFS($F$29:$F$40,$A$29:$A$40,"Attention",$L$29:$L$40,"Major")</f>
        <v>0</v>
      </c>
      <c r="C13" s="6">
        <f>SUMIFS($F$29:$F$40,$A$29:$A$40,"Attention",$L$29:$L$40,"Major")</f>
        <v>102836037746688.0</v>
      </c>
      <c r="D13" s="4" t="s">
        <v>239</v>
      </c>
    </row>
    <row r="14" spans="1:4">
      <c r="A14" s="4" t="s">
        <v>240</v>
      </c>
      <c r="B14" s="4">
        <f>SUMIFS($F$29:$F$40,$A$29:$A$40,"MoE",$L$29:$L$40,"Major")</f>
        <v>0</v>
      </c>
      <c r="C14" s="6">
        <f>SUMIFS($F$29:$F$40,$A$29:$A$40,"MoE",$L$29:$L$40,"Major")</f>
        <v>124846109360128.0</v>
      </c>
      <c r="D14" s="4" t="s">
        <v>239</v>
      </c>
    </row>
    <row r="15" spans="1:4">
      <c r="A15" s="4" t="s">
        <v>241</v>
      </c>
      <c r="B15" s="4">
        <f>SUM($F$29:$F$40)</f>
        <v>0</v>
      </c>
      <c r="C15" s="6">
        <f>SUM($F$29:$F$40)</f>
        <v>228384427393024.0</v>
      </c>
      <c r="D15" s="4" t="s">
        <v>239</v>
      </c>
    </row>
    <row r="16" spans="1:4">
      <c r="A16" s="4" t="s">
        <v>242</v>
      </c>
      <c r="B16" s="4">
        <f>SUM($E$29:$E$40)</f>
        <v>0</v>
      </c>
      <c r="C16" s="6">
        <f>SUM($E$29:$E$40)</f>
        <v>228384427393024</v>
      </c>
      <c r="D16" s="4" t="s">
        <v>239</v>
      </c>
    </row>
    <row r="17" spans="1:13">
      <c r="A17" s="4" t="s">
        <v>243</v>
      </c>
      <c r="B17" s="4">
        <f>SUM($G$29:$G$40)</f>
        <v>0</v>
      </c>
      <c r="C17" s="6">
        <f>SUM($G$29:$G$40)</f>
        <v>493459415752.0</v>
      </c>
      <c r="D17" s="4" t="s">
        <v>118</v>
      </c>
    </row>
    <row r="18" spans="1:13">
      <c r="A18" s="4" t="s">
        <v>244</v>
      </c>
      <c r="B18" s="4">
        <f>SUM($H$29:$H$40)</f>
        <v>0</v>
      </c>
      <c r="C18" s="6">
        <f>SUM($H$29:$H$40)</f>
        <v>151162799104.0</v>
      </c>
      <c r="D18" s="4" t="s">
        <v>118</v>
      </c>
    </row>
    <row r="19" spans="1:13">
      <c r="A19" s="4" t="s">
        <v>245</v>
      </c>
      <c r="B19" s="4">
        <f>SUM($I$29:$I$40)</f>
        <v>0</v>
      </c>
      <c r="C19" s="6">
        <f>SUM($I$29:$I$40)</f>
        <v>644622214856.0</v>
      </c>
      <c r="D19" s="4" t="s">
        <v>118</v>
      </c>
    </row>
    <row r="20" spans="1:13">
      <c r="A20" s="4" t="s">
        <v>246</v>
      </c>
      <c r="B20" s="4">
        <f>SUM($K$29:$K$40)</f>
        <v>0</v>
      </c>
      <c r="C20" s="6">
        <f>SUM($K$29:$K$40)</f>
        <v>0.0</v>
      </c>
      <c r="D20" s="4" t="s">
        <v>118</v>
      </c>
    </row>
    <row r="21" spans="1:13">
      <c r="A21" s="4" t="s">
        <v>247</v>
      </c>
      <c r="B21" s="4">
        <f>C15/C19</f>
        <v>0</v>
      </c>
      <c r="C21" s="6">
        <f>C15/C19</f>
        <v>354.29189706724895</v>
      </c>
      <c r="D21" s="4" t="s">
        <v>248</v>
      </c>
    </row>
    <row r="22" spans="1:13">
      <c r="A22" s="4" t="s">
        <v>249</v>
      </c>
      <c r="B22" s="4">
        <f>C15/(PrefillTargetMs/1000)/1E12</f>
        <v>0</v>
      </c>
      <c r="C22" s="6">
        <f>C15/(PrefillTargetMs/1000)/1E12</f>
        <v>228.384427393024</v>
      </c>
      <c r="D22" s="4" t="s">
        <v>152</v>
      </c>
    </row>
    <row r="23" spans="1:13">
      <c r="A23" s="4" t="s">
        <v>250</v>
      </c>
      <c r="B23" s="4">
        <f>C19/(PrefillTargetMs/1000)/1E9</f>
        <v>0</v>
      </c>
      <c r="C23" s="6">
        <f>C19/(PrefillTargetMs/1000)/1E9</f>
        <v>644.622214856</v>
      </c>
      <c r="D23" s="4" t="s">
        <v>156</v>
      </c>
    </row>
    <row r="24" spans="1:13">
      <c r="A24" s="4" t="s">
        <v>251</v>
      </c>
      <c r="B24" s="4">
        <f>C15/(PeakTFLOPs*1E12)*1000</f>
        <v>0</v>
      </c>
      <c r="C24" s="6">
        <f>C15/(PeakTFLOPs*1E12)*1000</f>
        <v>228.384427393024</v>
      </c>
      <c r="D24" s="4" t="s">
        <v>163</v>
      </c>
    </row>
    <row r="25" spans="1:13">
      <c r="A25" s="4" t="s">
        <v>252</v>
      </c>
      <c r="B25" s="4">
        <f>C19/(HBMBandwidthGBps*1E9)*1000</f>
        <v>0</v>
      </c>
      <c r="C25" s="6">
        <f>C19/(HBMBandwidthGBps*1E9)*1000</f>
        <v>214.87407161866668</v>
      </c>
      <c r="D25" s="4" t="s">
        <v>163</v>
      </c>
    </row>
    <row r="26" spans="1:13">
      <c r="A26" s="4" t="s">
        <v>253</v>
      </c>
      <c r="B26" s="4">
        <f>IF(TPSize=1,0,C20/(InterconnectGBps*1E9)*1000)</f>
        <v>0</v>
      </c>
      <c r="C26" s="6">
        <f>IF(TPSize=1,0,C20/(InterconnectGBps*1E9)*1000)</f>
        <v>0</v>
      </c>
      <c r="D26" s="4" t="s">
        <v>163</v>
      </c>
    </row>
    <row r="27" spans="1:13">
      <c r="A27" s="7" t="s">
        <v>254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</row>
    <row r="28" spans="1:13">
      <c r="A28" s="3" t="s">
        <v>2</v>
      </c>
      <c r="B28" s="3" t="s">
        <v>255</v>
      </c>
      <c r="C28" s="3" t="s">
        <v>256</v>
      </c>
      <c r="D28" s="3" t="s">
        <v>257</v>
      </c>
      <c r="E28" s="3" t="s">
        <v>258</v>
      </c>
      <c r="F28" s="3" t="s">
        <v>259</v>
      </c>
      <c r="G28" s="3" t="s">
        <v>260</v>
      </c>
      <c r="H28" s="3" t="s">
        <v>261</v>
      </c>
      <c r="I28" s="3" t="s">
        <v>262</v>
      </c>
      <c r="J28" s="3" t="s">
        <v>248</v>
      </c>
      <c r="K28" s="3" t="s">
        <v>263</v>
      </c>
      <c r="L28" s="3" t="s">
        <v>264</v>
      </c>
      <c r="M28" s="3" t="s">
        <v>265</v>
      </c>
    </row>
    <row r="29" spans="1:13">
      <c r="A29" s="4" t="s">
        <v>43</v>
      </c>
      <c r="B29" s="4" t="s">
        <v>266</v>
      </c>
      <c r="C29" s="4" t="s">
        <v>267</v>
      </c>
      <c r="D29" s="4" t="s">
        <v>268</v>
      </c>
      <c r="E29" s="10">
        <f>PF_Rows*TotalLayers*2*(HiddenSize*QLoraRank+QLoraRank*NumHeads*HeadDim+HiddenSize*HeadDim+NumHeads*HeadDim*OLoraRank+OGroups*OLoraRank*HiddenSize)</f>
        <v>75350906241024</v>
      </c>
      <c r="F29" s="10">
        <f>PF_Rows*TotalLayers*2*(HiddenSize*QLoraRank+QLoraRank*LocalHeads*HeadDim+HiddenSize*HeadDim+LocalHeads*HeadDim*OLoraRank+LocalOGroups*OLoraRank*HiddenSize)</f>
        <v>75350906241024.0</v>
      </c>
      <c r="G29" s="9">
        <f>TotalLayers*(((HiddenSize)*(QLoraRank)*FP8Bytes+ROUNDUP((HiddenSize)/FP8Block,0)*ROUNDUP((QLoraRank)/FP8Block,0)*ScaleBytes)+((QLoraRank)*(LocalHeads*HeadDim)*FP8Bytes+ROUNDUP((QLoraRank)/FP8Block,0)*ROUNDUP((LocalHeads*HeadDim)/FP8Block,0)*ScaleBytes)+((HiddenSize)*(HeadDim)*FP8Bytes+ROUNDUP((HiddenSize)/FP8Block,0)*ROUNDUP((HeadDim)/FP8Block,0)*ScaleBytes)+LocalHeads*HeadDim*OLoraRank*BF16Bytes+((LocalOGroups*OLoraRank)*(HiddenSize)*FP8Bytes+ROUNDUP((LocalOGroups*OLoraRank)/FP8Block,0)*ROUNDUP((HiddenSize)/FP8Block,0)*ScaleBytes))+PF_Rows*TotalLayers*(2*HiddenSize*BF16Bytes+QLoraRank*BF16Bytes+KernelLocalHeads*HeadDim*BF16Bytes+LocalOGroups*OLoraRank*BF16Bytes)</f>
        <v>41391681664.0</v>
      </c>
      <c r="H29" s="9">
        <f>PF_Rows*TotalLayers*(QLoraRank+KernelLocalHeads*HeadDim+HeadDim+LocalOGroups*OLoraRank+HiddenSize)*BF16Bytes</f>
        <v>32824623104.0</v>
      </c>
      <c r="I29" s="9">
        <f>G29+H29</f>
        <v>74216304768.0</v>
      </c>
      <c r="J29" s="11">
        <f>IF(I29=0,0,F29/I29)</f>
        <v>1015.2877656273882</v>
      </c>
      <c r="K29" s="9">
        <f>0</f>
        <v>0</v>
      </c>
      <c r="L29" s="4" t="s">
        <v>269</v>
      </c>
      <c r="M29" s="4" t="s">
        <v>270</v>
      </c>
    </row>
    <row r="30" spans="1:13">
      <c r="A30" s="4" t="s">
        <v>43</v>
      </c>
      <c r="B30" s="4" t="s">
        <v>271</v>
      </c>
      <c r="C30" s="4" t="s">
        <v>272</v>
      </c>
      <c r="D30" s="4" t="s">
        <v>273</v>
      </c>
      <c r="E30" s="10">
        <f>4*PrefillBatch*NumHeads*HeadDim*(WindowLayers*PF_RawPairs+ShortLayers*(PF_RawPairs+PF_ShortPairs)+LongLayers*(PF_RawPairs+PF_LongPairs))</f>
        <v>16641043726336</v>
      </c>
      <c r="F30" s="10">
        <f>4*PrefillBatch*KernelLocalHeads*HeadDim*(WindowLayers*PF_RawPairs+ShortLayers*(PF_RawPairs+PF_ShortPairs)+LongLayers*(PF_RawPairs+PF_LongPairs))</f>
        <v>16641043726336.0</v>
      </c>
      <c r="G30" s="9">
        <f>PF_Rows*TotalLayers*KernelLocalHeads*HeadDim*BF16Bytes+PrefillBatch*(WindowLayers*PF_RawPairs+ShortLayers*(PF_RawPairs+PF_ShortPairs)+LongLayers*(PF_RawPairs+PF_LongPairs))*HeadDim*BF16Bytes</f>
        <v>153093603328.0</v>
      </c>
      <c r="H30" s="9">
        <f>PF_Rows*TotalLayers*KernelLocalHeads*HeadDim*BF16Bytes</f>
        <v>23085449216.0</v>
      </c>
      <c r="I30" s="9">
        <f>G30+H30</f>
        <v>176179052544.0</v>
      </c>
      <c r="J30" s="11">
        <f>IF(I30=0,0,F30/I30)</f>
        <v>94.45529128487036</v>
      </c>
      <c r="K30" s="9">
        <f>0</f>
        <v>0</v>
      </c>
      <c r="L30" s="4" t="s">
        <v>269</v>
      </c>
      <c r="M30" s="4" t="s">
        <v>274</v>
      </c>
    </row>
    <row r="31" spans="1:13">
      <c r="A31" s="4" t="s">
        <v>43</v>
      </c>
      <c r="B31" s="4" t="s">
        <v>275</v>
      </c>
      <c r="C31" s="4" t="s">
        <v>174</v>
      </c>
      <c r="D31" s="4" t="s">
        <v>276</v>
      </c>
      <c r="E31" s="10">
        <f>2*PF_Rows*ShortLayers*(QLoraRank*IndexHeads*IndexHeadDim+HiddenSize*IndexHeads)</f>
        <v>2976412336128</v>
      </c>
      <c r="F31" s="10">
        <f>2*PF_Rows*ShortLayers*(QLoraRank*LocalIndexHeads*IndexHeadDim+HiddenSize*LocalIndexHeads)</f>
        <v>2976412336128.0</v>
      </c>
      <c r="G31" s="9">
        <f>ShortLayers*(((QLoraRank)*(LocalIndexHeads*IndexHeadDim)*FP8Bytes+ROUNDUP((QLoraRank)/FP8Block,0)*ROUNDUP((LocalIndexHeads*IndexHeadDim)/FP8Block,0)*ScaleBytes)+HiddenSize*LocalIndexHeads*BF16Bytes)+PF_Rows*ShortLayers*(QLoraRank+HiddenSize)*BF16Bytes</f>
        <v>1948789248</v>
      </c>
      <c r="H31" s="9">
        <f>PF_Rows*ShortLayers*LocalIndexHeads*(IndexHeadDim+1)*BF16Bytes</f>
        <v>2840592384.0</v>
      </c>
      <c r="I31" s="9">
        <f>G31+H31</f>
        <v>4789381632.0</v>
      </c>
      <c r="J31" s="11">
        <f>IF(I31=0,0,F31/I31)</f>
        <v>621.4606738041626</v>
      </c>
      <c r="K31" s="9">
        <f>0</f>
        <v>0</v>
      </c>
      <c r="L31" s="4" t="s">
        <v>269</v>
      </c>
      <c r="M31" s="4" t="s">
        <v>277</v>
      </c>
    </row>
    <row r="32" spans="1:13">
      <c r="A32" s="4" t="s">
        <v>43</v>
      </c>
      <c r="B32" s="4" t="s">
        <v>278</v>
      </c>
      <c r="C32" s="4" t="s">
        <v>174</v>
      </c>
      <c r="D32" s="4" t="s">
        <v>279</v>
      </c>
      <c r="E32" s="10">
        <f>2*PrefillBatch*ShortLayers*IndexHeads*IndexHeadDim*PF_IndexPairs</f>
        <v>2885513379840</v>
      </c>
      <c r="F32" s="10">
        <f>2*PrefillBatch*ShortLayers*LocalIndexHeads*IndexHeadDim*PF_IndexPairs</f>
        <v>2885513379840.0</v>
      </c>
      <c r="G32" s="9">
        <f>PrefillBatch*ShortLayers*PF_IndexPairs*(IndexHeadDim*BF16Bytes+LocalIndexHeads*BF16Bytes)</f>
        <v>67629219840.0</v>
      </c>
      <c r="H32" s="9">
        <f>PrefillBatch*ShortLayers*PF_IndexPairs*(LocalIndexHeads*BF16Bytes+FP32Bytes)</f>
        <v>23247544320.0</v>
      </c>
      <c r="I32" s="9">
        <f>G32+H32</f>
        <v>90876764160.0</v>
      </c>
      <c r="J32" s="11">
        <f>IF(I32=0,0,F32/I32)</f>
        <v>31.751937984496124</v>
      </c>
      <c r="K32" s="9">
        <f>0</f>
        <v>0</v>
      </c>
      <c r="L32" s="4" t="s">
        <v>269</v>
      </c>
      <c r="M32" s="4" t="s">
        <v>280</v>
      </c>
    </row>
    <row r="33" spans="1:13">
      <c r="A33" s="4" t="s">
        <v>43</v>
      </c>
      <c r="B33" s="4" t="s">
        <v>281</v>
      </c>
      <c r="C33" s="4" t="s">
        <v>282</v>
      </c>
      <c r="D33" s="4" t="s">
        <v>283</v>
      </c>
      <c r="E33" s="10">
        <f>PF_Rows*(ShortLayers*8*HiddenSize*HeadDim+LongLayers*4*HiddenSize*HeadDim)</f>
        <v>4260607557632</v>
      </c>
      <c r="F33" s="10">
        <f>PF_Rows*(ShortLayers*8*HiddenSize*HeadDim+LongLayers*4*HiddenSize*HeadDim)</f>
        <v>4260607557632</v>
      </c>
      <c r="G33" s="9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H33" s="9">
        <f>PF_Rows*(ShortLayers*4*HeadDim+LongLayers*2*HeadDim)*FP32Bytes</f>
        <v>2080374784</v>
      </c>
      <c r="I33" s="9">
        <f>G33+H33</f>
        <v>8629159936</v>
      </c>
      <c r="J33" s="11">
        <f>IF(I33=0,0,F33/I33)</f>
        <v>493.74534592378654</v>
      </c>
      <c r="K33" s="9">
        <f>0</f>
        <v>0</v>
      </c>
      <c r="L33" s="4" t="s">
        <v>269</v>
      </c>
      <c r="M33" s="4" t="s">
        <v>284</v>
      </c>
    </row>
    <row r="34" spans="1:13">
      <c r="A34" s="4" t="s">
        <v>43</v>
      </c>
      <c r="B34" s="4" t="s">
        <v>285</v>
      </c>
      <c r="C34" s="4" t="s">
        <v>174</v>
      </c>
      <c r="D34" s="4" t="s">
        <v>286</v>
      </c>
      <c r="E34" s="10">
        <f>PF_Rows*ShortLayers*8*HiddenSize*IndexHeadDim</f>
        <v>721554505728</v>
      </c>
      <c r="F34" s="10">
        <f>PF_Rows*ShortLayers*8*HiddenSize*IndexHeadDim</f>
        <v>721554505728</v>
      </c>
      <c r="G34" s="9">
        <f>ShortLayers*(2*HiddenSize*(2*IndexHeadDim)*FP32Bytes+ShortRatio*2*IndexHeadDim*FP32Bytes+IndexHeadDim*FP32Bytes)+PF_Rows*ShortLayers*HiddenSize*FP32Bytes</f>
        <v>2994829824</v>
      </c>
      <c r="H34" s="9">
        <f>PF_Rows*ShortLayers*4*IndexHeadDim*FP32Bytes</f>
        <v>352321536</v>
      </c>
      <c r="I34" s="9">
        <f>G34+H34</f>
        <v>3347151360</v>
      </c>
      <c r="J34" s="11">
        <f>IF(I34=0,0,F34/I34)</f>
        <v>215.57271486163089</v>
      </c>
      <c r="K34" s="9">
        <f>0</f>
        <v>0</v>
      </c>
      <c r="L34" s="4" t="s">
        <v>269</v>
      </c>
      <c r="M34" s="4" t="s">
        <v>287</v>
      </c>
    </row>
    <row r="35" spans="1:13">
      <c r="A35" s="4" t="s">
        <v>64</v>
      </c>
      <c r="B35" s="4" t="s">
        <v>288</v>
      </c>
      <c r="C35" s="4" t="s">
        <v>267</v>
      </c>
      <c r="D35" s="4" t="s">
        <v>289</v>
      </c>
      <c r="E35" s="10">
        <f>2*PF_Rows*TotalLayers*HiddenSize*RoutedExperts</f>
        <v>738734374912</v>
      </c>
      <c r="F35" s="10">
        <f>2*PF_Rows*TotalLayers*HiddenSize*RoutedExperts</f>
        <v>738734374912</v>
      </c>
      <c r="G35" s="9">
        <f>TotalLayers*RoutedExperts*HiddenSize*BF16Bytes+(TotalLayers-ActiveHashLayers)*RoutedExperts*FP32Bytes+PF_Rows*TotalLayers*HiddenSize*BF16Bytes+PF_Rows*ActiveHashLayers*ActivatedExperts*INT32Bytes</f>
        <v>2976489472</v>
      </c>
      <c r="H35" s="9">
        <f>PF_Rows*TotalLayers*RoutedExperts*FP32Bytes</f>
        <v>360710144</v>
      </c>
      <c r="I35" s="9">
        <f>G35+H35</f>
        <v>3337199616</v>
      </c>
      <c r="J35" s="11">
        <f>IF(I35=0,0,F35/I35)</f>
        <v>221.36355624943235</v>
      </c>
      <c r="K35" s="9">
        <f>0</f>
        <v>0</v>
      </c>
      <c r="L35" s="4" t="s">
        <v>269</v>
      </c>
      <c r="M35" s="4" t="s">
        <v>290</v>
      </c>
    </row>
    <row r="36" spans="1:13">
      <c r="A36" s="4" t="s">
        <v>64</v>
      </c>
      <c r="B36" s="4" t="s">
        <v>291</v>
      </c>
      <c r="C36" s="4" t="s">
        <v>267</v>
      </c>
      <c r="D36" s="4" t="s">
        <v>292</v>
      </c>
      <c r="E36" s="10">
        <f>PF_Rows*TotalLayers*ActivatedExperts*6*HiddenSize*ExpertInter</f>
        <v>106377749987328</v>
      </c>
      <c r="F36" s="10">
        <f>PF_Rows*TotalLayers*(ActivatedExperts/TPSize)*6*HiddenSize*ExpertInter</f>
        <v>106377749987328.0</v>
      </c>
      <c r="G36" s="9">
        <f>TotalLayers*LocalExperts*PF_ExpertActiveProbability*(3*HiddenSize*ExpertInter*FP4Bytes+3*HiddenSize*ExpertInter/FP4Block*ScaleBytes)+PF_Rows*TotalLayers*(ActivatedExperts/TPSize)*HiddenSize*BF16Bytes</f>
        <v>164483825664.0</v>
      </c>
      <c r="H36" s="9">
        <f>PF_Rows*TotalLayers*(ActivatedExperts/TPSize)*HiddenSize*BF16Bytes</f>
        <v>17314086912.0</v>
      </c>
      <c r="I36" s="9">
        <f>G36+H36</f>
        <v>181797912576.0</v>
      </c>
      <c r="J36" s="11">
        <f>IF(I36=0,0,F36/I36)</f>
        <v>585.1428571428571</v>
      </c>
      <c r="K36" s="9">
        <f>0</f>
        <v>0</v>
      </c>
      <c r="L36" s="4" t="s">
        <v>269</v>
      </c>
      <c r="M36" s="4" t="s">
        <v>293</v>
      </c>
    </row>
    <row r="37" spans="1:13">
      <c r="A37" s="4" t="s">
        <v>64</v>
      </c>
      <c r="B37" s="4" t="s">
        <v>294</v>
      </c>
      <c r="C37" s="4" t="s">
        <v>267</v>
      </c>
      <c r="D37" s="4" t="s">
        <v>295</v>
      </c>
      <c r="E37" s="10">
        <f>PF_Rows*TotalLayers*SharedExperts*6*HiddenSize*ExpertInter</f>
        <v>17729624997888</v>
      </c>
      <c r="F37" s="10">
        <f>PF_Rows*TotalLayers*SharedExperts*6*HiddenSize*ExpertInter</f>
        <v>17729624997888</v>
      </c>
      <c r="G37" s="9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H37" s="9">
        <f>PF_Rows*TotalLayers*SharedExperts*HiddenSize*BF16Bytes</f>
        <v>2885681152</v>
      </c>
      <c r="I37" s="9">
        <f>G37+H37</f>
        <v>6853558784</v>
      </c>
      <c r="J37" s="11">
        <f>IF(I37=0,0,F37/I37)</f>
        <v>2586.922437913389</v>
      </c>
      <c r="K37" s="9">
        <f>0</f>
        <v>0</v>
      </c>
      <c r="L37" s="4" t="s">
        <v>269</v>
      </c>
      <c r="M37" s="4" t="s">
        <v>296</v>
      </c>
    </row>
    <row r="38" spans="1:13">
      <c r="A38" s="4" t="s">
        <v>297</v>
      </c>
      <c r="B38" s="4" t="s">
        <v>298</v>
      </c>
      <c r="C38" s="4" t="s">
        <v>267</v>
      </c>
      <c r="D38" s="4" t="s">
        <v>299</v>
      </c>
      <c r="E38" s="10">
        <f>TotalLayers*2*(2*PF_Rows*HCSlots*HiddenSize*((2+HCSlots)*HCSlots)+PF_Rows*(2*HCSlots*HiddenSize+1)+PF_Rows*HiddenSize*(2*HCSlots-1)+PF_Rows*HCSlots*HiddenSize*(2*HCSlots+1))</f>
        <v>701221224448</v>
      </c>
      <c r="F38" s="10">
        <f>TotalLayers*2*(2*PF_Rows*HCSlots*HiddenSize*((2+HCSlots)*HCSlots)+PF_Rows*(2*HCSlots*HiddenSize+1)+PF_Rows*HiddenSize*(2*HCSlots-1)+PF_Rows*HCSlots*HiddenSize*(2*HCSlots+1))</f>
        <v>701221224448</v>
      </c>
      <c r="G38" s="9">
        <f>TotalLayers*2*((2+HCSlots)*HCSlots*HCSlots*HiddenSize*FP32Bytes+((2+HCSlots)*HCSlots+3)*FP32Bytes)+PF_Rows*TotalLayers*4*HCSlots*HiddenSize*BF16Bytes</f>
        <v>46306174024.0</v>
      </c>
      <c r="H38" s="9">
        <f>PF_Rows*TotalLayers*4*HCSlots*HiddenSize*BF16Bytes</f>
        <v>46170898432</v>
      </c>
      <c r="I38" s="9">
        <f>G38+H38</f>
        <v>92477072456.0</v>
      </c>
      <c r="J38" s="11">
        <f>IF(I38=0,0,F38/I38)</f>
        <v>7.58264947002552</v>
      </c>
      <c r="K38" s="9">
        <f>0</f>
        <v>0</v>
      </c>
      <c r="L38" s="4" t="s">
        <v>300</v>
      </c>
      <c r="M38" s="4" t="s">
        <v>301</v>
      </c>
    </row>
    <row r="39" spans="1:13">
      <c r="A39" s="4" t="s">
        <v>297</v>
      </c>
      <c r="B39" s="4" t="s">
        <v>302</v>
      </c>
      <c r="C39" s="4" t="s">
        <v>303</v>
      </c>
      <c r="D39" s="4" t="s">
        <v>304</v>
      </c>
      <c r="E39" s="10">
        <f>2*PrefillBatch*HiddenSize*VocabSize</f>
        <v>1059061760</v>
      </c>
      <c r="F39" s="10">
        <f>2*PrefillBatch*HiddenSize*LocalVocab</f>
        <v>1059061760.0</v>
      </c>
      <c r="G39" s="9">
        <f>LocalVocab*HiddenSize*FP32Bytes+PrefillBatch*HiddenSize*FP32Bytes</f>
        <v>2118139904.0</v>
      </c>
      <c r="H39" s="9">
        <f>PrefillBatch*LocalVocab*FP32Bytes</f>
        <v>517120.0</v>
      </c>
      <c r="I39" s="9">
        <f>G39+H39</f>
        <v>2118657024.0</v>
      </c>
      <c r="J39" s="11">
        <f>IF(I39=0,0,F39/I39)</f>
        <v>0.49987409382595754</v>
      </c>
      <c r="K39" s="9">
        <f>0</f>
        <v>0</v>
      </c>
      <c r="L39" s="4" t="s">
        <v>269</v>
      </c>
      <c r="M39" s="4" t="s">
        <v>305</v>
      </c>
    </row>
    <row r="40" spans="1:13">
      <c r="A40" s="4" t="s">
        <v>306</v>
      </c>
      <c r="B40" s="4" t="s">
        <v>307</v>
      </c>
      <c r="C40" s="4" t="s">
        <v>308</v>
      </c>
      <c r="D40" s="4" t="s">
        <v>309</v>
      </c>
      <c r="E40" s="10">
        <f>0</f>
        <v>0</v>
      </c>
      <c r="F40" s="10">
        <f>0</f>
        <v>0</v>
      </c>
      <c r="G40" s="9">
        <f>0</f>
        <v>0</v>
      </c>
      <c r="H40" s="9">
        <f>0</f>
        <v>0</v>
      </c>
      <c r="I40" s="9">
        <f>G40+H40</f>
        <v>0</v>
      </c>
      <c r="J40" s="11">
        <f>IF(I40=0,0,F40/I40)</f>
        <v>0</v>
      </c>
      <c r="K40" s="9">
        <f>4*(TPSize-1)/TPSize*PF_Rows*HiddenSize*BF16Bytes+2*4*(TPSize-1)/TPSize*PF_Rows*HiddenSize*FP32Bytes*TotalLayers+2*(TPSize-1)*PrefillBatch*LocalVocab*FP32Bytes</f>
        <v>0.0</v>
      </c>
      <c r="L40" s="4" t="s">
        <v>300</v>
      </c>
      <c r="M40" s="4" t="s">
        <v>310</v>
      </c>
    </row>
  </sheetData>
  <autoFilter ref="A28:M40"/>
  <mergeCells count="2">
    <mergeCell ref="A11:D11"/>
    <mergeCell ref="A27:M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40"/>
  <sheetViews>
    <sheetView showGridLines="0" workbookViewId="0">
      <pane xSplit="4" ySplit="28" topLeftCell="E29" activePane="bottomRight" state="frozen"/>
      <selection pane="topRight" activeCell="E1" sqref="E1"/>
      <selection pane="bottomLeft" activeCell="A29" sqref="A29"/>
      <selection pane="bottomRight"/>
    </sheetView>
  </sheetViews>
  <sheetFormatPr defaultRowHeight="15"/>
  <cols>
    <col min="1" max="1" width="16.7109375" customWidth="1"/>
    <col min="2" max="2" width="33.7109375" customWidth="1"/>
    <col min="3" max="3" width="25.7109375" customWidth="1"/>
    <col min="4" max="4" width="58.7109375" customWidth="1"/>
    <col min="5" max="11" width="20.7109375" customWidth="1"/>
    <col min="12" max="12" width="13.7109375" customWidth="1"/>
    <col min="13" max="13" width="62.7109375" customWidth="1"/>
  </cols>
  <sheetData>
    <row r="1" spans="1:4">
      <c r="A1" s="1" t="s">
        <v>311</v>
      </c>
    </row>
    <row r="2" spans="1:4">
      <c r="A2" s="2" t="s">
        <v>224</v>
      </c>
    </row>
    <row r="3" spans="1:4">
      <c r="A3" s="3" t="s">
        <v>225</v>
      </c>
      <c r="B3" s="3" t="s">
        <v>226</v>
      </c>
      <c r="C3" s="3" t="s">
        <v>5</v>
      </c>
      <c r="D3" s="3" t="s">
        <v>6</v>
      </c>
    </row>
    <row r="4" spans="1:4">
      <c r="A4" s="4" t="s">
        <v>227</v>
      </c>
      <c r="B4" s="4">
        <f>DecodeBatch*DecodeTokens</f>
        <v>0</v>
      </c>
      <c r="C4" s="6">
        <f>DecodeBatch*DecodeTokens</f>
        <v>1</v>
      </c>
      <c r="D4" s="4" t="s">
        <v>228</v>
      </c>
    </row>
    <row r="5" spans="1:4">
      <c r="A5" s="4" t="s">
        <v>312</v>
      </c>
      <c r="B5" s="4">
        <f>DecodeTokens*MIN(WindowSize,DecodeContext)</f>
        <v>0</v>
      </c>
      <c r="C5" s="6">
        <f>DecodeTokens*MIN(WindowSize,DecodeContext)</f>
        <v>128</v>
      </c>
      <c r="D5" s="4" t="s">
        <v>230</v>
      </c>
    </row>
    <row r="6" spans="1:4">
      <c r="A6" s="4" t="s">
        <v>313</v>
      </c>
      <c r="B6" s="4">
        <f>DecodeTokens*MIN(IndexTopK,INT(DecodeContext/ShortRatio))</f>
        <v>0</v>
      </c>
      <c r="C6" s="6">
        <f>DecodeTokens*MIN(IndexTopK,INT(DecodeContext/ShortRatio))</f>
        <v>512</v>
      </c>
      <c r="D6" s="4" t="s">
        <v>230</v>
      </c>
    </row>
    <row r="7" spans="1:4">
      <c r="A7" s="4" t="s">
        <v>314</v>
      </c>
      <c r="B7" s="4">
        <f>DecodeTokens*INT(DecodeContext/LongRatio)</f>
        <v>0</v>
      </c>
      <c r="C7" s="6">
        <f>DecodeTokens*INT(DecodeContext/LongRatio)</f>
        <v>8192</v>
      </c>
      <c r="D7" s="4" t="s">
        <v>230</v>
      </c>
    </row>
    <row r="8" spans="1:4">
      <c r="A8" s="4" t="s">
        <v>315</v>
      </c>
      <c r="B8" s="4">
        <f>DecodeTokens*INT(DecodeContext/ShortRatio)</f>
        <v>0</v>
      </c>
      <c r="C8" s="6">
        <f>DecodeTokens*INT(DecodeContext/ShortRatio)</f>
        <v>262144</v>
      </c>
      <c r="D8" s="4" t="s">
        <v>230</v>
      </c>
    </row>
    <row r="9" spans="1:4">
      <c r="A9" s="4" t="s">
        <v>234</v>
      </c>
      <c r="B9" s="4">
        <f>1-(1-ActivatedExperts/RoutedExperts)^DC_Rows</f>
        <v>0</v>
      </c>
      <c r="C9" s="6">
        <f>1-(1-ActivatedExperts/RoutedExperts)^DC_Rows</f>
        <v>0.0234375</v>
      </c>
      <c r="D9" s="4" t="s">
        <v>235</v>
      </c>
    </row>
    <row r="11" spans="1:4">
      <c r="A11" s="7" t="s">
        <v>236</v>
      </c>
      <c r="B11" s="7"/>
      <c r="C11" s="7"/>
      <c r="D11" s="7"/>
    </row>
    <row r="12" spans="1:4">
      <c r="A12" s="3" t="s">
        <v>237</v>
      </c>
      <c r="B12" s="3" t="s">
        <v>226</v>
      </c>
      <c r="C12" s="3" t="s">
        <v>5</v>
      </c>
      <c r="D12" s="3" t="s">
        <v>6</v>
      </c>
    </row>
    <row r="13" spans="1:4">
      <c r="A13" s="4" t="s">
        <v>238</v>
      </c>
      <c r="B13" s="4">
        <f>SUMIFS($F$29:$F$40,$A$29:$A$40,"Attention",$L$29:$L$40,"Major")</f>
        <v>0</v>
      </c>
      <c r="C13" s="6">
        <f>SUMIFS($F$29:$F$40,$A$29:$A$40,"Attention",$L$29:$L$40,"Major")</f>
        <v>123969470464.0</v>
      </c>
      <c r="D13" s="4" t="s">
        <v>239</v>
      </c>
    </row>
    <row r="14" spans="1:4">
      <c r="A14" s="4" t="s">
        <v>240</v>
      </c>
      <c r="B14" s="4">
        <f>SUMIFS($F$29:$F$40,$A$29:$A$40,"MoE",$L$29:$L$40,"Major")</f>
        <v>0</v>
      </c>
      <c r="C14" s="6">
        <f>SUMIFS($F$29:$F$40,$A$29:$A$40,"MoE",$L$29:$L$40,"Major")</f>
        <v>15240003584.0</v>
      </c>
      <c r="D14" s="4" t="s">
        <v>239</v>
      </c>
    </row>
    <row r="15" spans="1:4">
      <c r="A15" s="4" t="s">
        <v>241</v>
      </c>
      <c r="B15" s="4">
        <f>SUM($F$29:$F$40)</f>
        <v>0</v>
      </c>
      <c r="C15" s="6">
        <f>SUM($F$29:$F$40)</f>
        <v>140354134102.0</v>
      </c>
      <c r="D15" s="4" t="s">
        <v>239</v>
      </c>
    </row>
    <row r="16" spans="1:4">
      <c r="A16" s="4" t="s">
        <v>242</v>
      </c>
      <c r="B16" s="4">
        <f>SUM($E$29:$E$40)</f>
        <v>0</v>
      </c>
      <c r="C16" s="6">
        <f>SUM($E$29:$E$40)</f>
        <v>140354134102</v>
      </c>
      <c r="D16" s="4" t="s">
        <v>239</v>
      </c>
    </row>
    <row r="17" spans="1:13">
      <c r="A17" s="4" t="s">
        <v>243</v>
      </c>
      <c r="B17" s="4">
        <f>SUM($G$29:$G$40)</f>
        <v>0</v>
      </c>
      <c r="C17" s="6">
        <f>SUM($G$29:$G$40)</f>
        <v>16641671952.0</v>
      </c>
      <c r="D17" s="4" t="s">
        <v>118</v>
      </c>
    </row>
    <row r="18" spans="1:13">
      <c r="A18" s="4" t="s">
        <v>244</v>
      </c>
      <c r="B18" s="4">
        <f>SUM($H$29:$H$40)</f>
        <v>0</v>
      </c>
      <c r="C18" s="6">
        <f>SUM($H$29:$H$40)</f>
        <v>742794880.0</v>
      </c>
      <c r="D18" s="4" t="s">
        <v>118</v>
      </c>
    </row>
    <row r="19" spans="1:13">
      <c r="A19" s="4" t="s">
        <v>245</v>
      </c>
      <c r="B19" s="4">
        <f>SUM($I$29:$I$40)</f>
        <v>0</v>
      </c>
      <c r="C19" s="6">
        <f>SUM($I$29:$I$40)</f>
        <v>17384466832.0</v>
      </c>
      <c r="D19" s="4" t="s">
        <v>118</v>
      </c>
    </row>
    <row r="20" spans="1:13">
      <c r="A20" s="4" t="s">
        <v>246</v>
      </c>
      <c r="B20" s="4">
        <f>SUM($K$29:$K$40)</f>
        <v>0</v>
      </c>
      <c r="C20" s="6">
        <f>SUM($K$29:$K$40)</f>
        <v>0.0</v>
      </c>
      <c r="D20" s="4" t="s">
        <v>118</v>
      </c>
    </row>
    <row r="21" spans="1:13">
      <c r="A21" s="4" t="s">
        <v>247</v>
      </c>
      <c r="B21" s="4">
        <f>C15/C19</f>
        <v>0</v>
      </c>
      <c r="C21" s="6">
        <f>C15/C19</f>
        <v>8.073536879695776</v>
      </c>
      <c r="D21" s="4" t="s">
        <v>248</v>
      </c>
    </row>
    <row r="22" spans="1:13">
      <c r="A22" s="4" t="s">
        <v>249</v>
      </c>
      <c r="B22" s="4">
        <f>C15/(DecodeTargetMs/1000)/1E12</f>
        <v>0</v>
      </c>
      <c r="C22" s="6">
        <f>C15/(DecodeTargetMs/1000)/1E12</f>
        <v>14.0354134102</v>
      </c>
      <c r="D22" s="4" t="s">
        <v>152</v>
      </c>
    </row>
    <row r="23" spans="1:13">
      <c r="A23" s="4" t="s">
        <v>250</v>
      </c>
      <c r="B23" s="4">
        <f>C19/(DecodeTargetMs/1000)/1E9</f>
        <v>0</v>
      </c>
      <c r="C23" s="6">
        <f>C19/(DecodeTargetMs/1000)/1E9</f>
        <v>1738.4466832</v>
      </c>
      <c r="D23" s="4" t="s">
        <v>156</v>
      </c>
    </row>
    <row r="24" spans="1:13">
      <c r="A24" s="4" t="s">
        <v>251</v>
      </c>
      <c r="B24" s="4">
        <f>C15/(PeakTFLOPs*1E12)*1000</f>
        <v>0</v>
      </c>
      <c r="C24" s="6">
        <f>C15/(PeakTFLOPs*1E12)*1000</f>
        <v>0.14035413410199998</v>
      </c>
      <c r="D24" s="4" t="s">
        <v>163</v>
      </c>
    </row>
    <row r="25" spans="1:13">
      <c r="A25" s="4" t="s">
        <v>252</v>
      </c>
      <c r="B25" s="4">
        <f>C19/(HBMBandwidthGBps*1E9)*1000</f>
        <v>0</v>
      </c>
      <c r="C25" s="6">
        <f>C19/(HBMBandwidthGBps*1E9)*1000</f>
        <v>5.794822277333333</v>
      </c>
      <c r="D25" s="4" t="s">
        <v>163</v>
      </c>
    </row>
    <row r="26" spans="1:13">
      <c r="A26" s="4" t="s">
        <v>253</v>
      </c>
      <c r="B26" s="4">
        <f>IF(TPSize=1,0,C20/(InterconnectGBps*1E9)*1000)</f>
        <v>0</v>
      </c>
      <c r="C26" s="6">
        <f>IF(TPSize=1,0,C20/(InterconnectGBps*1E9)*1000)</f>
        <v>0</v>
      </c>
      <c r="D26" s="4" t="s">
        <v>163</v>
      </c>
    </row>
    <row r="27" spans="1:13">
      <c r="A27" s="7" t="s">
        <v>254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</row>
    <row r="28" spans="1:13">
      <c r="A28" s="3" t="s">
        <v>2</v>
      </c>
      <c r="B28" s="3" t="s">
        <v>255</v>
      </c>
      <c r="C28" s="3" t="s">
        <v>256</v>
      </c>
      <c r="D28" s="3" t="s">
        <v>257</v>
      </c>
      <c r="E28" s="3" t="s">
        <v>258</v>
      </c>
      <c r="F28" s="3" t="s">
        <v>259</v>
      </c>
      <c r="G28" s="3" t="s">
        <v>260</v>
      </c>
      <c r="H28" s="3" t="s">
        <v>261</v>
      </c>
      <c r="I28" s="3" t="s">
        <v>262</v>
      </c>
      <c r="J28" s="3" t="s">
        <v>248</v>
      </c>
      <c r="K28" s="3" t="s">
        <v>263</v>
      </c>
      <c r="L28" s="3" t="s">
        <v>264</v>
      </c>
      <c r="M28" s="3" t="s">
        <v>265</v>
      </c>
    </row>
    <row r="29" spans="1:13">
      <c r="A29" s="4" t="s">
        <v>43</v>
      </c>
      <c r="B29" s="4" t="s">
        <v>266</v>
      </c>
      <c r="C29" s="4" t="s">
        <v>267</v>
      </c>
      <c r="D29" s="4" t="s">
        <v>268</v>
      </c>
      <c r="E29" s="10">
        <f>DC_Rows*TotalLayers*2*(HiddenSize*QLoraRank+QLoraRank*NumHeads*HeadDim+HiddenSize*HeadDim+NumHeads*HeadDim*OLoraRank+OGroups*OLoraRank*HiddenSize)</f>
        <v>9198108672</v>
      </c>
      <c r="F29" s="10">
        <f>DC_Rows*TotalLayers*2*(HiddenSize*QLoraRank+QLoraRank*LocalHeads*HeadDim+HiddenSize*HeadDim+LocalHeads*HeadDim*OLoraRank+LocalOGroups*OLoraRank*HiddenSize)</f>
        <v>9198108672.0</v>
      </c>
      <c r="G29" s="9">
        <f>TotalLayers*(((HiddenSize)*(QLoraRank)*FP8Bytes+ROUNDUP((HiddenSize)/FP8Block,0)*ROUNDUP((QLoraRank)/FP8Block,0)*ScaleBytes)+((QLoraRank)*(LocalHeads*HeadDim)*FP8Bytes+ROUNDUP((QLoraRank)/FP8Block,0)*ROUNDUP((LocalHeads*HeadDim)/FP8Block,0)*ScaleBytes)+((HiddenSize)*(HeadDim)*FP8Bytes+ROUNDUP((HiddenSize)/FP8Block,0)*ROUNDUP((HeadDim)/FP8Block,0)*ScaleBytes)+LocalHeads*HeadDim*OLoraRank*BF16Bytes+((LocalOGroups*OLoraRank)*(HiddenSize)*FP8Bytes+ROUNDUP((LocalOGroups*OLoraRank)/FP8Block,0)*ROUNDUP((HiddenSize)/FP8Block,0)*ScaleBytes))+DC_Rows*TotalLayers*(2*HiddenSize*BF16Bytes+QLoraRank*BF16Bytes+KernelLocalHeads*HeadDim*BF16Bytes+LocalOGroups*OLoraRank*BF16Bytes)</f>
        <v>6046402688.0</v>
      </c>
      <c r="H29" s="9">
        <f>DC_Rows*TotalLayers*(QLoraRank+KernelLocalHeads*HeadDim+HeadDim+LocalOGroups*OLoraRank+HiddenSize)*BF16Bytes</f>
        <v>4006912.0</v>
      </c>
      <c r="I29" s="9">
        <f>G29+H29</f>
        <v>6050409600.0</v>
      </c>
      <c r="J29" s="11">
        <f>IF(I29=0,0,F29/I29)</f>
        <v>1.5202456164290101</v>
      </c>
      <c r="K29" s="9">
        <f>0</f>
        <v>0</v>
      </c>
      <c r="L29" s="4" t="s">
        <v>269</v>
      </c>
      <c r="M29" s="4" t="s">
        <v>270</v>
      </c>
    </row>
    <row r="30" spans="1:13">
      <c r="A30" s="4" t="s">
        <v>43</v>
      </c>
      <c r="B30" s="4" t="s">
        <v>271</v>
      </c>
      <c r="C30" s="4" t="s">
        <v>272</v>
      </c>
      <c r="D30" s="4" t="s">
        <v>273</v>
      </c>
      <c r="E30" s="10">
        <f>4*DecodeBatch*NumHeads*HeadDim*(WindowLayers*DC_RawPairs+ShortLayers*(DC_RawPairs+DC_ShortPairs)+LongLayers*(DC_RawPairs+DC_LongPairs))</f>
        <v>23605542912</v>
      </c>
      <c r="F30" s="10">
        <f>4*DecodeBatch*KernelLocalHeads*HeadDim*(WindowLayers*DC_RawPairs+ShortLayers*(DC_RawPairs+DC_ShortPairs)+LongLayers*(DC_RawPairs+DC_LongPairs))</f>
        <v>23605542912.0</v>
      </c>
      <c r="G30" s="9">
        <f>DC_Rows*TotalLayers*KernelLocalHeads*HeadDim*BF16Bytes+DecodeBatch*(WindowLayers*DC_RawPairs+ShortLayers*(DC_RawPairs+DC_ShortPairs)+LongLayers*(DC_RawPairs+DC_LongPairs))*HeadDim*BF16Bytes</f>
        <v>187236352.0</v>
      </c>
      <c r="H30" s="9">
        <f>DC_Rows*TotalLayers*KernelLocalHeads*HeadDim*BF16Bytes</f>
        <v>2818048.0</v>
      </c>
      <c r="I30" s="9">
        <f>G30+H30</f>
        <v>190054400.0</v>
      </c>
      <c r="J30" s="11">
        <f>IF(I30=0,0,F30/I30)</f>
        <v>124.20413793103448</v>
      </c>
      <c r="K30" s="9">
        <f>0</f>
        <v>0</v>
      </c>
      <c r="L30" s="4" t="s">
        <v>269</v>
      </c>
      <c r="M30" s="4" t="s">
        <v>274</v>
      </c>
    </row>
    <row r="31" spans="1:13">
      <c r="A31" s="4" t="s">
        <v>43</v>
      </c>
      <c r="B31" s="4" t="s">
        <v>275</v>
      </c>
      <c r="C31" s="4" t="s">
        <v>174</v>
      </c>
      <c r="D31" s="4" t="s">
        <v>276</v>
      </c>
      <c r="E31" s="10">
        <f>2*DC_Rows*ShortLayers*(QLoraRank*IndexHeads*IndexHeadDim+HiddenSize*IndexHeads)</f>
        <v>363331584</v>
      </c>
      <c r="F31" s="10">
        <f>2*DC_Rows*ShortLayers*(QLoraRank*LocalIndexHeads*IndexHeadDim+HiddenSize*LocalIndexHeads)</f>
        <v>363331584.0</v>
      </c>
      <c r="G31" s="9">
        <f>ShortLayers*(((QLoraRank)*(LocalIndexHeads*IndexHeadDim)*FP8Bytes+ROUNDUP((QLoraRank)/FP8Block,0)*ROUNDUP((LocalIndexHeads*IndexHeadDim)/FP8Block,0)*ScaleBytes)+HiddenSize*LocalIndexHeads*BF16Bytes)+DC_Rows*ShortLayers*(QLoraRank+HiddenSize)*BF16Bytes</f>
        <v>187396608</v>
      </c>
      <c r="H31" s="9">
        <f>DC_Rows*ShortLayers*LocalIndexHeads*(IndexHeadDim+1)*BF16Bytes</f>
        <v>346752.0</v>
      </c>
      <c r="I31" s="9">
        <f>G31+H31</f>
        <v>187743360.0</v>
      </c>
      <c r="J31" s="11">
        <f>IF(I31=0,0,F31/I31)</f>
        <v>1.9352566397021977</v>
      </c>
      <c r="K31" s="9">
        <f>0</f>
        <v>0</v>
      </c>
      <c r="L31" s="4" t="s">
        <v>269</v>
      </c>
      <c r="M31" s="4" t="s">
        <v>277</v>
      </c>
    </row>
    <row r="32" spans="1:13">
      <c r="A32" s="4" t="s">
        <v>43</v>
      </c>
      <c r="B32" s="4" t="s">
        <v>278</v>
      </c>
      <c r="C32" s="4" t="s">
        <v>174</v>
      </c>
      <c r="D32" s="4" t="s">
        <v>279</v>
      </c>
      <c r="E32" s="10">
        <f>2*DecodeBatch*ShortLayers*IndexHeads*IndexHeadDim*DC_IndexPairs</f>
        <v>90194313216</v>
      </c>
      <c r="F32" s="10">
        <f>2*DecodeBatch*ShortLayers*LocalIndexHeads*IndexHeadDim*DC_IndexPairs</f>
        <v>90194313216.0</v>
      </c>
      <c r="G32" s="9">
        <f>DecodeBatch*ShortLayers*DC_IndexPairs*(IndexHeadDim*BF16Bytes+LocalIndexHeads*BF16Bytes)</f>
        <v>2113929216.0</v>
      </c>
      <c r="H32" s="9">
        <f>DecodeBatch*ShortLayers*DC_IndexPairs*(LocalIndexHeads*BF16Bytes+FP32Bytes)</f>
        <v>726663168.0</v>
      </c>
      <c r="I32" s="9">
        <f>G32+H32</f>
        <v>2840592384.0</v>
      </c>
      <c r="J32" s="11">
        <f>IF(I32=0,0,F32/I32)</f>
        <v>31.751937984496124</v>
      </c>
      <c r="K32" s="9">
        <f>0</f>
        <v>0</v>
      </c>
      <c r="L32" s="4" t="s">
        <v>269</v>
      </c>
      <c r="M32" s="4" t="s">
        <v>280</v>
      </c>
    </row>
    <row r="33" spans="1:13">
      <c r="A33" s="4" t="s">
        <v>43</v>
      </c>
      <c r="B33" s="4" t="s">
        <v>281</v>
      </c>
      <c r="C33" s="4" t="s">
        <v>282</v>
      </c>
      <c r="D33" s="4" t="s">
        <v>283</v>
      </c>
      <c r="E33" s="10">
        <f>DC_Rows*(ShortLayers*8*HiddenSize*HeadDim+LongLayers*4*HiddenSize*HeadDim)</f>
        <v>520093696</v>
      </c>
      <c r="F33" s="10">
        <f>DC_Rows*(ShortLayers*8*HiddenSize*HeadDim+LongLayers*4*HiddenSize*HeadDim)</f>
        <v>520093696</v>
      </c>
      <c r="G33" s="9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H33" s="9">
        <f>DC_Rows*(ShortLayers*4*HeadDim+LongLayers*2*HeadDim)*FP32Bytes</f>
        <v>253952</v>
      </c>
      <c r="I33" s="9">
        <f>G33+H33</f>
        <v>1046784000</v>
      </c>
      <c r="J33" s="11">
        <f>IF(I33=0,0,F33/I33)</f>
        <v>0.496849107361213</v>
      </c>
      <c r="K33" s="9">
        <f>0</f>
        <v>0</v>
      </c>
      <c r="L33" s="4" t="s">
        <v>269</v>
      </c>
      <c r="M33" s="4" t="s">
        <v>284</v>
      </c>
    </row>
    <row r="34" spans="1:13">
      <c r="A34" s="4" t="s">
        <v>43</v>
      </c>
      <c r="B34" s="4" t="s">
        <v>285</v>
      </c>
      <c r="C34" s="4" t="s">
        <v>174</v>
      </c>
      <c r="D34" s="4" t="s">
        <v>286</v>
      </c>
      <c r="E34" s="10">
        <f>DC_Rows*ShortLayers*8*HiddenSize*IndexHeadDim</f>
        <v>88080384</v>
      </c>
      <c r="F34" s="10">
        <f>DC_Rows*ShortLayers*8*HiddenSize*IndexHeadDim</f>
        <v>88080384</v>
      </c>
      <c r="G34" s="9">
        <f>ShortLayers*(2*HiddenSize*(2*IndexHeadDim)*FP32Bytes+ShortRatio*2*IndexHeadDim*FP32Bytes+IndexHeadDim*FP32Bytes)+DC_Rows*ShortLayers*HiddenSize*FP32Bytes</f>
        <v>176601600</v>
      </c>
      <c r="H34" s="9">
        <f>DC_Rows*ShortLayers*4*IndexHeadDim*FP32Bytes</f>
        <v>43008</v>
      </c>
      <c r="I34" s="9">
        <f>G34+H34</f>
        <v>176644608</v>
      </c>
      <c r="J34" s="11">
        <f>IF(I34=0,0,F34/I34)</f>
        <v>0.49863047050946496</v>
      </c>
      <c r="K34" s="9">
        <f>0</f>
        <v>0</v>
      </c>
      <c r="L34" s="4" t="s">
        <v>269</v>
      </c>
      <c r="M34" s="4" t="s">
        <v>287</v>
      </c>
    </row>
    <row r="35" spans="1:13">
      <c r="A35" s="4" t="s">
        <v>64</v>
      </c>
      <c r="B35" s="4" t="s">
        <v>288</v>
      </c>
      <c r="C35" s="4" t="s">
        <v>267</v>
      </c>
      <c r="D35" s="4" t="s">
        <v>289</v>
      </c>
      <c r="E35" s="10">
        <f>2*DC_Rows*TotalLayers*HiddenSize*RoutedExperts</f>
        <v>90177536</v>
      </c>
      <c r="F35" s="10">
        <f>2*DC_Rows*TotalLayers*HiddenSize*RoutedExperts</f>
        <v>90177536</v>
      </c>
      <c r="G35" s="9">
        <f>TotalLayers*RoutedExperts*HiddenSize*BF16Bytes+(TotalLayers-ActiveHashLayers)*RoutedExperts*FP32Bytes+DC_Rows*TotalLayers*HiddenSize*BF16Bytes+DC_Rows*ActiveHashLayers*ActivatedExperts*INT32Bytes</f>
        <v>90570824</v>
      </c>
      <c r="H35" s="9">
        <f>DC_Rows*TotalLayers*RoutedExperts*FP32Bytes</f>
        <v>44032</v>
      </c>
      <c r="I35" s="9">
        <f>G35+H35</f>
        <v>90614856</v>
      </c>
      <c r="J35" s="11">
        <f>IF(I35=0,0,F35/I35)</f>
        <v>0.9951738597918205</v>
      </c>
      <c r="K35" s="9">
        <f>0</f>
        <v>0</v>
      </c>
      <c r="L35" s="4" t="s">
        <v>269</v>
      </c>
      <c r="M35" s="4" t="s">
        <v>290</v>
      </c>
    </row>
    <row r="36" spans="1:13">
      <c r="A36" s="4" t="s">
        <v>64</v>
      </c>
      <c r="B36" s="4" t="s">
        <v>291</v>
      </c>
      <c r="C36" s="4" t="s">
        <v>267</v>
      </c>
      <c r="D36" s="4" t="s">
        <v>292</v>
      </c>
      <c r="E36" s="10">
        <f>DC_Rows*TotalLayers*ActivatedExperts*6*HiddenSize*ExpertInter</f>
        <v>12985565184</v>
      </c>
      <c r="F36" s="10">
        <f>DC_Rows*TotalLayers*(ActivatedExperts/TPSize)*6*HiddenSize*ExpertInter</f>
        <v>12985565184.0</v>
      </c>
      <c r="G36" s="9">
        <f>TotalLayers*LocalExperts*DC_ExpertActiveProbability*(3*HiddenSize*ExpertInter*FP4Bytes+3*HiddenSize*ExpertInter/FP4Block*ScaleBytes)+DC_Rows*TotalLayers*(ActivatedExperts/TPSize)*HiddenSize*BF16Bytes</f>
        <v>3451404288.0</v>
      </c>
      <c r="H36" s="9">
        <f>DC_Rows*TotalLayers*(ActivatedExperts/TPSize)*HiddenSize*BF16Bytes</f>
        <v>2113536.0</v>
      </c>
      <c r="I36" s="9">
        <f>G36+H36</f>
        <v>3453517824.0</v>
      </c>
      <c r="J36" s="11">
        <f>IF(I36=0,0,F36/I36)</f>
        <v>3.7600979192166464</v>
      </c>
      <c r="K36" s="9">
        <f>0</f>
        <v>0</v>
      </c>
      <c r="L36" s="4" t="s">
        <v>269</v>
      </c>
      <c r="M36" s="4" t="s">
        <v>293</v>
      </c>
    </row>
    <row r="37" spans="1:13">
      <c r="A37" s="4" t="s">
        <v>64</v>
      </c>
      <c r="B37" s="4" t="s">
        <v>294</v>
      </c>
      <c r="C37" s="4" t="s">
        <v>267</v>
      </c>
      <c r="D37" s="4" t="s">
        <v>295</v>
      </c>
      <c r="E37" s="10">
        <f>DC_Rows*TotalLayers*SharedExperts*6*HiddenSize*ExpertInter</f>
        <v>2164260864</v>
      </c>
      <c r="F37" s="10">
        <f>DC_Rows*TotalLayers*SharedExperts*6*HiddenSize*ExpertInter</f>
        <v>2164260864</v>
      </c>
      <c r="G37" s="9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H37" s="9">
        <f>DC_Rows*TotalLayers*SharedExperts*HiddenSize*BF16Bytes</f>
        <v>352256</v>
      </c>
      <c r="I37" s="9">
        <f>G37+H37</f>
        <v>1082900992</v>
      </c>
      <c r="J37" s="11">
        <f>IF(I37=0,0,F37/I37)</f>
        <v>1.998576859739362</v>
      </c>
      <c r="K37" s="9">
        <f>0</f>
        <v>0</v>
      </c>
      <c r="L37" s="4" t="s">
        <v>269</v>
      </c>
      <c r="M37" s="4" t="s">
        <v>296</v>
      </c>
    </row>
    <row r="38" spans="1:13">
      <c r="A38" s="4" t="s">
        <v>297</v>
      </c>
      <c r="B38" s="4" t="s">
        <v>298</v>
      </c>
      <c r="C38" s="4" t="s">
        <v>267</v>
      </c>
      <c r="D38" s="4" t="s">
        <v>299</v>
      </c>
      <c r="E38" s="10">
        <f>TotalLayers*2*(2*DC_Rows*HCSlots*HiddenSize*((2+HCSlots)*HCSlots)+DC_Rows*(2*HCSlots*HiddenSize+1)+DC_Rows*HiddenSize*(2*HCSlots-1)+DC_Rows*HCSlots*HiddenSize*(2*HCSlots+1))</f>
        <v>85598294</v>
      </c>
      <c r="F38" s="10">
        <f>TotalLayers*2*(2*DC_Rows*HCSlots*HiddenSize*((2+HCSlots)*HCSlots)+DC_Rows*(2*HCSlots*HiddenSize+1)+DC_Rows*HiddenSize*(2*HCSlots-1)+DC_Rows*HCSlots*HiddenSize*(2*HCSlots+1))</f>
        <v>85598294</v>
      </c>
      <c r="G38" s="9">
        <f>TotalLayers*2*((2+HCSlots)*HCSlots*HCSlots*HiddenSize*FP32Bytes+((2+HCSlots)*HCSlots+3)*FP32Bytes)+DC_Rows*TotalLayers*4*HCSlots*HiddenSize*BF16Bytes</f>
        <v>140911688.0</v>
      </c>
      <c r="H38" s="9">
        <f>DC_Rows*TotalLayers*4*HCSlots*HiddenSize*BF16Bytes</f>
        <v>5636096</v>
      </c>
      <c r="I38" s="9">
        <f>G38+H38</f>
        <v>146547784.0</v>
      </c>
      <c r="J38" s="11">
        <f>IF(I38=0,0,F38/I38)</f>
        <v>0.5840981805634127</v>
      </c>
      <c r="K38" s="9">
        <f>0</f>
        <v>0</v>
      </c>
      <c r="L38" s="4" t="s">
        <v>300</v>
      </c>
      <c r="M38" s="4" t="s">
        <v>301</v>
      </c>
    </row>
    <row r="39" spans="1:13">
      <c r="A39" s="4" t="s">
        <v>297</v>
      </c>
      <c r="B39" s="4" t="s">
        <v>302</v>
      </c>
      <c r="C39" s="4" t="s">
        <v>303</v>
      </c>
      <c r="D39" s="4" t="s">
        <v>304</v>
      </c>
      <c r="E39" s="10">
        <f>2*DC_Rows*HiddenSize*VocabSize</f>
        <v>1059061760</v>
      </c>
      <c r="F39" s="10">
        <f>2*DC_Rows*HiddenSize*LocalVocab</f>
        <v>1059061760.0</v>
      </c>
      <c r="G39" s="9">
        <f>LocalVocab*HiddenSize*FP32Bytes+DC_Rows*HiddenSize*FP32Bytes</f>
        <v>2118139904.0</v>
      </c>
      <c r="H39" s="9">
        <f>DC_Rows*LocalVocab*FP32Bytes</f>
        <v>517120.0</v>
      </c>
      <c r="I39" s="9">
        <f>G39+H39</f>
        <v>2118657024.0</v>
      </c>
      <c r="J39" s="11">
        <f>IF(I39=0,0,F39/I39)</f>
        <v>0.49987409382595754</v>
      </c>
      <c r="K39" s="9">
        <f>0</f>
        <v>0</v>
      </c>
      <c r="L39" s="4" t="s">
        <v>269</v>
      </c>
      <c r="M39" s="4" t="s">
        <v>305</v>
      </c>
    </row>
    <row r="40" spans="1:13">
      <c r="A40" s="4" t="s">
        <v>306</v>
      </c>
      <c r="B40" s="4" t="s">
        <v>307</v>
      </c>
      <c r="C40" s="4" t="s">
        <v>308</v>
      </c>
      <c r="D40" s="4" t="s">
        <v>309</v>
      </c>
      <c r="E40" s="10">
        <f>0</f>
        <v>0</v>
      </c>
      <c r="F40" s="10">
        <f>0</f>
        <v>0</v>
      </c>
      <c r="G40" s="9">
        <f>0</f>
        <v>0</v>
      </c>
      <c r="H40" s="9">
        <f>0</f>
        <v>0</v>
      </c>
      <c r="I40" s="9">
        <f>G40+H40</f>
        <v>0</v>
      </c>
      <c r="J40" s="11">
        <f>IF(I40=0,0,F40/I40)</f>
        <v>0</v>
      </c>
      <c r="K40" s="9">
        <f>4*(TPSize-1)/TPSize*DC_Rows*HiddenSize*BF16Bytes+2*4*(TPSize-1)/TPSize*DC_Rows*HiddenSize*FP32Bytes*TotalLayers+2*(TPSize-1)*DC_Rows*LocalVocab*FP32Bytes</f>
        <v>0.0</v>
      </c>
      <c r="L40" s="4" t="s">
        <v>300</v>
      </c>
      <c r="M40" s="4" t="s">
        <v>310</v>
      </c>
    </row>
  </sheetData>
  <autoFilter ref="A28:M40"/>
  <mergeCells count="2">
    <mergeCell ref="A11:D11"/>
    <mergeCell ref="A27:M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2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35.7109375" customWidth="1"/>
    <col min="3" max="3" width="95.7109375" customWidth="1"/>
    <col min="4" max="6" width="20.7109375" customWidth="1"/>
    <col min="7" max="7" width="58.7109375" customWidth="1"/>
  </cols>
  <sheetData>
    <row r="1" spans="1:7">
      <c r="A1" s="1" t="s">
        <v>316</v>
      </c>
    </row>
    <row r="2" spans="1:7">
      <c r="A2" s="2" t="s">
        <v>317</v>
      </c>
    </row>
    <row r="3" spans="1:7">
      <c r="A3" s="3" t="s">
        <v>2</v>
      </c>
      <c r="B3" s="3" t="s">
        <v>255</v>
      </c>
      <c r="C3" s="3" t="s">
        <v>257</v>
      </c>
      <c r="D3" s="3" t="s">
        <v>318</v>
      </c>
      <c r="E3" s="3" t="s">
        <v>319</v>
      </c>
      <c r="F3" s="3" t="s">
        <v>320</v>
      </c>
      <c r="G3" s="3" t="s">
        <v>265</v>
      </c>
    </row>
    <row r="4" spans="1:7">
      <c r="A4" s="4" t="s">
        <v>321</v>
      </c>
      <c r="B4" s="4" t="s">
        <v>322</v>
      </c>
      <c r="C4" s="4" t="s">
        <v>323</v>
      </c>
      <c r="D4" s="9">
        <f>VocabSize/TPSize*HiddenSize*BF16Bytes</f>
        <v>1059061760.0</v>
      </c>
      <c r="E4" s="12">
        <f>D4/1E9</f>
        <v>1.05906176</v>
      </c>
      <c r="F4" s="12">
        <f>D4/2^30</f>
        <v>0.986328125</v>
      </c>
      <c r="G4" s="4" t="s">
        <v>324</v>
      </c>
    </row>
    <row r="5" spans="1:7">
      <c r="A5" s="4" t="s">
        <v>321</v>
      </c>
      <c r="B5" s="4" t="s">
        <v>302</v>
      </c>
      <c r="C5" s="4" t="s">
        <v>325</v>
      </c>
      <c r="D5" s="9">
        <f>VocabSize/TPSize*HiddenSize*FP32Bytes</f>
        <v>2118123520.0</v>
      </c>
      <c r="E5" s="12">
        <f>D5/1E9</f>
        <v>2.11812352</v>
      </c>
      <c r="F5" s="12">
        <f>D5/2^30</f>
        <v>1.97265625</v>
      </c>
      <c r="G5" s="4" t="s">
        <v>326</v>
      </c>
    </row>
    <row r="6" spans="1:7">
      <c r="A6" s="4" t="s">
        <v>321</v>
      </c>
      <c r="B6" s="4" t="s">
        <v>327</v>
      </c>
      <c r="C6" s="4" t="s">
        <v>328</v>
      </c>
      <c r="D6" s="9">
        <f>TotalLayers*(((HiddenSize)*(QLoraRank)*FP8Bytes+ROUNDUP((HiddenSize)/FP8Block,0)*ROUNDUP((QLoraRank)/FP8Block,0)*ScaleBytes)+((QLoraRank)*(LocalHeads*HeadDim)*FP8Bytes+ROUNDUP((QLoraRank)/FP8Block,0)*ROUNDUP((LocalHeads*HeadDim)/FP8Block,0)*ScaleBytes)+((HiddenSize)*(HeadDim)*FP8Bytes+ROUNDUP((HiddenSize)/FP8Block,0)*ROUNDUP((HeadDim)/FP8Block,0)*ScaleBytes)+LocalHeads*HeadDim*OLoraRank*BF16Bytes+((LocalOGroups*OLoraRank)*(HiddenSize)*FP8Bytes+ROUNDUP((LocalOGroups*OLoraRank)/FP8Block,0)*ROUNDUP((HiddenSize)/FP8Block,0)*ScaleBytes))</f>
        <v>6042087552</v>
      </c>
      <c r="E6" s="12">
        <f>D6/1E9</f>
        <v>6.042087552</v>
      </c>
      <c r="F6" s="12">
        <f>D6/2^30</f>
        <v>5.627132534980774</v>
      </c>
      <c r="G6" s="4" t="s">
        <v>329</v>
      </c>
    </row>
    <row r="7" spans="1:7">
      <c r="A7" s="4" t="s">
        <v>321</v>
      </c>
      <c r="B7" s="4" t="s">
        <v>330</v>
      </c>
      <c r="C7" s="4" t="s">
        <v>331</v>
      </c>
      <c r="D7" s="9">
        <f>ShortLayers*(2*HiddenSize*(2*HeadDim)*FP32Bytes+ShortRatio*2*HeadDim*FP32Bytes+HeadDim*FP32Bytes)+LongLayers*(2*HiddenSize*HeadDim*FP32Bytes+LongRatio*HeadDim*FP32Bytes+HeadDim*FP32Bytes)</f>
        <v>1045858304</v>
      </c>
      <c r="E7" s="12">
        <f>D7/1E9</f>
        <v>1.045858304</v>
      </c>
      <c r="F7" s="12">
        <f>D7/2^30</f>
        <v>0.9740314483642578</v>
      </c>
      <c r="G7" s="4" t="s">
        <v>332</v>
      </c>
    </row>
    <row r="8" spans="1:7">
      <c r="A8" s="4" t="s">
        <v>321</v>
      </c>
      <c r="B8" s="4" t="s">
        <v>333</v>
      </c>
      <c r="C8" s="4" t="s">
        <v>334</v>
      </c>
      <c r="D8" s="9">
        <f>ShortLayers*(((QLoraRank)*(LocalIndexHeads*IndexHeadDim)*FP8Bytes+ROUNDUP((QLoraRank)/FP8Block,0)*ROUNDUP((LocalIndexHeads*IndexHeadDim)/FP8Block,0)*ScaleBytes)+HiddenSize*LocalIndexHeads*BF16Bytes+2*HiddenSize*(2*IndexHeadDim)*FP32Bytes+ShortRatio*2*IndexHeadDim*FP32Bytes+IndexHeadDim*FP32Bytes)</f>
        <v>363439104</v>
      </c>
      <c r="E8" s="12">
        <f>D8/1E9</f>
        <v>0.363439104</v>
      </c>
      <c r="F8" s="12">
        <f>D8/2^30</f>
        <v>0.33847904205322266</v>
      </c>
      <c r="G8" s="4" t="s">
        <v>335</v>
      </c>
    </row>
    <row r="9" spans="1:7">
      <c r="A9" s="4" t="s">
        <v>321</v>
      </c>
      <c r="B9" s="4" t="s">
        <v>65</v>
      </c>
      <c r="C9" s="4" t="s">
        <v>336</v>
      </c>
      <c r="D9" s="9">
        <f>TotalLayers*LocalExperts*(3*HiddenSize*ExpertInter*FP4Bytes+3*HiddenSize*ExpertInter/FP4Block*ScaleBytes)</f>
        <v>147169738752.0</v>
      </c>
      <c r="E9" s="12">
        <f>D9/1E9</f>
        <v>147.169738752</v>
      </c>
      <c r="F9" s="12">
        <f>D9/2^30</f>
        <v>137.0625</v>
      </c>
      <c r="G9" s="4" t="s">
        <v>337</v>
      </c>
    </row>
    <row r="10" spans="1:7">
      <c r="A10" s="4" t="s">
        <v>321</v>
      </c>
      <c r="B10" s="4" t="s">
        <v>73</v>
      </c>
      <c r="C10" s="4" t="s">
        <v>338</v>
      </c>
      <c r="D10" s="9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E10" s="12">
        <f>D10/1E9</f>
        <v>1.08219648</v>
      </c>
      <c r="F10" s="12">
        <f>D10/2^30</f>
        <v>1.0078740119934082</v>
      </c>
      <c r="G10" s="4" t="s">
        <v>339</v>
      </c>
    </row>
    <row r="11" spans="1:7">
      <c r="A11" s="4" t="s">
        <v>321</v>
      </c>
      <c r="B11" s="4" t="s">
        <v>340</v>
      </c>
      <c r="C11" s="4" t="s">
        <v>341</v>
      </c>
      <c r="D11" s="9">
        <f>TotalLayers*RoutedExperts*HiddenSize*BF16Bytes+(TotalLayers-ActiveHashLayers)*RoutedExperts*FP32Bytes+ActiveHashLayers*VocabSize*ActivatedExperts*INT32Bytes</f>
        <v>99526656</v>
      </c>
      <c r="E11" s="12">
        <f>D11/1E9</f>
        <v>0.099526656</v>
      </c>
      <c r="F11" s="12">
        <f>D11/2^30</f>
        <v>0.09269142150878906</v>
      </c>
      <c r="G11" s="4" t="s">
        <v>342</v>
      </c>
    </row>
    <row r="12" spans="1:7">
      <c r="A12" s="4" t="s">
        <v>321</v>
      </c>
      <c r="B12" s="4" t="s">
        <v>343</v>
      </c>
      <c r="C12" s="4" t="s">
        <v>344</v>
      </c>
      <c r="D12" s="9">
        <f>TotalLayers*2*(((2+HCSlots)*HCSlots)*HCSlots*HiddenSize*FP32Bytes+(((2+HCSlots)*HCSlots)+3)*FP32Bytes)</f>
        <v>135275592</v>
      </c>
      <c r="E12" s="12">
        <f>D12/1E9</f>
        <v>0.135275592</v>
      </c>
      <c r="F12" s="12">
        <f>D12/2^30</f>
        <v>0.12598521262407303</v>
      </c>
      <c r="G12" s="4" t="s">
        <v>345</v>
      </c>
    </row>
    <row r="13" spans="1:7">
      <c r="A13" s="4" t="s">
        <v>321</v>
      </c>
      <c r="B13" s="4" t="s">
        <v>346</v>
      </c>
      <c r="C13" s="4" t="s">
        <v>347</v>
      </c>
      <c r="D13" s="9">
        <f>TotalLayers*(2*HiddenSize+QLoraRank+HeadDim+LocalHeads)*FP32Bytes</f>
        <v>1684224</v>
      </c>
      <c r="E13" s="12">
        <f>D13/1E9</f>
        <v>0.001684224</v>
      </c>
      <c r="F13" s="12">
        <f>D13/2^30</f>
        <v>0.0015685558319091797</v>
      </c>
      <c r="G13" s="4" t="s">
        <v>348</v>
      </c>
    </row>
    <row r="14" spans="1:7">
      <c r="A14" s="4" t="s">
        <v>321</v>
      </c>
      <c r="B14" s="4" t="s">
        <v>349</v>
      </c>
      <c r="C14" s="4" t="s">
        <v>350</v>
      </c>
      <c r="D14" s="9">
        <f>HCSlots*HCSlots*HiddenSize*FP32Bytes+(HCSlots+1)*FP32Bytes+HiddenSize*FP32Bytes</f>
        <v>278548</v>
      </c>
      <c r="E14" s="12">
        <f>D14/1E9</f>
        <v>0.000278548</v>
      </c>
      <c r="F14" s="12">
        <f>D14/2^30</f>
        <v>0.0002594180405139923</v>
      </c>
      <c r="G14" s="4" t="s">
        <v>351</v>
      </c>
    </row>
    <row r="15" spans="1:7">
      <c r="A15" s="13" t="s">
        <v>321</v>
      </c>
      <c r="B15" s="13" t="s">
        <v>352</v>
      </c>
      <c r="C15" s="13" t="s">
        <v>353</v>
      </c>
      <c r="D15" s="13">
        <f>SUM(D4:D14)</f>
        <v>159117270492.0</v>
      </c>
      <c r="E15" s="13">
        <f>D15/1E9</f>
        <v>159.117270492</v>
      </c>
      <c r="F15" s="13">
        <f>D15/2^30</f>
        <v>148.18950602039695</v>
      </c>
      <c r="G15" s="4" t="s">
        <v>354</v>
      </c>
    </row>
    <row r="17" spans="1:7">
      <c r="A17" s="4" t="s">
        <v>355</v>
      </c>
      <c r="B17" s="4" t="s">
        <v>356</v>
      </c>
      <c r="C17" s="4" t="s">
        <v>357</v>
      </c>
      <c r="D17" s="9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E17" s="12">
        <f>D17/1E9</f>
        <v>0.050987008</v>
      </c>
      <c r="F17" s="12">
        <f>D17/2^30</f>
        <v>0.0474853515625</v>
      </c>
      <c r="G17" s="4" t="s">
        <v>358</v>
      </c>
    </row>
    <row r="18" spans="1:7">
      <c r="A18" s="4" t="s">
        <v>355</v>
      </c>
      <c r="B18" s="4" t="s">
        <v>359</v>
      </c>
      <c r="C18" s="4" t="s">
        <v>360</v>
      </c>
      <c r="D18" s="9">
        <f>PrefillBatch*ShortLayers*INT(PrefillSequence/ShortRatio)*IndexHeadDim*BF16Bytes</f>
        <v>11010048</v>
      </c>
      <c r="E18" s="12">
        <f>D18/1E9</f>
        <v>0.011010048</v>
      </c>
      <c r="F18" s="12">
        <f>D18/2^30</f>
        <v>0.01025390625</v>
      </c>
      <c r="G18" s="4" t="s">
        <v>361</v>
      </c>
    </row>
    <row r="19" spans="1:7">
      <c r="A19" s="4" t="s">
        <v>355</v>
      </c>
      <c r="B19" s="4" t="s">
        <v>362</v>
      </c>
      <c r="C19" s="4" t="s">
        <v>363</v>
      </c>
      <c r="D19" s="9">
        <f>PrefillBatch*FP32Bytes*(ShortLayers*2*(2*ShortRatio)*(2*HeadDim)+LongLayers*2*LongRatio*HeadDim+ShortLayers*2*(2*ShortRatio)*(2*IndexHeadDim))</f>
        <v>12206080</v>
      </c>
      <c r="E19" s="12">
        <f>D19/1E9</f>
        <v>0.01220608</v>
      </c>
      <c r="F19" s="12">
        <f>D19/2^30</f>
        <v>0.0113677978515625</v>
      </c>
      <c r="G19" s="4" t="s">
        <v>364</v>
      </c>
    </row>
    <row r="20" spans="1:7">
      <c r="A20" s="4" t="s">
        <v>355</v>
      </c>
      <c r="B20" s="4" t="s">
        <v>365</v>
      </c>
      <c r="C20" s="4" t="s">
        <v>366</v>
      </c>
      <c r="D20" s="9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E20" s="12">
        <f>D20/1E9</f>
        <v>7.232045056</v>
      </c>
      <c r="F20" s="12">
        <f>D20/2^30</f>
        <v>6.7353668212890625</v>
      </c>
      <c r="G20" s="4" t="s">
        <v>367</v>
      </c>
    </row>
    <row r="21" spans="1:7">
      <c r="A21" s="4" t="s">
        <v>355</v>
      </c>
      <c r="B21" s="4" t="s">
        <v>368</v>
      </c>
      <c r="C21" s="4" t="s">
        <v>369</v>
      </c>
      <c r="D21" s="9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E21" s="12">
        <f>D21/1E9</f>
        <v>5.810552832</v>
      </c>
      <c r="F21" s="12">
        <f>D21/2^30</f>
        <v>5.4114990234375</v>
      </c>
      <c r="G21" s="4" t="s">
        <v>370</v>
      </c>
    </row>
    <row r="22" spans="1:7">
      <c r="A22" s="4" t="s">
        <v>355</v>
      </c>
      <c r="B22" s="4" t="s">
        <v>371</v>
      </c>
      <c r="C22" s="4" t="s">
        <v>372</v>
      </c>
      <c r="D22" s="9">
        <f>DecodeBatch*ShortLayers*INT(DecodeContext/ShortRatio)*IndexHeadDim*BF16Bytes</f>
        <v>1409286144</v>
      </c>
      <c r="E22" s="12">
        <f>D22/1E9</f>
        <v>1.409286144</v>
      </c>
      <c r="F22" s="12">
        <f>D22/2^30</f>
        <v>1.3125</v>
      </c>
      <c r="G22" s="4" t="s">
        <v>373</v>
      </c>
    </row>
    <row r="23" spans="1:7">
      <c r="A23" s="4" t="s">
        <v>355</v>
      </c>
      <c r="B23" s="4" t="s">
        <v>374</v>
      </c>
      <c r="C23" s="4" t="s">
        <v>375</v>
      </c>
      <c r="D23" s="9">
        <f>DecodeBatch*FP32Bytes*(ShortLayers*2*(2*ShortRatio)*(2*HeadDim)+LongLayers*2*LongRatio*HeadDim+ShortLayers*2*(2*ShortRatio)*(2*IndexHeadDim))</f>
        <v>12206080</v>
      </c>
      <c r="E23" s="12">
        <f>D23/1E9</f>
        <v>0.01220608</v>
      </c>
      <c r="F23" s="12">
        <f>D23/2^30</f>
        <v>0.0113677978515625</v>
      </c>
      <c r="G23" s="4" t="s">
        <v>364</v>
      </c>
    </row>
    <row r="24" spans="1:7">
      <c r="A24" s="4" t="s">
        <v>355</v>
      </c>
      <c r="B24" s="4" t="s">
        <v>376</v>
      </c>
      <c r="C24" s="4" t="s">
        <v>377</v>
      </c>
      <c r="D24" s="9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E24" s="12">
        <f>D24/1E9</f>
        <v>7.232045056</v>
      </c>
      <c r="F24" s="12">
        <f>D24/2^30</f>
        <v>6.7353668212890625</v>
      </c>
      <c r="G24" s="4" t="s">
        <v>378</v>
      </c>
    </row>
    <row r="26" spans="1:7">
      <c r="A26" s="4" t="s">
        <v>379</v>
      </c>
      <c r="B26" s="4" t="s">
        <v>380</v>
      </c>
      <c r="C26" s="4" t="s">
        <v>381</v>
      </c>
      <c r="D26" s="9">
        <f>MAX(PrefillBatch*PrefillSequence*HCSlots*HiddenSize*BF16Bytes,PrefillBatch*PrefillSequence*NumHeads*HeadDim*BF16Bytes)</f>
        <v>536870912</v>
      </c>
      <c r="E26" s="12">
        <f>D26/1E9</f>
        <v>0.536870912</v>
      </c>
      <c r="F26" s="12">
        <f>D26/2^30</f>
        <v>0.5</v>
      </c>
      <c r="G26" s="4" t="s">
        <v>382</v>
      </c>
    </row>
    <row r="27" spans="1:7">
      <c r="A27" s="4" t="s">
        <v>379</v>
      </c>
      <c r="B27" s="4" t="s">
        <v>383</v>
      </c>
      <c r="C27" s="4" t="s">
        <v>384</v>
      </c>
      <c r="D27" s="9">
        <f>MAX(DecodeBatch*DecodeTokens*HCSlots*HiddenSize*BF16Bytes,DecodeBatch*DecodeTokens*NumHeads*HeadDim*BF16Bytes)</f>
        <v>65536</v>
      </c>
      <c r="E27" s="12">
        <f>D27/1E9</f>
        <v>6.5536e-05</v>
      </c>
      <c r="F27" s="12">
        <f>D27/2^30</f>
        <v>6.103515625e-05</v>
      </c>
      <c r="G27" s="4" t="s">
        <v>382</v>
      </c>
    </row>
  </sheetData>
  <autoFilter ref="A3:G27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6"/>
  <sheetViews>
    <sheetView showGridLines="0" workbookViewId="0"/>
  </sheetViews>
  <sheetFormatPr defaultRowHeight="15"/>
  <cols>
    <col min="1" max="1" width="34.7109375" customWidth="1"/>
    <col min="2" max="3" width="22.7109375" customWidth="1"/>
    <col min="4" max="4" width="14.7109375" customWidth="1"/>
    <col min="5" max="5" width="65.7109375" customWidth="1"/>
  </cols>
  <sheetData>
    <row r="1" spans="1:5">
      <c r="A1" s="1" t="s">
        <v>385</v>
      </c>
    </row>
    <row r="2" spans="1:5">
      <c r="A2" s="2" t="s">
        <v>386</v>
      </c>
    </row>
    <row r="4" spans="1:5">
      <c r="A4" s="3" t="s">
        <v>237</v>
      </c>
      <c r="B4" s="3" t="s">
        <v>387</v>
      </c>
      <c r="C4" s="3" t="s">
        <v>388</v>
      </c>
      <c r="D4" s="3" t="s">
        <v>6</v>
      </c>
      <c r="E4" s="3" t="s">
        <v>389</v>
      </c>
    </row>
    <row r="5" spans="1:5">
      <c r="A5" s="4" t="s">
        <v>390</v>
      </c>
      <c r="B5" s="10">
        <f>SUMIF(Prefill_8K!$A$29:$A$40,"Attention",Prefill_8K!$F$29:$F$40)</f>
        <v>102836037746688.0</v>
      </c>
      <c r="C5" s="10">
        <f>SUMIF(Decode_1M!$A$29:$A$40,"Attention",Decode_1M!$F$29:$F$40)</f>
        <v>123969470464.0</v>
      </c>
      <c r="D5" s="4" t="s">
        <v>239</v>
      </c>
      <c r="E5" s="4" t="s">
        <v>391</v>
      </c>
    </row>
    <row r="6" spans="1:5">
      <c r="A6" s="4" t="s">
        <v>392</v>
      </c>
      <c r="B6" s="10">
        <f>SUMIF(Prefill_8K!$A$29:$A$40,"MoE",Prefill_8K!$F$29:$F$40)</f>
        <v>124846109360128.0</v>
      </c>
      <c r="C6" s="10">
        <f>SUMIF(Decode_1M!$A$29:$A$40,"MoE",Decode_1M!$F$29:$F$40)</f>
        <v>15240003584.0</v>
      </c>
      <c r="D6" s="4" t="s">
        <v>239</v>
      </c>
      <c r="E6" s="4" t="s">
        <v>391</v>
      </c>
    </row>
    <row r="7" spans="1:5">
      <c r="A7" s="4" t="s">
        <v>393</v>
      </c>
      <c r="B7" s="10">
        <f>SUMIF(Prefill_8K!$A$29:$A$40,"Other",Prefill_8K!$F$29:$F$40)</f>
        <v>702280286208.0</v>
      </c>
      <c r="C7" s="10">
        <f>SUMIF(Decode_1M!$A$29:$A$40,"Other",Decode_1M!$F$29:$F$40)</f>
        <v>1144660054.0</v>
      </c>
      <c r="D7" s="4" t="s">
        <v>239</v>
      </c>
      <c r="E7" s="4" t="s">
        <v>391</v>
      </c>
    </row>
    <row r="8" spans="1:5">
      <c r="A8" s="4" t="s">
        <v>394</v>
      </c>
      <c r="B8" s="10">
        <f>SUMIF(Prefill_8K!$A$29:$A$40,"Attention",Prefill_8K!$I$29:$I$40)</f>
        <v>358037814400.0</v>
      </c>
      <c r="C8" s="10">
        <f>SUMIF(Decode_1M!$A$29:$A$40,"Attention",Decode_1M!$I$29:$I$40)</f>
        <v>10492228352.0</v>
      </c>
      <c r="D8" s="4" t="s">
        <v>118</v>
      </c>
      <c r="E8" s="4" t="s">
        <v>395</v>
      </c>
    </row>
    <row r="9" spans="1:5">
      <c r="A9" s="4" t="s">
        <v>396</v>
      </c>
      <c r="B9" s="10">
        <f>SUMIF(Prefill_8K!$A$29:$A$40,"MoE",Prefill_8K!$I$29:$I$40)</f>
        <v>191988670976.0</v>
      </c>
      <c r="C9" s="10">
        <f>SUMIF(Decode_1M!$A$29:$A$40,"MoE",Decode_1M!$I$29:$I$40)</f>
        <v>4627033672.0</v>
      </c>
      <c r="D9" s="4" t="s">
        <v>118</v>
      </c>
      <c r="E9" s="4" t="s">
        <v>395</v>
      </c>
    </row>
    <row r="10" spans="1:5">
      <c r="A10" s="4" t="s">
        <v>397</v>
      </c>
      <c r="B10" s="10">
        <f>SUMIF(Prefill_8K!$A$29:$A$40,"Other",Prefill_8K!$I$29:$I$40)</f>
        <v>94595729480.0</v>
      </c>
      <c r="C10" s="10">
        <f>SUMIF(Decode_1M!$A$29:$A$40,"Other",Decode_1M!$I$29:$I$40)</f>
        <v>2265204808.0</v>
      </c>
      <c r="D10" s="4" t="s">
        <v>118</v>
      </c>
      <c r="E10" s="4" t="s">
        <v>395</v>
      </c>
    </row>
    <row r="11" spans="1:5">
      <c r="A11" s="4" t="s">
        <v>398</v>
      </c>
      <c r="B11" s="10">
        <f>SUMIF(Prefill_8K!$A$29:$A$40,"Attention",Prefill_8K!$I$29:$I$40)/SUM(Prefill_8K!$I$29:$I$40)</f>
        <v>0.555422705188621</v>
      </c>
      <c r="C11" s="10">
        <f>SUMIF(Decode_1M!$A$29:$A$40,"Attention",Decode_1M!$I$29:$I$40)/SUM(Decode_1M!$I$29:$I$40)</f>
        <v>0.6035404164760869</v>
      </c>
      <c r="D11" s="4" t="s">
        <v>399</v>
      </c>
      <c r="E11" s="4" t="s">
        <v>400</v>
      </c>
    </row>
    <row r="12" spans="1:5">
      <c r="A12" s="4" t="s">
        <v>401</v>
      </c>
      <c r="B12" s="10">
        <f>SUMIF(Prefill_8K!$A$29:$A$40,"MoE",Prefill_8K!$I$29:$I$40)/SUM(Prefill_8K!$I$29:$I$40)</f>
        <v>0.2978312980090016</v>
      </c>
      <c r="C12" s="10">
        <f>SUMIF(Decode_1M!$A$29:$A$40,"MoE",Decode_1M!$I$29:$I$40)/SUM(Decode_1M!$I$29:$I$40)</f>
        <v>0.26615907848740633</v>
      </c>
      <c r="D12" s="4" t="s">
        <v>399</v>
      </c>
      <c r="E12" s="4" t="s">
        <v>400</v>
      </c>
    </row>
    <row r="13" spans="1:5">
      <c r="A13" s="4" t="s">
        <v>402</v>
      </c>
      <c r="B13" s="10">
        <f>SUMIF(Prefill_8K!$A$29:$A$40,"Other",Prefill_8K!$I$29:$I$40)/SUM(Prefill_8K!$I$29:$I$40)</f>
        <v>0.14674599680237738</v>
      </c>
      <c r="C13" s="10">
        <f>SUMIF(Decode_1M!$A$29:$A$40,"Other",Decode_1M!$I$29:$I$40)/SUM(Decode_1M!$I$29:$I$40)</f>
        <v>0.13030050503650673</v>
      </c>
      <c r="D13" s="4" t="s">
        <v>399</v>
      </c>
      <c r="E13" s="4" t="s">
        <v>400</v>
      </c>
    </row>
    <row r="14" spans="1:5">
      <c r="A14" s="4" t="s">
        <v>403</v>
      </c>
      <c r="B14" s="10">
        <f>Memory!D17+Memory!D18+Memory!D19</f>
        <v>74203136</v>
      </c>
      <c r="C14" s="10">
        <f>Memory!D21+Memory!D22+Memory!D23</f>
        <v>7232045056</v>
      </c>
      <c r="D14" s="4" t="s">
        <v>118</v>
      </c>
      <c r="E14" s="4" t="s">
        <v>404</v>
      </c>
    </row>
    <row r="15" spans="1:5">
      <c r="A15" s="4" t="s">
        <v>405</v>
      </c>
      <c r="B15" s="10">
        <f>Memory!D20</f>
        <v>7232045056</v>
      </c>
      <c r="C15" s="10">
        <f>Memory!D24</f>
        <v>7232045056</v>
      </c>
      <c r="D15" s="4" t="s">
        <v>118</v>
      </c>
      <c r="E15" s="4" t="s">
        <v>406</v>
      </c>
    </row>
    <row r="16" spans="1:5">
      <c r="A16" s="4" t="s">
        <v>407</v>
      </c>
      <c r="B16" s="10">
        <f>ParameterTotalPerRank</f>
        <v>159117270492.0</v>
      </c>
      <c r="C16" s="10">
        <f>ParameterTotalPerRank</f>
        <v>159117270492.0</v>
      </c>
      <c r="D16" s="4" t="s">
        <v>118</v>
      </c>
      <c r="E16" s="4" t="s">
        <v>408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6"/>
  <sheetViews>
    <sheetView showGridLines="0"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1" t="s">
        <v>409</v>
      </c>
    </row>
    <row r="3" spans="1:2">
      <c r="A3" s="3" t="s">
        <v>410</v>
      </c>
      <c r="B3" s="3" t="s">
        <v>411</v>
      </c>
    </row>
    <row r="4" spans="1:2">
      <c r="A4" s="4" t="s">
        <v>412</v>
      </c>
      <c r="B4" s="4" t="s">
        <v>413</v>
      </c>
    </row>
    <row r="5" spans="1:2">
      <c r="A5" s="4" t="s">
        <v>239</v>
      </c>
      <c r="B5" s="4" t="s">
        <v>414</v>
      </c>
    </row>
    <row r="6" spans="1:2">
      <c r="A6" s="4" t="s">
        <v>415</v>
      </c>
      <c r="B6" s="4" t="s">
        <v>416</v>
      </c>
    </row>
    <row r="7" spans="1:2">
      <c r="A7" s="4" t="s">
        <v>417</v>
      </c>
      <c r="B7" s="4" t="s">
        <v>418</v>
      </c>
    </row>
    <row r="8" spans="1:2">
      <c r="A8" s="4" t="s">
        <v>64</v>
      </c>
      <c r="B8" s="4" t="s">
        <v>419</v>
      </c>
    </row>
    <row r="9" spans="1:2">
      <c r="A9" s="4" t="s">
        <v>420</v>
      </c>
      <c r="B9" s="4" t="s">
        <v>421</v>
      </c>
    </row>
    <row r="10" spans="1:2">
      <c r="A10" s="4" t="s">
        <v>422</v>
      </c>
      <c r="B10" s="4" t="s">
        <v>423</v>
      </c>
    </row>
    <row r="11" spans="1:2">
      <c r="A11" s="4" t="s">
        <v>424</v>
      </c>
      <c r="B11" s="4" t="s">
        <v>425</v>
      </c>
    </row>
    <row r="12" spans="1:2">
      <c r="A12" s="4" t="s">
        <v>426</v>
      </c>
      <c r="B12" s="4" t="s">
        <v>427</v>
      </c>
    </row>
    <row r="13" spans="1:2">
      <c r="A13" s="4" t="s">
        <v>306</v>
      </c>
      <c r="B13" s="4" t="s">
        <v>428</v>
      </c>
    </row>
    <row r="14" spans="1:2">
      <c r="A14" s="4" t="s">
        <v>429</v>
      </c>
      <c r="B14" s="4" t="s">
        <v>430</v>
      </c>
    </row>
    <row r="15" spans="1:2">
      <c r="A15" s="4" t="s">
        <v>431</v>
      </c>
      <c r="B15" s="4" t="s">
        <v>432</v>
      </c>
    </row>
    <row r="16" spans="1:2">
      <c r="A16" s="4" t="s">
        <v>433</v>
      </c>
      <c r="B16" s="4" t="s">
        <v>434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67</vt:i4>
      </vt:variant>
    </vt:vector>
  </HeadingPairs>
  <TitlesOfParts>
    <vt:vector size="74" baseType="lpstr">
      <vt:lpstr>Parameters</vt:lpstr>
      <vt:lpstr>Layer_Config</vt:lpstr>
      <vt:lpstr>Prefill_8K</vt:lpstr>
      <vt:lpstr>Decode_1M</vt:lpstr>
      <vt:lpstr>Memory</vt:lpstr>
      <vt:lpstr>Comparison</vt:lpstr>
      <vt:lpstr>Methodology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DecodeTargetMs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HBMBandwidthGBps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InterconnectGBps</vt:lpstr>
      <vt:lpstr>KernelLocalHeads</vt:lpstr>
      <vt:lpstr>KernelMinHeads</vt:lpstr>
      <vt:lpstr>LocalExperts</vt:lpstr>
      <vt:lpstr>LocalHeads</vt:lpstr>
      <vt:lpstr>LocalIndexHeads</vt:lpstr>
      <vt:lpstr>LocalOGroups</vt:lpstr>
      <vt:lpstr>LocalVocab</vt:lpstr>
      <vt:lpstr>LongLayers</vt:lpstr>
      <vt:lpstr>LongRatio</vt:lpstr>
      <vt:lpstr>MaxContext</vt:lpstr>
      <vt:lpstr>NumHeads</vt:lpstr>
      <vt:lpstr>OGroups</vt:lpstr>
      <vt:lpstr>OLoraRank</vt:lpstr>
      <vt:lpstr>ParameterTotalPerRank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PrefillTargetMs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HBM, and memory analysis</dc:subject>
  <dc:creator>DeepSeek V4 Flash repository calculator</dc:creator>
  <cp:lastModifiedBy>DeepSeek V4 Flash repository calculator</cp:lastModifiedBy>
  <dcterms:created xsi:type="dcterms:W3CDTF">2026-08-18T03:02:03Z</dcterms:created>
  <dcterms:modified xsi:type="dcterms:W3CDTF">2026-08-18T03:02:03Z</dcterms:modified>
</cp:coreProperties>
</file>