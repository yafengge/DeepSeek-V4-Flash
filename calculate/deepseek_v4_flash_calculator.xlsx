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5"/>
  </bookViews>
  <sheets>
    <sheet name="Parameters" sheetId="1" r:id="rId1"/>
    <sheet name="Prefill_8K" sheetId="2" r:id="rId2"/>
    <sheet name="Decode_1M" sheetId="3" r:id="rId3"/>
    <sheet name="dtype" sheetId="4" r:id="rId4"/>
    <sheet name="Comparison" sheetId="5" r:id="rId5"/>
    <sheet name="Summary" sheetId="6" r:id="rId6"/>
    <sheet name="Layer_Config" sheetId="7" r:id="rId7"/>
    <sheet name="Methodology" sheetId="8" r:id="rId8"/>
  </sheets>
  <definedNames>
    <definedName name="_xlnm._FilterDatabase" localSheetId="6" hidden="1">Layer_Config!$A$3:$F$67</definedName>
    <definedName name="_xlnm._FilterDatabase" localSheetId="0" hidden="1">Parameters!$A$3:$E$64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<sst xmlns="http://schemas.openxmlformats.org/spreadsheetml/2006/main" count="1455" uniqueCount="547">
  <si>
    <t>DeepSeek V4 Flash - 可编辑架构参数</t>
  </si>
  <si>
    <t>蓝色单元格为可编辑输入，绿色单元格为 Excel 派生公式。</t>
  </si>
  <si>
    <t>类别</t>
  </si>
  <si>
    <t>参数</t>
  </si>
  <si>
    <t>Excel 名称</t>
  </si>
  <si>
    <t>数值</t>
  </si>
  <si>
    <t>说明</t>
  </si>
  <si>
    <t>并行</t>
  </si>
  <si>
    <t>TP1 对比规模</t>
  </si>
  <si>
    <t>TP1Size</t>
  </si>
  <si>
    <t>第一组张量并行配置。</t>
  </si>
  <si>
    <t>TP8 对比规模</t>
  </si>
  <si>
    <t>TP8Size</t>
  </si>
  <si>
    <t>第二组张量并行配置，可编辑。</t>
  </si>
  <si>
    <t>场景</t>
  </si>
  <si>
    <t>预填充批大小</t>
  </si>
  <si>
    <t>PrefillBatch</t>
  </si>
  <si>
    <t>可编辑的预填充批大小。</t>
  </si>
  <si>
    <t>预填充序列长度</t>
  </si>
  <si>
    <t>PrefillSequence</t>
  </si>
  <si>
    <t>一次预填充处理的提示词令牌数。</t>
  </si>
  <si>
    <t>解码批大小</t>
  </si>
  <si>
    <t>DecodeBatch</t>
  </si>
  <si>
    <t>可编辑的解码批大小。</t>
  </si>
  <si>
    <t>每个解码步骤的令牌数</t>
  </si>
  <si>
    <t>DecodeTokens</t>
  </si>
  <si>
    <t>通常为 1；公式按解码上下文长度建模每个令牌。</t>
  </si>
  <si>
    <t>解码上下文长度</t>
  </si>
  <si>
    <t>DecodeContext</t>
  </si>
  <si>
    <t>解码阶段可见的有效上下文长度。</t>
  </si>
  <si>
    <t>最大预分配上下文长度</t>
  </si>
  <si>
    <t>MaxContext</t>
  </si>
  <si>
    <t>KV 缓存的预分配容量。</t>
  </si>
  <si>
    <t>模型</t>
  </si>
  <si>
    <t>隐藏维度</t>
  </si>
  <si>
    <t>HiddenSize</t>
  </si>
  <si>
    <t>Transformer 残差宽度。</t>
  </si>
  <si>
    <t>词表大小</t>
  </si>
  <si>
    <t>VocabSize</t>
  </si>
  <si>
    <t>Embedding 与 LM Head 使用的词表大小。</t>
  </si>
  <si>
    <t>注意力</t>
  </si>
  <si>
    <t>查询头数</t>
  </si>
  <si>
    <t>NumHeads</t>
  </si>
  <si>
    <t>全局 Query 头数量。</t>
  </si>
  <si>
    <t>头维度</t>
  </si>
  <si>
    <t>HeadDim</t>
  </si>
  <si>
    <t>共享潜在 KV 宽度及每个 Query 头的宽度。</t>
  </si>
  <si>
    <t>RoPE 维度</t>
  </si>
  <si>
    <t>RopeDim</t>
  </si>
  <si>
    <t>HeadDim 中用于旋转位置编码的维度。</t>
  </si>
  <si>
    <t>Q LoRA 秩</t>
  </si>
  <si>
    <t>QLoraRank</t>
  </si>
  <si>
    <t>Q 投影的低秩中间宽度。</t>
  </si>
  <si>
    <t>输出分组数</t>
  </si>
  <si>
    <t>OGroups</t>
  </si>
  <si>
    <t>分组低秩输出投影的分组数量。</t>
  </si>
  <si>
    <t>输出 LoRA 秩</t>
  </si>
  <si>
    <t>OLoraRank</t>
  </si>
  <si>
    <t>每个输出分组的低秩宽度。</t>
  </si>
  <si>
    <t>混合专家</t>
  </si>
  <si>
    <t>路由专家数</t>
  </si>
  <si>
    <t>RoutedExperts</t>
  </si>
  <si>
    <t>每个专家块的全局路由专家数量。</t>
  </si>
  <si>
    <t>激活专家数</t>
  </si>
  <si>
    <t>ActivatedExperts</t>
  </si>
  <si>
    <t>每个令牌选取的 Top-K 路由专家数量。</t>
  </si>
  <si>
    <t>共享专家数</t>
  </si>
  <si>
    <t>SharedExperts</t>
  </si>
  <si>
    <t>每个专家块复制的共享专家数量。</t>
  </si>
  <si>
    <t>专家中间维度</t>
  </si>
  <si>
    <t>ExpertInter</t>
  </si>
  <si>
    <t>SwiGLU 专家的中间维度。</t>
  </si>
  <si>
    <t>缓存</t>
  </si>
  <si>
    <t>原始滑动窗口</t>
  </si>
  <si>
    <t>WindowSize</t>
  </si>
  <si>
    <t>每层保留的原始 KV 位置数量。</t>
  </si>
  <si>
    <t>短压缩比例</t>
  </si>
  <si>
    <t>ShortRatio</t>
  </si>
  <si>
    <t>默认的 ratio-4 模式。</t>
  </si>
  <si>
    <t>长压缩比例</t>
  </si>
  <si>
    <t>LongRatio</t>
  </si>
  <si>
    <t>默认的 ratio-128 模式。</t>
  </si>
  <si>
    <t>索引器</t>
  </si>
  <si>
    <t>索引头数</t>
  </si>
  <si>
    <t>IndexHeads</t>
  </si>
  <si>
    <t>全局 ratio-4 Indexer 头数量。</t>
  </si>
  <si>
    <t>索引头维度</t>
  </si>
  <si>
    <t>IndexHeadDim</t>
  </si>
  <si>
    <t>Indexer Q/K 的维度。</t>
  </si>
  <si>
    <t>Indexer Top-K</t>
  </si>
  <si>
    <t>IndexTopK</t>
  </si>
  <si>
    <t>ratio-4 注意力保留的压缩条目数量。</t>
  </si>
  <si>
    <t>HC</t>
  </si>
  <si>
    <t>HC 槽位数</t>
  </si>
  <si>
    <t>HCSlots</t>
  </si>
  <si>
    <t>Hyper-Connection 残差流数量。</t>
  </si>
  <si>
    <t>Sinkhorn 迭代次数</t>
  </si>
  <si>
    <t>HCIters</t>
  </si>
  <si>
    <t>HC 组合归一化的迭代次数。</t>
  </si>
  <si>
    <t>路由</t>
  </si>
  <si>
    <t>哈希路由层数</t>
  </si>
  <si>
    <t>HashLayers</t>
  </si>
  <si>
    <t>使用令牌编号到专家编号的路由起始层数量。</t>
  </si>
  <si>
    <t>数据类型</t>
  </si>
  <si>
    <t>BF16 字节数</t>
  </si>
  <si>
    <t>BF16Bytes</t>
  </si>
  <si>
    <t>每个 BF16 元素占用的存储字节数。</t>
  </si>
  <si>
    <t>FP32 字节数</t>
  </si>
  <si>
    <t>FP32Bytes</t>
  </si>
  <si>
    <t>每个 FP32 元素占用的存储字节数。</t>
  </si>
  <si>
    <t>FP8 字节数</t>
  </si>
  <si>
    <t>FP8Bytes</t>
  </si>
  <si>
    <t>每个 FP8 元素占用的存储字节数。</t>
  </si>
  <si>
    <t>FP4 字节数</t>
  </si>
  <si>
    <t>FP4Bytes</t>
  </si>
  <si>
    <t>每个 FP4 元素的逻辑打包字节数。</t>
  </si>
  <si>
    <t>Scale 字节数</t>
  </si>
  <si>
    <t>ScaleBytes</t>
  </si>
  <si>
    <t>E8M0 Scale 的存储字节数。</t>
  </si>
  <si>
    <t>INT32 字节数</t>
  </si>
  <si>
    <t>INT32Bytes</t>
  </si>
  <si>
    <t>每个 INT32 元素占用的存储字节数。</t>
  </si>
  <si>
    <t>INT64 字节数</t>
  </si>
  <si>
    <t>INT64Bytes</t>
  </si>
  <si>
    <t>每个 INT64 元素占用的存储字节数。</t>
  </si>
  <si>
    <t>量化</t>
  </si>
  <si>
    <t>FP8 Scale 分块大小</t>
  </si>
  <si>
    <t>FP8Block</t>
  </si>
  <si>
    <t>二维 FP8 权重 Scale 的分块大小。</t>
  </si>
  <si>
    <t>FP4 Scale 分块大小</t>
  </si>
  <si>
    <t>FP4Block</t>
  </si>
  <si>
    <t>沿 K 维度的 FP4 专家 Scale 分块大小。</t>
  </si>
  <si>
    <t>内核</t>
  </si>
  <si>
    <t>稀疏注意力最小头数</t>
  </si>
  <si>
    <t>KernelMinHeads</t>
  </si>
  <si>
    <t>当本地头数不足时，内核补齐到该头数。</t>
  </si>
  <si>
    <t>硬件</t>
  </si>
  <si>
    <t>峰值算力</t>
  </si>
  <si>
    <t>PeakTFLOPs</t>
  </si>
  <si>
    <t>可编辑的示例硬件峰值算力。</t>
  </si>
  <si>
    <t>HBM 带宽</t>
  </si>
  <si>
    <t>HBMBandwidthGBps</t>
  </si>
  <si>
    <t>可编辑的持续/目标 HBM 带宽。</t>
  </si>
  <si>
    <t>卡间互连带宽</t>
  </si>
  <si>
    <t>InterconnectGBps</t>
  </si>
  <si>
    <t>可编辑的有效双向互连带宽。</t>
  </si>
  <si>
    <t>预填充目标延迟</t>
  </si>
  <si>
    <t>PrefillTargetMs</t>
  </si>
  <si>
    <t>仅用于推导所需 HBM 带宽和卡间互连带宽。</t>
  </si>
  <si>
    <t>解码目标延迟</t>
  </si>
  <si>
    <t>DecodeTargetMs</t>
  </si>
  <si>
    <t>派生</t>
  </si>
  <si>
    <t>有效层数</t>
  </si>
  <si>
    <t>TotalLayers</t>
  </si>
  <si>
    <t>Layer_Config 中启用的层数。</t>
  </si>
  <si>
    <t>仅窗口层数</t>
  </si>
  <si>
    <t>WindowLayers</t>
  </si>
  <si>
    <t>启用的窗口模式层数。</t>
  </si>
  <si>
    <t>短压缩层数</t>
  </si>
  <si>
    <t>ShortLayers</t>
  </si>
  <si>
    <t>启用的 ratio-4/短压缩层数。</t>
  </si>
  <si>
    <t>长压缩层数</t>
  </si>
  <si>
    <t>LongLayers</t>
  </si>
  <si>
    <t>启用的 ratio-128/长压缩层数。</t>
  </si>
  <si>
    <t>有效哈希层数</t>
  </si>
  <si>
    <t>ActiveHashLayers</t>
  </si>
  <si>
    <t>层 ID 小于 HashLayers 且已启用的层数。</t>
  </si>
  <si>
    <t>TP1 本地 Q 头数</t>
  </si>
  <si>
    <t>TP1LocalHeads</t>
  </si>
  <si>
    <t>单个 TP1 Rank 上的 Q 头数。</t>
  </si>
  <si>
    <t>TP1 内核本地头数</t>
  </si>
  <si>
    <t>TP1KernelLocalHeads</t>
  </si>
  <si>
    <t>补齐后的稀疏内核本地头数。</t>
  </si>
  <si>
    <t>TP1 本地索引头数</t>
  </si>
  <si>
    <t>TP1LocalIndexHeads</t>
  </si>
  <si>
    <t>单个 TP1 Rank 上的 Indexer 头数。</t>
  </si>
  <si>
    <t>TP1 本地专家数</t>
  </si>
  <si>
    <t>TP1LocalExperts</t>
  </si>
  <si>
    <t>单个 TP1 Rank 上的路由专家数。</t>
  </si>
  <si>
    <t>TP1 本地输出分组数</t>
  </si>
  <si>
    <t>TP1LocalOGroups</t>
  </si>
  <si>
    <t>单个 TP1 Rank 上的输出分组数。</t>
  </si>
  <si>
    <t>TP1 本地词表大小</t>
  </si>
  <si>
    <t>TP1LocalVocab</t>
  </si>
  <si>
    <t>单个 TP1 Rank 上的词表行数。</t>
  </si>
  <si>
    <t>TP8 本地 Q 头数</t>
  </si>
  <si>
    <t>TP8LocalHeads</t>
  </si>
  <si>
    <t>单个 TP8 Rank 上的 Q 头数。</t>
  </si>
  <si>
    <t>TP8 内核本地头数</t>
  </si>
  <si>
    <t>TP8KernelLocalHeads</t>
  </si>
  <si>
    <t>TP8 本地索引头数</t>
  </si>
  <si>
    <t>TP8LocalIndexHeads</t>
  </si>
  <si>
    <t>单个 TP8 Rank 上的 Indexer 头数。</t>
  </si>
  <si>
    <t>TP8 本地专家数</t>
  </si>
  <si>
    <t>TP8LocalExperts</t>
  </si>
  <si>
    <t>单个 TP8 Rank 上的路由专家数。</t>
  </si>
  <si>
    <t>TP8 本地输出分组数</t>
  </si>
  <si>
    <t>TP8LocalOGroups</t>
  </si>
  <si>
    <t>单个 TP8 Rank 上的输出分组数。</t>
  </si>
  <si>
    <t>TP8 本地词表大小</t>
  </si>
  <si>
    <t>TP8LocalVocab</t>
  </si>
  <si>
    <t>单个 TP8 Rank 上的词表行数。</t>
  </si>
  <si>
    <t>8K 预填充 - TP1 与 TP8 推理对比</t>
  </si>
  <si>
    <t>仅推理：不包含反向传播、梯度、优化器或训练状态内存。第 3 行以下可滚动查看。</t>
  </si>
  <si>
    <t>辅助指标</t>
  </si>
  <si>
    <t>单位</t>
  </si>
  <si>
    <t>令牌行数</t>
  </si>
  <si>
    <t>令牌行</t>
  </si>
  <si>
    <t>当前场景需要处理的令牌总数；预填充为批大小乘序列长度，解码为批大小乘每步令牌数。</t>
  </si>
  <si>
    <t>因果原始窗口对数</t>
  </si>
  <si>
    <t>对数/序列</t>
  </si>
  <si>
    <t>因果原始窗口路径中可参与注意力计算的令牌对数量，按每个序列统计。</t>
  </si>
  <si>
    <t>封顶短压缩对数</t>
  </si>
  <si>
    <t>短压缩路径的候选令牌对数量；按短压缩比例折叠，并受 Top-K 候选上限约束。</t>
  </si>
  <si>
    <t>长压缩对数</t>
  </si>
  <si>
    <t>长压缩路径按长压缩比例折叠后的候选令牌对数量。</t>
  </si>
  <si>
    <t>Indexer 扫描对数</t>
  </si>
  <si>
    <t>ratio-4 Indexer 评分时需要扫描的压缩条目数量，作为索引器计算量输入。</t>
  </si>
  <si>
    <t>专家激活概率</t>
  </si>
  <si>
    <t>概率</t>
  </si>
  <si>
    <t>在当前场景令牌数下，单个路由专家至少被激活一次的概率，用于估算路由专家参数读取量。</t>
  </si>
  <si>
    <t>推理计算明细</t>
  </si>
  <si>
    <t>算子/项目</t>
  </si>
  <si>
    <t>层范围</t>
  </si>
  <si>
    <t>TP1 FLOPs</t>
  </si>
  <si>
    <t>TP8 FLOPs/rank</t>
  </si>
  <si>
    <t>TP1 HBM/rank</t>
  </si>
  <si>
    <t>TP8 HBM/rank</t>
  </si>
  <si>
    <t>TP1 卡间互连</t>
  </si>
  <si>
    <t>TP8 卡间互连/rank</t>
  </si>
  <si>
    <t>统计类型</t>
  </si>
  <si>
    <t>Q/K/O 投影</t>
  </si>
  <si>
    <t>所有启用层</t>
  </si>
  <si>
    <t>主要</t>
  </si>
  <si>
    <t>Wq_a 和 Wkv 在每个 TP Rank 上复制；Wq_b/Wo_a/Wo_b 按 TP 分片。</t>
  </si>
  <si>
    <t>稀疏注意力 QK + AV</t>
  </si>
  <si>
    <t>窗口/短压缩/长压缩层组合</t>
  </si>
  <si>
    <t>KV 在各头之间共享；每个 Rank 的内核头数包含最小头数补齐。</t>
  </si>
  <si>
    <t>ratio-4 Indexer 投影</t>
  </si>
  <si>
    <t>短压缩层</t>
  </si>
  <si>
    <t>Indexer Q 和令牌权重投影；仅 ratio-4 层使用。</t>
  </si>
  <si>
    <t>ratio-4 Indexer 评分扫描</t>
  </si>
  <si>
    <t>在选取 Top-K 前扫描所有已完成的 ratio-4 索引条目。</t>
  </si>
  <si>
    <t>主 KV Compressor 投影</t>
  </si>
  <si>
    <t>所有压缩 KV 层</t>
  </si>
  <si>
    <t>每个 TP Rank 都复制；ratio-4 使用重叠的 2 倍投影。</t>
  </si>
  <si>
    <t>Indexer Compressor 投影</t>
  </si>
  <si>
    <t>复制的辅助 Compressor，用于构建 Indexer 缓存。</t>
  </si>
  <si>
    <t>Router 评分投影</t>
  </si>
  <si>
    <t>即使是哈希路由层，源码仍会计算 Gate 分数。</t>
  </si>
  <si>
    <t>Top-K 路由专家</t>
  </si>
  <si>
    <t>每个 Rank 的均衡期望分配；参数读取使用专家至少被触发一次的概率。</t>
  </si>
  <si>
    <t>共享专家</t>
  </si>
  <si>
    <t>共享专家在每个 TP Rank 上复制，并独立计算。</t>
  </si>
  <si>
    <t>其他</t>
  </si>
  <si>
    <t>Hyper-Connections 与块归一化</t>
  </si>
  <si>
    <t>辅助</t>
  </si>
  <si>
    <t>HC 计算为近似值；sigmoid/exp 仅做定性跟踪。</t>
  </si>
  <si>
    <t>LM Head</t>
  </si>
  <si>
    <t>模型尾部</t>
  </si>
  <si>
    <t>推理路径仅根据最后一个隐藏令牌计算 logits。</t>
  </si>
  <si>
    <t>通信</t>
  </si>
  <si>
    <t>TP 集合通信</t>
  </si>
  <si>
    <t>Embedding + 每个块 + LM Head</t>
  </si>
  <si>
    <t>TP=1 时为零。这是传输量，不是 HBM 流量。</t>
  </si>
  <si>
    <t>场景汇总</t>
  </si>
  <si>
    <t>指标</t>
  </si>
  <si>
    <t>TP1</t>
  </si>
  <si>
    <t>TP8/每 Rank</t>
  </si>
  <si>
    <t>注意力主要 FLOPs</t>
  </si>
  <si>
    <t>混合专家主要 FLOPs</t>
  </si>
  <si>
    <t>其他推理 FLOPs</t>
  </si>
  <si>
    <t>总推理 FLOPs</t>
  </si>
  <si>
    <t>注意力 HBM 流量</t>
  </si>
  <si>
    <t>混合专家 HBM 流量</t>
  </si>
  <si>
    <t>其他 HBM 流量</t>
  </si>
  <si>
    <t>总 HBM 流量</t>
  </si>
  <si>
    <t>卡间互连传输量</t>
  </si>
  <si>
    <t>算术强度</t>
  </si>
  <si>
    <t>一次推理所需计算量</t>
  </si>
  <si>
    <t>目标时延所需 HBM 带宽</t>
  </si>
  <si>
    <t>1M 上下文解码 - TP1 与 TP8 推理对比</t>
  </si>
  <si>
    <t>原始窗口候选数</t>
  </si>
  <si>
    <t>解码时原始滑动窗口可见的候选条目数量，受窗口大小和当前上下文长度限制。</t>
  </si>
  <si>
    <t>短压缩 Top-K 候选数</t>
  </si>
  <si>
    <t>解码时短压缩路径最终保留的 Top-K 候选数量，取 Top-K 与已生成压缩条目数的较小值。</t>
  </si>
  <si>
    <t>长压缩候选数</t>
  </si>
  <si>
    <t>解码时长压缩路径按长压缩比例生成的候选条目数量。</t>
  </si>
  <si>
    <t>Indexer 扫描候选数</t>
  </si>
  <si>
    <t>解码时 ratio-4 Indexer 需要扫描的压缩条目数量，用于估算索引器评分计算量。</t>
  </si>
  <si>
    <t>推理路径数据类型（dtype）总表</t>
  </si>
  <si>
    <t>集中记录各算子模块的参数存储、激活类型和逐层注意力/路由模式。</t>
  </si>
  <si>
    <t>数据类型（dtype）：模块级存储与计算类型</t>
  </si>
  <si>
    <t>适用范围</t>
  </si>
  <si>
    <t>模块/张量</t>
  </si>
  <si>
    <t>落盘/参数存储</t>
  </si>
  <si>
    <t>激活/中间计算</t>
  </si>
  <si>
    <t>全局配置</t>
  </si>
  <si>
    <t>torch_dtype / 主干激活</t>
  </si>
  <si>
    <t>BF16</t>
  </si>
  <si>
    <t>config.json 的 torch_dtype=bfloat16；隐藏状态与残差主路径使用 BF16。</t>
  </si>
  <si>
    <t>普通量化线性层</t>
  </si>
  <si>
    <t>FP8 E4M3 + FP8 E8M0 缩放因子</t>
  </si>
  <si>
    <t>动态 FP8 激活量化</t>
  </si>
  <si>
    <t>quantization_config：quant_method=fp8，fmt=e4m3，scale_fmt=ue8m0。</t>
  </si>
  <si>
    <t>所有层 0-42</t>
  </si>
  <si>
    <t>注意力主投影 wq_a/wq_b/wkv/wo_b</t>
  </si>
  <si>
    <t>FP8 GEMM；输入由 BF16 动态量化</t>
  </si>
  <si>
    <t>大多数注意力线性权重。</t>
  </si>
  <si>
    <t>注意力输出投影 wo_a</t>
  </si>
  <si>
    <t>BF16 张量积（einsum）</t>
  </si>
  <si>
    <t>检查点中为 FP8，转换后在推理实现中按 BF16 使用。</t>
  </si>
  <si>
    <t>RMSNorm 权重与归一化</t>
  </si>
  <si>
    <t>权重 BF16；实现参数 FP32</t>
  </si>
  <si>
    <t>FP32 计算，输出回 BF16</t>
  </si>
  <si>
    <t>Norm 计算先转 FP32 以提高稳定性。</t>
  </si>
  <si>
    <t>ratio-4 / ratio-128 层</t>
  </si>
  <si>
    <t>主 Compressor wkv/wgate/ape</t>
  </si>
  <si>
    <t>检查点主要为 BF16；实现参数 FP32</t>
  </si>
  <si>
    <t>FP32 压缩/softmax</t>
  </si>
  <si>
    <t>Compressor 参数在推理实现中提升到 FP32。</t>
  </si>
  <si>
    <t>ratio-4 层</t>
  </si>
  <si>
    <t>Indexer 投影与评分</t>
  </si>
  <si>
    <t>wq_b FP8；weights_proj BF16</t>
  </si>
  <si>
    <t>QAT/FP4 模拟 QKV；评分 FP32</t>
  </si>
  <si>
    <t>仅 ratio-4 层启用 Indexer。</t>
  </si>
  <si>
    <t>路由专家 w1/w2/w3</t>
  </si>
  <si>
    <t>FP4 E2M1 打包 + FP8 E8M0 缩放因子</t>
  </si>
  <si>
    <t>FP4 GEMM；SwiGLU FP32；输出回 BF16</t>
  </si>
  <si>
    <t>专家数据类型为 fp4；每个令牌激活 6 个路由专家。</t>
  </si>
  <si>
    <t>共享专家 w1/w2/w3</t>
  </si>
  <si>
    <t>FP8 GEMM；SwiGLU FP32</t>
  </si>
  <si>
    <t>每层 1 个共享专家，跨 TP Rank 复制。</t>
  </si>
  <si>
    <t>Router 分数/路由权重</t>
  </si>
  <si>
    <t>偏置 FP32；哈希表 INT32</t>
  </si>
  <si>
    <t>FP32</t>
  </si>
  <si>
    <t>sqrt(softplus) 评分、Top-K 和归一化在 FP32 中完成。</t>
  </si>
  <si>
    <t>第 0-2 层</t>
  </si>
  <si>
    <t>哈希路由表</t>
  </si>
  <si>
    <t>INT32</t>
  </si>
  <si>
    <t>INT32 索引</t>
  </si>
  <si>
    <t>前 3 层使用令牌编号到专家编号的预计算路由。</t>
  </si>
  <si>
    <t>mHC 参数 / 注意力 Sink</t>
  </si>
  <si>
    <t>HC 混合、Sinkhorn 与 Sink 参数使用 FP32。</t>
  </si>
  <si>
    <t>KV 缓存</t>
  </si>
  <si>
    <t>BF16；部分非 RoPE 维度使用 FP8 模拟</t>
  </si>
  <si>
    <t>当前推理实现中的 KV 缓存为 BF16。</t>
  </si>
  <si>
    <t>最终归一化 / HC Head</t>
  </si>
  <si>
    <t>FP32 推理参数</t>
  </si>
  <si>
    <t>最终 HC 归约与 RMSNorm。</t>
  </si>
  <si>
    <t>LM Head / Logits</t>
  </si>
  <si>
    <t>checkpoint BF16；实现参数 FP32</t>
  </si>
  <si>
    <t>FP32 线性层与 Logits</t>
  </si>
  <si>
    <t>词表并行；Logits 以 FP32 计算。</t>
  </si>
  <si>
    <t>43 层逐层 dtype、注意力与路由模式</t>
  </si>
  <si>
    <t>层 ID</t>
  </si>
  <si>
    <t>注意力模式</t>
  </si>
  <si>
    <t>压缩比例</t>
  </si>
  <si>
    <t>路由模式</t>
  </si>
  <si>
    <t>隐藏状态 / 残差</t>
  </si>
  <si>
    <t>注意力主投影</t>
  </si>
  <si>
    <t>路由专家</t>
  </si>
  <si>
    <t>归一化 / HC / Router 计算</t>
  </si>
  <si>
    <t>窗口</t>
  </si>
  <si>
    <t>哈希路由（INT32）</t>
  </si>
  <si>
    <t>FP8 E4M3; wo_a BF16</t>
  </si>
  <si>
    <t>FP4 E2M1</t>
  </si>
  <si>
    <t>FP8 E4M3</t>
  </si>
  <si>
    <t>短压缩稀疏</t>
  </si>
  <si>
    <t>长压缩</t>
  </si>
  <si>
    <t>评分路由（FP32）</t>
  </si>
  <si>
    <t>参数与缓存：8K 预填充 参数与容量</t>
  </si>
  <si>
    <t>大类</t>
  </si>
  <si>
    <t>参数组件</t>
  </si>
  <si>
    <t>全局参数量</t>
  </si>
  <si>
    <t>TP1 参数量/rank</t>
  </si>
  <si>
    <t>TP8 参数量/rank</t>
  </si>
  <si>
    <t>TP1 容量/rank</t>
  </si>
  <si>
    <t>TP8 容量/rank</t>
  </si>
  <si>
    <t>核心 Q/K/O 投影</t>
  </si>
  <si>
    <t>Wq_a/Wkv 复制；Q/O 输出维度按 TP 分片。</t>
  </si>
  <si>
    <t>KV 压缩器</t>
  </si>
  <si>
    <t>FP32 推理 Compressor 在每个 TP Rank 上复制。</t>
  </si>
  <si>
    <t>ratio-4 Indexer</t>
  </si>
  <si>
    <t>Indexer Q/权重投影按 TP 分片；Indexer Compressor 复制。</t>
  </si>
  <si>
    <t>FP4 路由专家在各 Rank 间均匀分片。</t>
  </si>
  <si>
    <t>FP8 共享专家在每个 Rank 上复制。</t>
  </si>
  <si>
    <t>Router 与哈希表</t>
  </si>
  <si>
    <t>Gate、偏置和令牌到专家的映射表在每个 Rank 上复制。</t>
  </si>
  <si>
    <t>Embedding</t>
  </si>
  <si>
    <t>Embedding 按词表维度并行。</t>
  </si>
  <si>
    <t>FP32 推理 LM Head 按词表维度并行。</t>
  </si>
  <si>
    <t>Hyper-Connections</t>
  </si>
  <si>
    <t>HC 参数在每个 Rank 上复制；仅用于推理。</t>
  </si>
  <si>
    <t>归一化与注意力 Sink</t>
  </si>
  <si>
    <t>仅本地注意力 Sink 向量按 TP 分片。</t>
  </si>
  <si>
    <t>尾部 HC 与最终归一化</t>
  </si>
  <si>
    <t>模型尾部推理参数在每个 Rank 上复制。</t>
  </si>
  <si>
    <t>参数量与参数容量汇总</t>
  </si>
  <si>
    <t>总计</t>
  </si>
  <si>
    <t>当前场景 KV 缓存与 Compressor 状态（每 Rank，TP 间复制）</t>
  </si>
  <si>
    <t>项目</t>
  </si>
  <si>
    <t>TP1/rank</t>
  </si>
  <si>
    <t>TP8/rank</t>
  </si>
  <si>
    <t>预填充有效主 KV 缓存</t>
  </si>
  <si>
    <t>预填充阶段已生成的主注意力 KV。</t>
  </si>
  <si>
    <t>预填充有效 Indexer KV 缓存</t>
  </si>
  <si>
    <t>预填充阶段已生成的 ratio-4 Indexer KV。</t>
  </si>
  <si>
    <t>预填充 Compressor 状态</t>
  </si>
  <si>
    <t>预填充阶段的 Compressor 与 Indexer 状态。</t>
  </si>
  <si>
    <t>预填充预分配 KV + 状态</t>
  </si>
  <si>
    <t>按 MaxContext 为预填充阶段预分配。</t>
  </si>
  <si>
    <t>单 Rank 设备驻留容量（默认均匀分片）</t>
  </si>
  <si>
    <t>配置</t>
  </si>
  <si>
    <t>Rank</t>
  </si>
  <si>
    <t>注意力参数</t>
  </si>
  <si>
    <t>混合专家参数</t>
  </si>
  <si>
    <t>其他参数</t>
  </si>
  <si>
    <t>参数总计</t>
  </si>
  <si>
    <t>当前场景 KV+状态</t>
  </si>
  <si>
    <t>总驻留</t>
  </si>
  <si>
    <t>逻辑参数量</t>
  </si>
  <si>
    <t>有效</t>
  </si>
  <si>
    <t>任一 Rank</t>
  </si>
  <si>
    <t>1 个 Rank 均相同</t>
  </si>
  <si>
    <t>TP8</t>
  </si>
  <si>
    <t>8 个 Rank 均相同</t>
  </si>
  <si>
    <t>参数与缓存：1M 解码 参数与容量</t>
  </si>
  <si>
    <t>解码有效主 KV 缓存</t>
  </si>
  <si>
    <t>解码阶段的主注意力 KV。</t>
  </si>
  <si>
    <t>解码有效 Indexer KV 缓存</t>
  </si>
  <si>
    <t>解码阶段的 ratio-4 Indexer KV。</t>
  </si>
  <si>
    <t>解码 Compressor 状态</t>
  </si>
  <si>
    <t>解码阶段的 Compressor 与 Indexer 状态。</t>
  </si>
  <si>
    <t>解码预分配 KV + 状态</t>
  </si>
  <si>
    <t>按 MaxContext 为解码阶段预分配。</t>
  </si>
  <si>
    <t>TP1 / TP8 推理资源对比图</t>
  </si>
  <si>
    <t>计算量、HBM、参数、缓存与驻留容量集中在一张资源表；隐藏列保留公式原值和图表缩放源。</t>
  </si>
  <si>
    <t>资源项目</t>
  </si>
  <si>
    <t>预填充 TP1</t>
  </si>
  <si>
    <t>预填充 TP8/每 Rank</t>
  </si>
  <si>
    <t>解码 TP1</t>
  </si>
  <si>
    <t>解码 TP8/每 Rank</t>
  </si>
  <si>
    <t>注意力计算量</t>
  </si>
  <si>
    <t>单次预填充或解码步骤的每 Rank 逻辑 FLOPs。</t>
  </si>
  <si>
    <t>混合专家计算量</t>
  </si>
  <si>
    <t>其他推理计算量</t>
  </si>
  <si>
    <t>总推理计算量</t>
  </si>
  <si>
    <t>本地逻辑 HBM 读写量，不含缓存复用和算子融合。</t>
  </si>
  <si>
    <t>注意力所需 HBM 带宽</t>
  </si>
  <si>
    <t>按参数页中的目标时延换算；不是实测带宽。</t>
  </si>
  <si>
    <t>混合专家所需 HBM 带宽</t>
  </si>
  <si>
    <t>其他所需 HBM 带宽</t>
  </si>
  <si>
    <t>目标时延所需计算性能</t>
  </si>
  <si>
    <t>按目标时延折算的每 Rank 最低计算吞吐需求。</t>
  </si>
  <si>
    <t>Ring 集合通信每 Rank 发送加接收；TP1 为 0。</t>
  </si>
  <si>
    <t>目标时延所需互连带宽</t>
  </si>
  <si>
    <t>未考虑通信与计算重叠、拓扑和协议效率。</t>
  </si>
  <si>
    <t>注意力逻辑参数量</t>
  </si>
  <si>
    <t>注意力投影、Compressor、Indexer。</t>
  </si>
  <si>
    <t>混合专家逻辑参数量</t>
  </si>
  <si>
    <t>路由/共享专家与 Router。</t>
  </si>
  <si>
    <t>其他逻辑参数量</t>
  </si>
  <si>
    <t>Embedding、LM Head、HC 与 Norm。</t>
  </si>
  <si>
    <t>总逻辑参数量</t>
  </si>
  <si>
    <t>不包含 MTP。</t>
  </si>
  <si>
    <t>注意力参数容量</t>
  </si>
  <si>
    <t>按推理 dtype 与量化 Scale 计算。</t>
  </si>
  <si>
    <t>混合专家参数容量</t>
  </si>
  <si>
    <t>路由专家 FP4、共享专家 FP8、Router 复制。</t>
  </si>
  <si>
    <t>其他参数容量</t>
  </si>
  <si>
    <t>总参数容量</t>
  </si>
  <si>
    <t>每 Rank 静态参数驻留。</t>
  </si>
  <si>
    <t>有效主 KV 缓存</t>
  </si>
  <si>
    <t>KV 与 Compressor 状态在当前实现中每个 TP Rank 复制。</t>
  </si>
  <si>
    <t>有效 Indexer KV 缓存</t>
  </si>
  <si>
    <t>Compressor 状态</t>
  </si>
  <si>
    <t>预分配 KV + 状态</t>
  </si>
  <si>
    <t>总驻留容量</t>
  </si>
  <si>
    <t>参数 + 按 MaxContext 预分配的 KV/状态；不含临时工作区。</t>
  </si>
  <si>
    <t>一次推理所需芯片计算量</t>
  </si>
  <si>
    <t>单次推理调用的单 Rank 总 FLOPs；不除以目标时延。</t>
  </si>
  <si>
    <t>单次推理 GFLOPs</t>
  </si>
  <si>
    <t>预填充 TP8</t>
  </si>
  <si>
    <t>解码 TP8</t>
  </si>
  <si>
    <t>TP1 TFLOPs</t>
  </si>
  <si>
    <t>TP8 TFLOPs</t>
  </si>
  <si>
    <t>TP1 GFLOPs</t>
  </si>
  <si>
    <t>TP8 GFLOPs</t>
  </si>
  <si>
    <t>TP1 GB</t>
  </si>
  <si>
    <t>TP8 GB</t>
  </si>
  <si>
    <t>预填充</t>
  </si>
  <si>
    <t>解码</t>
  </si>
  <si>
    <t>单 Rank 推理硬件资源汇总</t>
  </si>
  <si>
    <t>TP1 与 TP8 分区独立展示；所有值均为单个 Rank，不进行跨 Rank 或跨 TP 求和。</t>
  </si>
  <si>
    <t>TP1（配置值=1）单 Rank 资源</t>
  </si>
  <si>
    <t>预填充/每 Rank</t>
  </si>
  <si>
    <t>解码/每 Rank</t>
  </si>
  <si>
    <t>单次推理调用的单 Rank 计算量。</t>
  </si>
  <si>
    <t>本地逻辑 HBM 读写量，不含缓存复用。</t>
  </si>
  <si>
    <t>按参数页中的目标时延换算。</t>
  </si>
  <si>
    <t>单次推理调用的单 Rank 总 FLOPs；不除以目标时延，延迟由芯片峰值算力另行估算。</t>
  </si>
  <si>
    <t>Ring 集合通信单 Rank 发送加接收；TP1 为 0。</t>
  </si>
  <si>
    <t>投影、Compressor、Indexer。</t>
  </si>
  <si>
    <t>Embedding、LM Head、HC、Norm。</t>
  </si>
  <si>
    <t>不含 MTP。</t>
  </si>
  <si>
    <t>按推理 dtype 与 Scale 计算。</t>
  </si>
  <si>
    <t>路由专家 FP4，共享专家 FP8。</t>
  </si>
  <si>
    <t>单 Rank 静态参数驻留。</t>
  </si>
  <si>
    <t>KV/状态在当前实现中每个 TP Rank 复制。</t>
  </si>
  <si>
    <t>参数 + 预分配 KV/状态；不含临时工作区。</t>
  </si>
  <si>
    <t>TP8（配置值=8）单 Rank 资源</t>
  </si>
  <si>
    <t>逐层注意力与路由配置</t>
  </si>
  <si>
    <t>可编辑启用状态和模式；压缩比例与路由行为会自动更新。</t>
  </si>
  <si>
    <t>启用</t>
  </si>
  <si>
    <t>模式</t>
  </si>
  <si>
    <t>注意力行为</t>
  </si>
  <si>
    <t>路由行为</t>
  </si>
  <si>
    <t>window</t>
  </si>
  <si>
    <t>short</t>
  </si>
  <si>
    <t>long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</si>
  <si>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</si>
  <si>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</si>
  <si>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</si>
  <si>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</si>
  <si>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</si>
  <si>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</si>
  <si>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计。注意力与 MoE 主要 GEMM 使用显式公式；HC 与逐元素运算为近似估计。</t>
  </si>
  <si>
    <t>预填充注意力</t>
  </si>
  <si>
    <t>使用因果候选对数量，不直接使用 S×S；原始窗口、压缩 KV 和 Indexer 扫描分别统计。</t>
  </si>
  <si>
    <t>解码注意力</t>
  </si>
  <si>
    <t>每个解码令牌在解码上下文长度下建模；ratio-4 主注意力取 Top-K，但 Indexer 需要扫描全部已完成压缩项。</t>
  </si>
  <si>
    <t>每个令牌执行 Top-K 路由专家和共享专家。HBM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</si>
  <si>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</si>
  <si>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</si>
  <si>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</si>
  <si>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估算：路由专家 FP4、多数投影 FP8、Wo_a BF16、Compressor FP32、LM Head FP32，并计入量化 Scale。</t>
  </si>
  <si>
    <t>有效容量表示已填充项；预分配容量使用 MaxContext。当前实现的 KV 和 Compressor 状态在每个 TP Rank 上完整复制。</t>
  </si>
  <si>
    <t>TP 分片</t>
  </si>
  <si>
    <t>Wq_a、Wkv、Compressor、Router、HC、共享专家复制；Q/O 部分投影、路由专家、Embedding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</si>
  <si>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</si>
  <si>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</si>
  <si>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</si>
  <si>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计算/HBM/互连下界使用参数页中的可编辑硬件峰值并假设互不重叠；真实运行时间必须通过性能分析验证。</t>
  </si>
  <si>
    <t>FLOPs 使用 M/G/T/P 十进制单位；容量与流量使用 KB/MB/GB/TB，1 GB=10^9 字节；场景页容量明细保留原始公式。</t>
  </si>
  <si>
    <t>公式维护</t>
  </si>
  <si>
    <t>蓝色单元格为输入；结果由 Excel 公式计算并在打开时完整重算。隐藏列保留原始未缩放值，便于审计。</t>
  </si>
</sst>
</file>

<file path=xl/styles.xml><?xml version="1.0" encoding="utf-8"?>
<styleSheet xmlns="http://schemas.openxmlformats.org/spreadsheetml/2006/main">
  <numFmts count="29">
    <numFmt numFmtId="164" formatCode="0.######## &quot;Rank&quot;"/>
    <numFmt numFmtId="165" formatCode="0.######## &quot;序列&quot;"/>
    <numFmt numFmtId="166" formatCode="0.######## &quot;令牌&quot;"/>
    <numFmt numFmtId="167" formatCode="0.######## &quot;元素&quot;"/>
    <numFmt numFmtId="168" formatCode="0.######## &quot;头&quot;"/>
    <numFmt numFmtId="169" formatCode="0.######## &quot;组&quot;"/>
    <numFmt numFmtId="170" formatCode="0.######## &quot;专家&quot;"/>
    <numFmt numFmtId="171" formatCode="0.######## &quot;专家/令牌&quot;"/>
    <numFmt numFmtId="172" formatCode="0.######## &quot;令牌/条目&quot;"/>
    <numFmt numFmtId="173" formatCode="0.######## &quot;条目&quot;"/>
    <numFmt numFmtId="174" formatCode="0.######## &quot;流&quot;"/>
    <numFmt numFmtId="175" formatCode="0.######## &quot;迭代&quot;"/>
    <numFmt numFmtId="176" formatCode="0.######## &quot;层&quot;"/>
    <numFmt numFmtId="177" formatCode="0.######## &quot;字节&quot;"/>
    <numFmt numFmtId="178" formatCode="0.######## &quot;TFLOP/s&quot;"/>
    <numFmt numFmtId="179" formatCode="0.######## &quot;GB/s&quot;"/>
    <numFmt numFmtId="180" formatCode="0.######## &quot;ms&quot;"/>
    <numFmt numFmtId="181" formatCode="0.######## &quot;头/Rank&quot;"/>
    <numFmt numFmtId="182" formatCode="0.######## &quot;专家/Rank&quot;"/>
    <numFmt numFmtId="183" formatCode="0.######## &quot;组/Rank&quot;"/>
    <numFmt numFmtId="184" formatCode="0.######## &quot;令牌/Rank&quot;"/>
    <numFmt numFmtId="185" formatCode="0.######## &quot;令牌行&quot;"/>
    <numFmt numFmtId="186" formatCode="0.######## &quot;对数/序列&quot;"/>
    <numFmt numFmtId="187" formatCode="0.######## &quot;概率&quot;"/>
    <numFmt numFmtId="188" formatCode="#,##0.000"/>
    <numFmt numFmtId="189" formatCode="#,##0.000 &quot;GB&quot;"/>
    <numFmt numFmtId="190" formatCode="#,##0.000 &quot;G&quot;"/>
    <numFmt numFmtId="191" formatCode="#,##0"/>
    <numFmt numFmtId="192" formatCode="0.########"/>
  </numFmts>
  <fonts count="5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9" fontId="0" fillId="3" borderId="1" xfId="0" applyNumberFormat="1" applyFill="1" applyBorder="1"/>
    <xf numFmtId="180" fontId="0" fillId="3" borderId="1" xfId="0" applyNumberFormat="1" applyFill="1" applyBorder="1"/>
    <xf numFmtId="176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185" fontId="0" fillId="4" borderId="1" xfId="0" applyNumberFormat="1" applyFill="1" applyBorder="1"/>
    <xf numFmtId="186" fontId="0" fillId="4" borderId="1" xfId="0" applyNumberFormat="1" applyFill="1" applyBorder="1"/>
    <xf numFmtId="187" fontId="0" fillId="4" borderId="1" xfId="0" applyNumberFormat="1" applyFill="1" applyBorder="1"/>
    <xf numFmtId="0" fontId="3" fillId="5" borderId="1" xfId="0" applyFont="1" applyFill="1" applyBorder="1"/>
    <xf numFmtId="188" fontId="0" fillId="0" borderId="1" xfId="0" applyNumberFormat="1" applyBorder="1" applyAlignment="1">
      <alignment horizontal="right"/>
    </xf>
    <xf numFmtId="188" fontId="0" fillId="0" borderId="1" xfId="0" applyNumberFormat="1" applyBorder="1"/>
    <xf numFmtId="188" fontId="4" fillId="6" borderId="1" xfId="0" applyNumberFormat="1" applyFont="1" applyFill="1" applyBorder="1"/>
    <xf numFmtId="189" fontId="0" fillId="0" borderId="1" xfId="0" applyNumberFormat="1" applyBorder="1"/>
    <xf numFmtId="190" fontId="0" fillId="0" borderId="1" xfId="0" applyNumberFormat="1" applyBorder="1"/>
    <xf numFmtId="191" fontId="0" fillId="0" borderId="1" xfId="0" applyNumberFormat="1" applyBorder="1"/>
    <xf numFmtId="192" fontId="0" fillId="3" borderId="1" xfId="0" applyNumberFormat="1" applyFill="1" applyBorder="1"/>
    <xf numFmtId="192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一次推理所需总计算量/单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单次推理 GFLOPs</c:v>
          </c:tx>
          <c:dLbls>
            <c:numFmt formatCode="0.0&quot; GFLOPs&quot;" sourceLinked="0"/>
            <c:showVal val="1"/>
          </c:dLbls>
          <c:cat>
            <c:strRef>
              <c:f>Comparison!$S$36:$S$39</c:f>
              <c:strCache>
                <c:ptCount val="4"/>
                <c:pt idx="0">
                  <c:v>预填充 TP1</c:v>
                </c:pt>
                <c:pt idx="1">
                  <c:v>预填充 TP8</c:v>
                </c:pt>
                <c:pt idx="2">
                  <c:v>解码 TP1</c:v>
                </c:pt>
                <c:pt idx="3">
                  <c:v>解码 TP8</c:v>
                </c:pt>
              </c:strCache>
            </c:strRef>
          </c:cat>
          <c:val>
            <c:numRef>
              <c:f>Comparison!$T$36:$T$39</c:f>
              <c:numCache>
                <c:formatCode>General</c:formatCode>
                <c:ptCount val="4"/>
                <c:pt idx="0">
                  <c:v>228384.427393024</c:v>
                </c:pt>
                <c:pt idx="1">
                  <c:v>55639.31418624</c:v>
                </c:pt>
                <c:pt idx="2">
                  <c:v>140.354134102</c:v>
                </c:pt>
                <c:pt idx="3">
                  <c:v>23.548076118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预填充每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TFLOPs</c:v>
          </c:tx>
          <c:dLbls>
            <c:numFmt formatCode="0.0&quot; TFLOPs&quot;" sourceLinked="0"/>
            <c:showVal val="1"/>
          </c:dLbls>
          <c:cat>
            <c:strRef>
              <c:f>Comparison!$S$43:$S$45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Comparison!$T$43:$T$45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 TFLOPs</c:v>
          </c:tx>
          <c:dLbls>
            <c:numFmt formatCode="0.0&quot; TFLOPs&quot;" sourceLinked="0"/>
            <c:showVal val="1"/>
          </c:dLbls>
          <c:cat>
            <c:strRef>
              <c:f>Comparison!$S$43:$S$45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Comparison!$U$43:$U$45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&quot; TFLOPs&quot;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解码每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GFLOPs</c:v>
          </c:tx>
          <c:dLbls>
            <c:numFmt formatCode="0.0&quot; GFLOPs&quot;" sourceLinked="0"/>
            <c:showVal val="1"/>
          </c:dLbls>
          <c:cat>
            <c:strRef>
              <c:f>Comparison!$S$50:$S$52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Comparison!$T$50:$T$52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 GFLOPs</c:v>
          </c:tx>
          <c:dLbls>
            <c:numFmt formatCode="0.0&quot; GFLOPs&quot;" sourceLinked="0"/>
            <c:showVal val="1"/>
          </c:dLbls>
          <c:cat>
            <c:strRef>
              <c:f>Comparison!$S$50:$S$52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Comparison!$U$50:$U$52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&quot; GFLOPs&quot;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预填充每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Comparison!$S$57:$S$59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Comparison!$T$57:$T$59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Comparison!$S$57:$S$59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Comparison!$U$57:$U$59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解码每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Comparison!$S$64:$S$66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Comparison!$T$64:$T$66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Comparison!$S$64:$S$66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Comparison!$U$64:$U$66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静态参数容量/单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Comparison!$S$71:$S$73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Comparison!$T$71:$T$73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Comparison!$S$71:$S$73</c:f>
              <c:strCache>
                <c:ptCount val="3"/>
                <c:pt idx="0">
                  <c:v>注意力</c:v>
                </c:pt>
                <c:pt idx="1">
                  <c:v>混合专家</c:v>
                </c:pt>
                <c:pt idx="2">
                  <c:v>其他</c:v>
                </c:pt>
              </c:strCache>
            </c:strRef>
          </c:cat>
          <c:val>
            <c:numRef>
              <c:f>Comparison!$U$71:$U$73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TP1 vs TP8：单 Rank 推理驻留容量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GB</c:v>
          </c:tx>
          <c:dLbls>
            <c:numFmt formatCode="0.0&quot; GB&quot;" sourceLinked="0"/>
            <c:showVal val="1"/>
          </c:dLbls>
          <c:cat>
            <c:strRef>
              <c:f>Comparison!$S$78:$S$79</c:f>
              <c:strCache>
                <c:ptCount val="2"/>
                <c:pt idx="0">
                  <c:v>预填充</c:v>
                </c:pt>
                <c:pt idx="1">
                  <c:v>解码</c:v>
                </c:pt>
              </c:strCache>
            </c:strRef>
          </c:cat>
          <c:val>
            <c:numRef>
              <c:f>Comparison!$T$78:$T$79</c:f>
              <c:numCache>
                <c:formatCode>General</c:formatCode>
                <c:ptCount val="2"/>
                <c:pt idx="0">
                  <c:v>166.349315548</c:v>
                </c:pt>
                <c:pt idx="1">
                  <c:v>166.349315548</c:v>
                </c:pt>
              </c:numCache>
            </c:numRef>
          </c:val>
        </c:ser>
        <c:ser>
          <c:idx val="1"/>
          <c:order val="1"/>
          <c:tx>
            <c:v>TP8 GB</c:v>
          </c:tx>
          <c:dLbls>
            <c:numFmt formatCode="0.0&quot; GB&quot;" sourceLinked="0"/>
            <c:showVal val="1"/>
          </c:dLbls>
          <c:cat>
            <c:strRef>
              <c:f>Comparison!$S$78:$S$79</c:f>
              <c:strCache>
                <c:ptCount val="2"/>
                <c:pt idx="0">
                  <c:v>预填充</c:v>
                </c:pt>
                <c:pt idx="1">
                  <c:v>解码</c:v>
                </c:pt>
              </c:strCache>
            </c:strRef>
          </c:cat>
          <c:val>
            <c:numRef>
              <c:f>Comparison!$U$78:$U$79</c:f>
              <c:numCache>
                <c:formatCode>General</c:formatCode>
                <c:ptCount val="2"/>
                <c:pt idx="0">
                  <c:v>29.581867388</c:v>
                </c:pt>
                <c:pt idx="1">
                  <c:v>29.581867388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&quot; GB&quot;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3</xdr:col>
      <xdr:colOff>1038225</xdr:colOff>
      <xdr:row>50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51</xdr:row>
      <xdr:rowOff>0</xdr:rowOff>
    </xdr:from>
    <xdr:to>
      <xdr:col>3</xdr:col>
      <xdr:colOff>1038225</xdr:colOff>
      <xdr:row>67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51</xdr:row>
      <xdr:rowOff>0</xdr:rowOff>
    </xdr:from>
    <xdr:to>
      <xdr:col>22</xdr:col>
      <xdr:colOff>361950</xdr:colOff>
      <xdr:row>67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68</xdr:row>
      <xdr:rowOff>0</xdr:rowOff>
    </xdr:from>
    <xdr:to>
      <xdr:col>3</xdr:col>
      <xdr:colOff>1038225</xdr:colOff>
      <xdr:row>84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68</xdr:row>
      <xdr:rowOff>0</xdr:rowOff>
    </xdr:from>
    <xdr:to>
      <xdr:col>22</xdr:col>
      <xdr:colOff>361950</xdr:colOff>
      <xdr:row>84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85</xdr:row>
      <xdr:rowOff>0</xdr:rowOff>
    </xdr:from>
    <xdr:to>
      <xdr:col>3</xdr:col>
      <xdr:colOff>1038225</xdr:colOff>
      <xdr:row>101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0</xdr:colOff>
      <xdr:row>85</xdr:row>
      <xdr:rowOff>0</xdr:rowOff>
    </xdr:from>
    <xdr:to>
      <xdr:col>22</xdr:col>
      <xdr:colOff>361950</xdr:colOff>
      <xdr:row>101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K44" totalsRowShown="0">
  <autoFilter ref="A32:K44"/>
  <tableColumns count="11">
    <tableColumn id="1" name="类别"/>
    <tableColumn id="2" name="算子/项目"/>
    <tableColumn id="3" name="层范围"/>
    <tableColumn id="4" name="TP1 FLOPs"/>
    <tableColumn id="5" name="TP8 FLOPs/rank"/>
    <tableColumn id="6" name="TP1 HBM/rank"/>
    <tableColumn id="7" name="TP8 HBM/rank"/>
    <tableColumn id="8" name="TP1 卡间互连"/>
    <tableColumn id="9" name="TP8 卡间互连/rank"/>
    <tableColumn id="10" name="统计类型"/>
    <tableColumn id="11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F_Embedded_Parameter_Detail" displayName="PF_Embedded_Parameter_Detail" ref="A48:H59" totalsRowShown="0">
  <autoFilter ref="A48:H59"/>
  <tableColumns count="8">
    <tableColumn id="1" name="大类"/>
    <tableColumn id="2" name="参数组件"/>
    <tableColumn id="3" name="全局参数量"/>
    <tableColumn id="4" name="TP1 参数量/rank"/>
    <tableColumn id="5" name="TP8 参数量/rank"/>
    <tableColumn id="6" name="TP1 容量/rank"/>
    <tableColumn id="7" name="TP8 容量/rank"/>
    <tableColumn id="8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F_Embedded_Parameter_Summary" displayName="PF_Embedded_Parameter_Summary" ref="A62:E66" totalsRowShown="0">
  <autoFilter ref="A62:E66"/>
  <tableColumns count="5">
    <tableColumn id="1" name="大类"/>
    <tableColumn id="2" name="TP1 参数量/rank"/>
    <tableColumn id="3" name="TP8 参数量/rank"/>
    <tableColumn id="4" name="TP1 容量/rank"/>
    <tableColumn id="5" name="TP8 容量/rank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PF_Embedded_Cache" displayName="PF_Embedded_Cache" ref="A69:D73" totalsRowShown="0">
  <autoFilter ref="A69:D73"/>
  <tableColumns count="4">
    <tableColumn id="1" name="项目"/>
    <tableColumn id="2" name="TP1/rank"/>
    <tableColumn id="3" name="TP8/rank"/>
    <tableColumn id="4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F_Embedded_Rank_Memory" displayName="PF_Embedded_Rank_Memory" ref="A77:J79" totalsRowShown="0">
  <autoFilter ref="A77:J79"/>
  <tableColumns count="10">
    <tableColumn id="1" name="配置"/>
    <tableColumn id="2" name="Rank"/>
    <tableColumn id="3" name="注意力参数"/>
    <tableColumn id="4" name="混合专家参数"/>
    <tableColumn id="5" name="其他参数"/>
    <tableColumn id="6" name="参数总计"/>
    <tableColumn id="7" name="当前场景 KV+状态"/>
    <tableColumn id="8" name="总驻留"/>
    <tableColumn id="9" name="逻辑参数量"/>
    <tableColumn id="10" name="有效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DC_Inference_Detail" displayName="DC_Inference_Detail" ref="A32:K44" totalsRowShown="0">
  <autoFilter ref="A32:K44"/>
  <tableColumns count="11">
    <tableColumn id="1" name="类别"/>
    <tableColumn id="2" name="算子/项目"/>
    <tableColumn id="3" name="层范围"/>
    <tableColumn id="4" name="TP1 FLOPs"/>
    <tableColumn id="5" name="TP8 FLOPs/rank"/>
    <tableColumn id="6" name="TP1 HBM/rank"/>
    <tableColumn id="7" name="TP8 HBM/rank"/>
    <tableColumn id="8" name="TP1 卡间互连"/>
    <tableColumn id="9" name="TP8 卡间互连/rank"/>
    <tableColumn id="10" name="统计类型"/>
    <tableColumn id="11" name="说明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C_Embedded_Parameter_Detail" displayName="DC_Embedded_Parameter_Detail" ref="A48:H59" totalsRowShown="0">
  <autoFilter ref="A48:H59"/>
  <tableColumns count="8">
    <tableColumn id="1" name="大类"/>
    <tableColumn id="2" name="参数组件"/>
    <tableColumn id="3" name="全局参数量"/>
    <tableColumn id="4" name="TP1 参数量/rank"/>
    <tableColumn id="5" name="TP8 参数量/rank"/>
    <tableColumn id="6" name="TP1 容量/rank"/>
    <tableColumn id="7" name="TP8 容量/rank"/>
    <tableColumn id="8" name="说明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C_Embedded_Parameter_Summary" displayName="DC_Embedded_Parameter_Summary" ref="A62:E66" totalsRowShown="0">
  <autoFilter ref="A62:E66"/>
  <tableColumns count="5">
    <tableColumn id="1" name="大类"/>
    <tableColumn id="2" name="TP1 参数量/rank"/>
    <tableColumn id="3" name="TP8 参数量/rank"/>
    <tableColumn id="4" name="TP1 容量/rank"/>
    <tableColumn id="5" name="TP8 容量/rank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id="9" name="DC_Embedded_Cache" displayName="DC_Embedded_Cache" ref="A69:D73" totalsRowShown="0">
  <autoFilter ref="A69:D73"/>
  <tableColumns count="4">
    <tableColumn id="1" name="项目"/>
    <tableColumn id="2" name="TP1/rank"/>
    <tableColumn id="3" name="TP8/rank"/>
    <tableColumn id="4" name="说明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C_Embedded_Rank_Memory" displayName="DC_Embedded_Rank_Memory" ref="A77:J79" totalsRowShown="0">
  <autoFilter ref="A77:J79"/>
  <tableColumns count="10">
    <tableColumn id="1" name="配置"/>
    <tableColumn id="2" name="Rank"/>
    <tableColumn id="3" name="注意力参数"/>
    <tableColumn id="4" name="混合专家参数"/>
    <tableColumn id="5" name="其他参数"/>
    <tableColumn id="6" name="参数总计"/>
    <tableColumn id="7" name="当前场景 KV+状态"/>
    <tableColumn id="8" name="总驻留"/>
    <tableColumn id="9" name="逻辑参数量"/>
    <tableColumn id="10" name="有效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DType_Module" displayName="DType_Module" ref="A5:E20" totalsRowShown="0">
  <autoFilter ref="A5:E20"/>
  <tableColumns count="5">
    <tableColumn id="1" name="适用范围"/>
    <tableColumn id="2" name="模块/张量"/>
    <tableColumn id="3" name="落盘/参数存储"/>
    <tableColumn id="4" name="激活/中间计算"/>
    <tableColumn id="5" name="说明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Type_Layer" displayName="DType_Layer" ref="A23:I66" totalsRowShown="0">
  <autoFilter ref="A23:I66"/>
  <tableColumns count="9">
    <tableColumn id="1" name="层 ID"/>
    <tableColumn id="2" name="注意力模式"/>
    <tableColumn id="3" name="压缩比例"/>
    <tableColumn id="4" name="路由模式"/>
    <tableColumn id="5" name="隐藏状态 / 残差"/>
    <tableColumn id="6" name="注意力主投影"/>
    <tableColumn id="7" name="路由专家"/>
    <tableColumn id="8" name="共享专家"/>
    <tableColumn id="9" name="归一化 / HC / Router 计算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id="13" name="Comparison_Resource_Overview" displayName="Comparison_Resource_Overview" ref="A4:F32" totalsRowShown="0">
  <autoFilter ref="A4:F32"/>
  <tableColumns count="6">
    <tableColumn id="1" name="资源项目"/>
    <tableColumn id="2" name="预填充 TP1"/>
    <tableColumn id="3" name="预填充 TP8/每 Rank"/>
    <tableColumn id="4" name="解码 TP1"/>
    <tableColumn id="5" name="解码 TP8/每 Rank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Relationship Id="rId2" Type="http://schemas.openxmlformats.org/officeDocument/2006/relationships/table" Target="../tables/table7.xml"/><Relationship Id="rId3" Type="http://schemas.openxmlformats.org/officeDocument/2006/relationships/table" Target="../tables/table8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6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</cols>
  <sheetData>
    <row r="1" spans="1:5">
      <c r="A1" s="1" t="s">
        <v>0</v>
      </c>
    </row>
    <row r="2" spans="1:5">
      <c r="A2" s="2" t="s">
        <v>1</v>
      </c>
    </row>
    <row r="3" spans="1: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</row>
    <row r="4" spans="1:5">
      <c r="A4" s="4" t="s">
        <v>7</v>
      </c>
      <c r="B4" s="4" t="s">
        <v>8</v>
      </c>
      <c r="C4" s="4" t="s">
        <v>9</v>
      </c>
      <c r="D4" s="5">
        <v>1</v>
      </c>
      <c r="E4" s="4" t="s">
        <v>10</v>
      </c>
    </row>
    <row r="5" spans="1:5">
      <c r="A5" s="4" t="s">
        <v>7</v>
      </c>
      <c r="B5" s="4" t="s">
        <v>11</v>
      </c>
      <c r="C5" s="4" t="s">
        <v>12</v>
      </c>
      <c r="D5" s="5">
        <v>8</v>
      </c>
      <c r="E5" s="4" t="s">
        <v>13</v>
      </c>
    </row>
    <row r="6" spans="1:5">
      <c r="A6" s="4" t="s">
        <v>14</v>
      </c>
      <c r="B6" s="4" t="s">
        <v>15</v>
      </c>
      <c r="C6" s="4" t="s">
        <v>16</v>
      </c>
      <c r="D6" s="6">
        <v>1</v>
      </c>
      <c r="E6" s="4" t="s">
        <v>17</v>
      </c>
    </row>
    <row r="7" spans="1:5">
      <c r="A7" s="4" t="s">
        <v>14</v>
      </c>
      <c r="B7" s="4" t="s">
        <v>18</v>
      </c>
      <c r="C7" s="4" t="s">
        <v>19</v>
      </c>
      <c r="D7" s="7">
        <v>8192</v>
      </c>
      <c r="E7" s="4" t="s">
        <v>20</v>
      </c>
    </row>
    <row r="8" spans="1:5">
      <c r="A8" s="4" t="s">
        <v>14</v>
      </c>
      <c r="B8" s="4" t="s">
        <v>21</v>
      </c>
      <c r="C8" s="4" t="s">
        <v>22</v>
      </c>
      <c r="D8" s="6">
        <v>1</v>
      </c>
      <c r="E8" s="4" t="s">
        <v>23</v>
      </c>
    </row>
    <row r="9" spans="1:5">
      <c r="A9" s="4" t="s">
        <v>14</v>
      </c>
      <c r="B9" s="4" t="s">
        <v>24</v>
      </c>
      <c r="C9" s="4" t="s">
        <v>25</v>
      </c>
      <c r="D9" s="7">
        <v>1</v>
      </c>
      <c r="E9" s="4" t="s">
        <v>26</v>
      </c>
    </row>
    <row r="10" spans="1:5">
      <c r="A10" s="4" t="s">
        <v>14</v>
      </c>
      <c r="B10" s="4" t="s">
        <v>27</v>
      </c>
      <c r="C10" s="4" t="s">
        <v>28</v>
      </c>
      <c r="D10" s="7">
        <v>1048576</v>
      </c>
      <c r="E10" s="4" t="s">
        <v>29</v>
      </c>
    </row>
    <row r="11" spans="1:5">
      <c r="A11" s="4" t="s">
        <v>14</v>
      </c>
      <c r="B11" s="4" t="s">
        <v>30</v>
      </c>
      <c r="C11" s="4" t="s">
        <v>31</v>
      </c>
      <c r="D11" s="7">
        <v>1048576</v>
      </c>
      <c r="E11" s="4" t="s">
        <v>32</v>
      </c>
    </row>
    <row r="12" spans="1:5">
      <c r="A12" s="4" t="s">
        <v>33</v>
      </c>
      <c r="B12" s="4" t="s">
        <v>34</v>
      </c>
      <c r="C12" s="4" t="s">
        <v>35</v>
      </c>
      <c r="D12" s="8">
        <v>4096</v>
      </c>
      <c r="E12" s="4" t="s">
        <v>36</v>
      </c>
    </row>
    <row r="13" spans="1:5">
      <c r="A13" s="4" t="s">
        <v>33</v>
      </c>
      <c r="B13" s="4" t="s">
        <v>37</v>
      </c>
      <c r="C13" s="4" t="s">
        <v>38</v>
      </c>
      <c r="D13" s="7">
        <v>129280</v>
      </c>
      <c r="E13" s="4" t="s">
        <v>39</v>
      </c>
    </row>
    <row r="14" spans="1:5">
      <c r="A14" s="4" t="s">
        <v>40</v>
      </c>
      <c r="B14" s="4" t="s">
        <v>41</v>
      </c>
      <c r="C14" s="4" t="s">
        <v>42</v>
      </c>
      <c r="D14" s="9">
        <v>64</v>
      </c>
      <c r="E14" s="4" t="s">
        <v>43</v>
      </c>
    </row>
    <row r="15" spans="1:5">
      <c r="A15" s="4" t="s">
        <v>40</v>
      </c>
      <c r="B15" s="4" t="s">
        <v>44</v>
      </c>
      <c r="C15" s="4" t="s">
        <v>45</v>
      </c>
      <c r="D15" s="8">
        <v>512</v>
      </c>
      <c r="E15" s="4" t="s">
        <v>46</v>
      </c>
    </row>
    <row r="16" spans="1:5">
      <c r="A16" s="4" t="s">
        <v>40</v>
      </c>
      <c r="B16" s="4" t="s">
        <v>47</v>
      </c>
      <c r="C16" s="4" t="s">
        <v>48</v>
      </c>
      <c r="D16" s="8">
        <v>64</v>
      </c>
      <c r="E16" s="4" t="s">
        <v>49</v>
      </c>
    </row>
    <row r="17" spans="1:5">
      <c r="A17" s="4" t="s">
        <v>40</v>
      </c>
      <c r="B17" s="4" t="s">
        <v>50</v>
      </c>
      <c r="C17" s="4" t="s">
        <v>51</v>
      </c>
      <c r="D17" s="8">
        <v>1024</v>
      </c>
      <c r="E17" s="4" t="s">
        <v>52</v>
      </c>
    </row>
    <row r="18" spans="1:5">
      <c r="A18" s="4" t="s">
        <v>40</v>
      </c>
      <c r="B18" s="4" t="s">
        <v>53</v>
      </c>
      <c r="C18" s="4" t="s">
        <v>54</v>
      </c>
      <c r="D18" s="10">
        <v>8</v>
      </c>
      <c r="E18" s="4" t="s">
        <v>55</v>
      </c>
    </row>
    <row r="19" spans="1:5">
      <c r="A19" s="4" t="s">
        <v>40</v>
      </c>
      <c r="B19" s="4" t="s">
        <v>56</v>
      </c>
      <c r="C19" s="4" t="s">
        <v>57</v>
      </c>
      <c r="D19" s="8">
        <v>1024</v>
      </c>
      <c r="E19" s="4" t="s">
        <v>58</v>
      </c>
    </row>
    <row r="20" spans="1:5">
      <c r="A20" s="4" t="s">
        <v>59</v>
      </c>
      <c r="B20" s="4" t="s">
        <v>60</v>
      </c>
      <c r="C20" s="4" t="s">
        <v>61</v>
      </c>
      <c r="D20" s="11">
        <v>256</v>
      </c>
      <c r="E20" s="4" t="s">
        <v>62</v>
      </c>
    </row>
    <row r="21" spans="1:5">
      <c r="A21" s="4" t="s">
        <v>59</v>
      </c>
      <c r="B21" s="4" t="s">
        <v>63</v>
      </c>
      <c r="C21" s="4" t="s">
        <v>64</v>
      </c>
      <c r="D21" s="12">
        <v>6</v>
      </c>
      <c r="E21" s="4" t="s">
        <v>65</v>
      </c>
    </row>
    <row r="22" spans="1:5">
      <c r="A22" s="4" t="s">
        <v>59</v>
      </c>
      <c r="B22" s="4" t="s">
        <v>66</v>
      </c>
      <c r="C22" s="4" t="s">
        <v>67</v>
      </c>
      <c r="D22" s="11">
        <v>1</v>
      </c>
      <c r="E22" s="4" t="s">
        <v>68</v>
      </c>
    </row>
    <row r="23" spans="1:5">
      <c r="A23" s="4" t="s">
        <v>59</v>
      </c>
      <c r="B23" s="4" t="s">
        <v>69</v>
      </c>
      <c r="C23" s="4" t="s">
        <v>70</v>
      </c>
      <c r="D23" s="8">
        <v>2048</v>
      </c>
      <c r="E23" s="4" t="s">
        <v>71</v>
      </c>
    </row>
    <row r="24" spans="1:5">
      <c r="A24" s="4" t="s">
        <v>72</v>
      </c>
      <c r="B24" s="4" t="s">
        <v>73</v>
      </c>
      <c r="C24" s="4" t="s">
        <v>74</v>
      </c>
      <c r="D24" s="7">
        <v>128</v>
      </c>
      <c r="E24" s="4" t="s">
        <v>75</v>
      </c>
    </row>
    <row r="25" spans="1:5">
      <c r="A25" s="4" t="s">
        <v>72</v>
      </c>
      <c r="B25" s="4" t="s">
        <v>76</v>
      </c>
      <c r="C25" s="4" t="s">
        <v>77</v>
      </c>
      <c r="D25" s="13">
        <v>4</v>
      </c>
      <c r="E25" s="4" t="s">
        <v>78</v>
      </c>
    </row>
    <row r="26" spans="1:5">
      <c r="A26" s="4" t="s">
        <v>72</v>
      </c>
      <c r="B26" s="4" t="s">
        <v>79</v>
      </c>
      <c r="C26" s="4" t="s">
        <v>80</v>
      </c>
      <c r="D26" s="13">
        <v>128</v>
      </c>
      <c r="E26" s="4" t="s">
        <v>81</v>
      </c>
    </row>
    <row r="27" spans="1:5">
      <c r="A27" s="4" t="s">
        <v>82</v>
      </c>
      <c r="B27" s="4" t="s">
        <v>83</v>
      </c>
      <c r="C27" s="4" t="s">
        <v>84</v>
      </c>
      <c r="D27" s="9">
        <v>64</v>
      </c>
      <c r="E27" s="4" t="s">
        <v>85</v>
      </c>
    </row>
    <row r="28" spans="1:5">
      <c r="A28" s="4" t="s">
        <v>82</v>
      </c>
      <c r="B28" s="4" t="s">
        <v>86</v>
      </c>
      <c r="C28" s="4" t="s">
        <v>87</v>
      </c>
      <c r="D28" s="8">
        <v>128</v>
      </c>
      <c r="E28" s="4" t="s">
        <v>88</v>
      </c>
    </row>
    <row r="29" spans="1:5">
      <c r="A29" s="4" t="s">
        <v>82</v>
      </c>
      <c r="B29" s="4" t="s">
        <v>89</v>
      </c>
      <c r="C29" s="4" t="s">
        <v>90</v>
      </c>
      <c r="D29" s="14">
        <v>512</v>
      </c>
      <c r="E29" s="4" t="s">
        <v>91</v>
      </c>
    </row>
    <row r="30" spans="1:5">
      <c r="A30" s="4" t="s">
        <v>92</v>
      </c>
      <c r="B30" s="4" t="s">
        <v>93</v>
      </c>
      <c r="C30" s="4" t="s">
        <v>94</v>
      </c>
      <c r="D30" s="15">
        <v>4</v>
      </c>
      <c r="E30" s="4" t="s">
        <v>95</v>
      </c>
    </row>
    <row r="31" spans="1:5">
      <c r="A31" s="4" t="s">
        <v>92</v>
      </c>
      <c r="B31" s="4" t="s">
        <v>96</v>
      </c>
      <c r="C31" s="4" t="s">
        <v>97</v>
      </c>
      <c r="D31" s="16">
        <v>20</v>
      </c>
      <c r="E31" s="4" t="s">
        <v>98</v>
      </c>
    </row>
    <row r="32" spans="1:5">
      <c r="A32" s="4" t="s">
        <v>99</v>
      </c>
      <c r="B32" s="4" t="s">
        <v>100</v>
      </c>
      <c r="C32" s="4" t="s">
        <v>101</v>
      </c>
      <c r="D32" s="17">
        <v>3</v>
      </c>
      <c r="E32" s="4" t="s">
        <v>102</v>
      </c>
    </row>
    <row r="33" spans="1:5">
      <c r="A33" s="4" t="s">
        <v>103</v>
      </c>
      <c r="B33" s="4" t="s">
        <v>104</v>
      </c>
      <c r="C33" s="4" t="s">
        <v>105</v>
      </c>
      <c r="D33" s="18">
        <v>2</v>
      </c>
      <c r="E33" s="4" t="s">
        <v>106</v>
      </c>
    </row>
    <row r="34" spans="1:5">
      <c r="A34" s="4" t="s">
        <v>103</v>
      </c>
      <c r="B34" s="4" t="s">
        <v>107</v>
      </c>
      <c r="C34" s="4" t="s">
        <v>108</v>
      </c>
      <c r="D34" s="18">
        <v>4</v>
      </c>
      <c r="E34" s="4" t="s">
        <v>109</v>
      </c>
    </row>
    <row r="35" spans="1:5">
      <c r="A35" s="4" t="s">
        <v>103</v>
      </c>
      <c r="B35" s="4" t="s">
        <v>110</v>
      </c>
      <c r="C35" s="4" t="s">
        <v>111</v>
      </c>
      <c r="D35" s="18">
        <v>1</v>
      </c>
      <c r="E35" s="4" t="s">
        <v>112</v>
      </c>
    </row>
    <row r="36" spans="1:5">
      <c r="A36" s="4" t="s">
        <v>103</v>
      </c>
      <c r="B36" s="4" t="s">
        <v>113</v>
      </c>
      <c r="C36" s="4" t="s">
        <v>114</v>
      </c>
      <c r="D36" s="18">
        <v>0.5</v>
      </c>
      <c r="E36" s="4" t="s">
        <v>115</v>
      </c>
    </row>
    <row r="37" spans="1:5">
      <c r="A37" s="4" t="s">
        <v>103</v>
      </c>
      <c r="B37" s="4" t="s">
        <v>116</v>
      </c>
      <c r="C37" s="4" t="s">
        <v>117</v>
      </c>
      <c r="D37" s="18">
        <v>1</v>
      </c>
      <c r="E37" s="4" t="s">
        <v>118</v>
      </c>
    </row>
    <row r="38" spans="1:5">
      <c r="A38" s="4" t="s">
        <v>103</v>
      </c>
      <c r="B38" s="4" t="s">
        <v>119</v>
      </c>
      <c r="C38" s="4" t="s">
        <v>120</v>
      </c>
      <c r="D38" s="18">
        <v>4</v>
      </c>
      <c r="E38" s="4" t="s">
        <v>121</v>
      </c>
    </row>
    <row r="39" spans="1:5">
      <c r="A39" s="4" t="s">
        <v>103</v>
      </c>
      <c r="B39" s="4" t="s">
        <v>122</v>
      </c>
      <c r="C39" s="4" t="s">
        <v>123</v>
      </c>
      <c r="D39" s="18">
        <v>8</v>
      </c>
      <c r="E39" s="4" t="s">
        <v>124</v>
      </c>
    </row>
    <row r="40" spans="1:5">
      <c r="A40" s="4" t="s">
        <v>125</v>
      </c>
      <c r="B40" s="4" t="s">
        <v>126</v>
      </c>
      <c r="C40" s="4" t="s">
        <v>127</v>
      </c>
      <c r="D40" s="8">
        <v>128</v>
      </c>
      <c r="E40" s="4" t="s">
        <v>128</v>
      </c>
    </row>
    <row r="41" spans="1:5">
      <c r="A41" s="4" t="s">
        <v>125</v>
      </c>
      <c r="B41" s="4" t="s">
        <v>129</v>
      </c>
      <c r="C41" s="4" t="s">
        <v>130</v>
      </c>
      <c r="D41" s="8">
        <v>32</v>
      </c>
      <c r="E41" s="4" t="s">
        <v>131</v>
      </c>
    </row>
    <row r="42" spans="1:5">
      <c r="A42" s="4" t="s">
        <v>132</v>
      </c>
      <c r="B42" s="4" t="s">
        <v>133</v>
      </c>
      <c r="C42" s="4" t="s">
        <v>134</v>
      </c>
      <c r="D42" s="9">
        <v>16</v>
      </c>
      <c r="E42" s="4" t="s">
        <v>135</v>
      </c>
    </row>
    <row r="43" spans="1:5">
      <c r="A43" s="4" t="s">
        <v>136</v>
      </c>
      <c r="B43" s="4" t="s">
        <v>137</v>
      </c>
      <c r="C43" s="4" t="s">
        <v>138</v>
      </c>
      <c r="D43" s="19">
        <v>1000</v>
      </c>
      <c r="E43" s="4" t="s">
        <v>139</v>
      </c>
    </row>
    <row r="44" spans="1:5">
      <c r="A44" s="4" t="s">
        <v>136</v>
      </c>
      <c r="B44" s="4" t="s">
        <v>140</v>
      </c>
      <c r="C44" s="4" t="s">
        <v>141</v>
      </c>
      <c r="D44" s="20">
        <v>3000</v>
      </c>
      <c r="E44" s="4" t="s">
        <v>142</v>
      </c>
    </row>
    <row r="45" spans="1:5">
      <c r="A45" s="4" t="s">
        <v>136</v>
      </c>
      <c r="B45" s="4" t="s">
        <v>143</v>
      </c>
      <c r="C45" s="4" t="s">
        <v>144</v>
      </c>
      <c r="D45" s="20">
        <v>900</v>
      </c>
      <c r="E45" s="4" t="s">
        <v>145</v>
      </c>
    </row>
    <row r="46" spans="1:5">
      <c r="A46" s="4" t="s">
        <v>136</v>
      </c>
      <c r="B46" s="4" t="s">
        <v>146</v>
      </c>
      <c r="C46" s="4" t="s">
        <v>147</v>
      </c>
      <c r="D46" s="21">
        <v>1000</v>
      </c>
      <c r="E46" s="4" t="s">
        <v>148</v>
      </c>
    </row>
    <row r="47" spans="1:5">
      <c r="A47" s="4" t="s">
        <v>136</v>
      </c>
      <c r="B47" s="4" t="s">
        <v>149</v>
      </c>
      <c r="C47" s="4" t="s">
        <v>150</v>
      </c>
      <c r="D47" s="21">
        <v>10</v>
      </c>
      <c r="E47" s="4" t="s">
        <v>148</v>
      </c>
    </row>
    <row r="48" spans="1:5">
      <c r="A48" s="4" t="s">
        <v>151</v>
      </c>
      <c r="B48" s="4" t="s">
        <v>152</v>
      </c>
      <c r="C48" s="4" t="s">
        <v>153</v>
      </c>
      <c r="D48" s="22">
        <f>SUM(Layer_Config!$B$4:$B$67)</f>
        <v>43</v>
      </c>
      <c r="E48" s="4" t="s">
        <v>154</v>
      </c>
    </row>
    <row r="49" spans="1:5">
      <c r="A49" s="4" t="s">
        <v>151</v>
      </c>
      <c r="B49" s="4" t="s">
        <v>155</v>
      </c>
      <c r="C49" s="4" t="s">
        <v>156</v>
      </c>
      <c r="D49" s="22">
        <f>COUNTIFS(Layer_Config!$B$4:$B$67,1,Layer_Config!$C$4:$C$67,"window")</f>
        <v>2</v>
      </c>
      <c r="E49" s="4" t="s">
        <v>157</v>
      </c>
    </row>
    <row r="50" spans="1:5">
      <c r="A50" s="4" t="s">
        <v>151</v>
      </c>
      <c r="B50" s="4" t="s">
        <v>158</v>
      </c>
      <c r="C50" s="4" t="s">
        <v>159</v>
      </c>
      <c r="D50" s="22">
        <f>COUNTIFS(Layer_Config!$B$4:$B$67,1,Layer_Config!$C$4:$C$67,"short")</f>
        <v>21</v>
      </c>
      <c r="E50" s="4" t="s">
        <v>160</v>
      </c>
    </row>
    <row r="51" spans="1:5">
      <c r="A51" s="4" t="s">
        <v>151</v>
      </c>
      <c r="B51" s="4" t="s">
        <v>161</v>
      </c>
      <c r="C51" s="4" t="s">
        <v>162</v>
      </c>
      <c r="D51" s="22">
        <f>COUNTIFS(Layer_Config!$B$4:$B$67,1,Layer_Config!$C$4:$C$67,"long")</f>
        <v>20</v>
      </c>
      <c r="E51" s="4" t="s">
        <v>163</v>
      </c>
    </row>
    <row r="52" spans="1:5">
      <c r="A52" s="4" t="s">
        <v>151</v>
      </c>
      <c r="B52" s="4" t="s">
        <v>164</v>
      </c>
      <c r="C52" s="4" t="s">
        <v>165</v>
      </c>
      <c r="D52" s="22">
        <f>COUNTIFS(Layer_Config!$B$4:$B$67,1,Layer_Config!$A$4:$A$67,"&lt;"&amp;HashLayers)</f>
        <v>3</v>
      </c>
      <c r="E52" s="4" t="s">
        <v>166</v>
      </c>
    </row>
    <row r="53" spans="1:5">
      <c r="A53" s="4" t="s">
        <v>151</v>
      </c>
      <c r="B53" s="4" t="s">
        <v>167</v>
      </c>
      <c r="C53" s="4" t="s">
        <v>168</v>
      </c>
      <c r="D53" s="23">
        <f>NumHeads/TP1Size</f>
        <v>64.0</v>
      </c>
      <c r="E53" s="4" t="s">
        <v>169</v>
      </c>
    </row>
    <row r="54" spans="1:5">
      <c r="A54" s="4" t="s">
        <v>151</v>
      </c>
      <c r="B54" s="4" t="s">
        <v>170</v>
      </c>
      <c r="C54" s="4" t="s">
        <v>171</v>
      </c>
      <c r="D54" s="23">
        <f>MAX(TP1LocalHeads,KernelMinHeads)</f>
        <v>64.0</v>
      </c>
      <c r="E54" s="4" t="s">
        <v>172</v>
      </c>
    </row>
    <row r="55" spans="1:5">
      <c r="A55" s="4" t="s">
        <v>151</v>
      </c>
      <c r="B55" s="4" t="s">
        <v>173</v>
      </c>
      <c r="C55" s="4" t="s">
        <v>174</v>
      </c>
      <c r="D55" s="23">
        <f>IndexHeads/TP1Size</f>
        <v>64.0</v>
      </c>
      <c r="E55" s="4" t="s">
        <v>175</v>
      </c>
    </row>
    <row r="56" spans="1:5">
      <c r="A56" s="4" t="s">
        <v>151</v>
      </c>
      <c r="B56" s="4" t="s">
        <v>176</v>
      </c>
      <c r="C56" s="4" t="s">
        <v>177</v>
      </c>
      <c r="D56" s="24">
        <f>RoutedExperts/TP1Size</f>
        <v>256.0</v>
      </c>
      <c r="E56" s="4" t="s">
        <v>178</v>
      </c>
    </row>
    <row r="57" spans="1:5">
      <c r="A57" s="4" t="s">
        <v>151</v>
      </c>
      <c r="B57" s="4" t="s">
        <v>179</v>
      </c>
      <c r="C57" s="4" t="s">
        <v>180</v>
      </c>
      <c r="D57" s="25">
        <f>OGroups/TP1Size</f>
        <v>8.0</v>
      </c>
      <c r="E57" s="4" t="s">
        <v>181</v>
      </c>
    </row>
    <row r="58" spans="1:5">
      <c r="A58" s="4" t="s">
        <v>151</v>
      </c>
      <c r="B58" s="4" t="s">
        <v>182</v>
      </c>
      <c r="C58" s="4" t="s">
        <v>183</v>
      </c>
      <c r="D58" s="26">
        <f>VocabSize/TP1Size</f>
        <v>129280.0</v>
      </c>
      <c r="E58" s="4" t="s">
        <v>184</v>
      </c>
    </row>
    <row r="59" spans="1:5">
      <c r="A59" s="4" t="s">
        <v>151</v>
      </c>
      <c r="B59" s="4" t="s">
        <v>185</v>
      </c>
      <c r="C59" s="4" t="s">
        <v>186</v>
      </c>
      <c r="D59" s="23">
        <f>NumHeads/TP8Size</f>
        <v>8.0</v>
      </c>
      <c r="E59" s="4" t="s">
        <v>187</v>
      </c>
    </row>
    <row r="60" spans="1:5">
      <c r="A60" s="4" t="s">
        <v>151</v>
      </c>
      <c r="B60" s="4" t="s">
        <v>188</v>
      </c>
      <c r="C60" s="4" t="s">
        <v>189</v>
      </c>
      <c r="D60" s="23">
        <f>MAX(TP8LocalHeads,KernelMinHeads)</f>
        <v>16</v>
      </c>
      <c r="E60" s="4" t="s">
        <v>172</v>
      </c>
    </row>
    <row r="61" spans="1:5">
      <c r="A61" s="4" t="s">
        <v>151</v>
      </c>
      <c r="B61" s="4" t="s">
        <v>190</v>
      </c>
      <c r="C61" s="4" t="s">
        <v>191</v>
      </c>
      <c r="D61" s="23">
        <f>IndexHeads/TP8Size</f>
        <v>8.0</v>
      </c>
      <c r="E61" s="4" t="s">
        <v>192</v>
      </c>
    </row>
    <row r="62" spans="1:5">
      <c r="A62" s="4" t="s">
        <v>151</v>
      </c>
      <c r="B62" s="4" t="s">
        <v>193</v>
      </c>
      <c r="C62" s="4" t="s">
        <v>194</v>
      </c>
      <c r="D62" s="24">
        <f>RoutedExperts/TP8Size</f>
        <v>32.0</v>
      </c>
      <c r="E62" s="4" t="s">
        <v>195</v>
      </c>
    </row>
    <row r="63" spans="1:5">
      <c r="A63" s="4" t="s">
        <v>151</v>
      </c>
      <c r="B63" s="4" t="s">
        <v>196</v>
      </c>
      <c r="C63" s="4" t="s">
        <v>197</v>
      </c>
      <c r="D63" s="25">
        <f>OGroups/TP8Size</f>
        <v>1.0</v>
      </c>
      <c r="E63" s="4" t="s">
        <v>198</v>
      </c>
    </row>
    <row r="64" spans="1:5">
      <c r="A64" s="4" t="s">
        <v>151</v>
      </c>
      <c r="B64" s="4" t="s">
        <v>199</v>
      </c>
      <c r="C64" s="4" t="s">
        <v>200</v>
      </c>
      <c r="D64" s="26">
        <f>VocabSize/TP8Size</f>
        <v>16160.0</v>
      </c>
      <c r="E64" s="4" t="s">
        <v>201</v>
      </c>
    </row>
  </sheetData>
  <autoFilter ref="A3:E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18.7109375" customWidth="1"/>
    <col min="4" max="4" width="44.7109375" customWidth="1"/>
    <col min="5" max="7" width="18.7109375" customWidth="1"/>
    <col min="8" max="8" width="58.7109375" customWidth="1"/>
    <col min="9" max="10" width="18.7109375" customWidth="1"/>
    <col min="11" max="11" width="60.7109375" customWidth="1"/>
    <col min="12" max="43" width="0" hidden="1" customWidth="1"/>
  </cols>
  <sheetData>
    <row r="1" spans="1:32">
      <c r="A1" s="1" t="s">
        <v>202</v>
      </c>
    </row>
    <row r="2" spans="1:32">
      <c r="A2" s="2" t="s">
        <v>203</v>
      </c>
    </row>
    <row r="3" spans="1:32">
      <c r="A3" s="3" t="s">
        <v>204</v>
      </c>
      <c r="B3" s="3" t="s">
        <v>5</v>
      </c>
      <c r="C3" s="3" t="s">
        <v>205</v>
      </c>
      <c r="D3" s="3" t="s">
        <v>6</v>
      </c>
    </row>
    <row r="4" spans="1:32" ht="54" customHeight="1">
      <c r="A4" s="4" t="s">
        <v>206</v>
      </c>
      <c r="B4" s="27">
        <f>PrefillBatch*PrefillSequence</f>
        <v>8192</v>
      </c>
      <c r="C4" s="4" t="s">
        <v>207</v>
      </c>
      <c r="D4" s="4" t="s">
        <v>208</v>
      </c>
    </row>
    <row r="5" spans="1:32" ht="54" customHeight="1">
      <c r="A5" s="4" t="s">
        <v>209</v>
      </c>
      <c r="B5" s="28">
        <f>IF(PrefillSequence&lt;=WindowSize,PrefillSequence*(PrefillSequence+1)/2,WindowSize*(WindowSize+1)/2+(PrefillSequence-WindowSize)*WindowSize)</f>
        <v>1040448</v>
      </c>
      <c r="C5" s="4" t="s">
        <v>210</v>
      </c>
      <c r="D5" s="4" t="s">
        <v>211</v>
      </c>
    </row>
    <row r="6" spans="1:32" ht="54" customHeight="1">
      <c r="A6" s="4" t="s">
        <v>212</v>
      </c>
      <c r="B6" s="28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C6" s="4" t="s">
        <v>210</v>
      </c>
      <c r="D6" s="4" t="s">
        <v>213</v>
      </c>
    </row>
    <row r="7" spans="1:32" ht="54" customHeight="1">
      <c r="A7" s="4" t="s">
        <v>214</v>
      </c>
      <c r="B7" s="28">
        <f>LongRatio*INT(PrefillSequence/LongRatio)*(INT(PrefillSequence/LongRatio)-1)/2+INT(PrefillSequence/LongRatio)*(MOD(PrefillSequence,LongRatio)+1)</f>
        <v>258112</v>
      </c>
      <c r="C7" s="4" t="s">
        <v>210</v>
      </c>
      <c r="D7" s="4" t="s">
        <v>215</v>
      </c>
    </row>
    <row r="8" spans="1:32" ht="54" customHeight="1">
      <c r="A8" s="4" t="s">
        <v>216</v>
      </c>
      <c r="B8" s="28">
        <f>ShortRatio*INT(PrefillSequence/ShortRatio)*(INT(PrefillSequence/ShortRatio)-1)/2+INT(PrefillSequence/ShortRatio)*(MOD(PrefillSequence,ShortRatio)+1)</f>
        <v>8386560</v>
      </c>
      <c r="C8" s="4" t="s">
        <v>210</v>
      </c>
      <c r="D8" s="4" t="s">
        <v>217</v>
      </c>
    </row>
    <row r="9" spans="1:32" ht="54" customHeight="1">
      <c r="A9" s="4" t="s">
        <v>218</v>
      </c>
      <c r="B9" s="29">
        <f>1-(1-ActivatedExperts/RoutedExperts)^PF_Rows</f>
        <v>1.0</v>
      </c>
      <c r="C9" s="4" t="s">
        <v>219</v>
      </c>
      <c r="D9" s="4" t="s">
        <v>220</v>
      </c>
    </row>
    <row r="11" spans="1:32">
      <c r="A11" s="30" t="s">
        <v>265</v>
      </c>
      <c r="B11" s="30"/>
      <c r="C11" s="30"/>
    </row>
    <row r="12" spans="1:32">
      <c r="A12" s="3" t="s">
        <v>266</v>
      </c>
      <c r="B12" s="3" t="s">
        <v>267</v>
      </c>
      <c r="C12" s="3" t="s">
        <v>268</v>
      </c>
    </row>
    <row r="13" spans="1:32">
      <c r="A13" s="4" t="s">
        <v>269</v>
      </c>
      <c r="B13" s="31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102.836 TFLOPs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23.172 TFLOPs</v>
      </c>
      <c r="AE13" s="32">
        <f>SUMIFS($U$33:$U$44,$A$33:$A$44,"注意力",$J$33:$J$44,"主要")</f>
        <v>102836037746688.0</v>
      </c>
      <c r="AF13" s="32">
        <f>SUMIFS($V$33:$V$44,$A$33:$A$44,"注意力",$J$33:$J$44,"主要")</f>
        <v>23172382457856.0</v>
      </c>
    </row>
    <row r="14" spans="1:32">
      <c r="A14" s="4" t="s">
        <v>270</v>
      </c>
      <c r="B14" s="31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124.846 TFLOPs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31.766 TFLOPs</v>
      </c>
      <c r="AE14" s="32">
        <f>SUMIFS($U$33:$U$44,$A$33:$A$44,"混合专家",$J$33:$J$44,"主要")</f>
        <v>124846109360128.0</v>
      </c>
      <c r="AF14" s="32">
        <f>SUMIFS($V$33:$V$44,$A$33:$A$44,"混合专家",$J$33:$J$44,"主要")</f>
        <v>31765578121216.0</v>
      </c>
    </row>
    <row r="15" spans="1:32">
      <c r="A15" s="4" t="s">
        <v>271</v>
      </c>
      <c r="B15" s="31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702.280 GFLOPs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701.354 GFLOPs</v>
      </c>
      <c r="AE15" s="32">
        <f>SUMIF($A$33:$A$44,"其他",$U$33:$U$44)</f>
        <v>702280286208.0</v>
      </c>
      <c r="AF15" s="32">
        <f>SUMIF($A$33:$A$44,"其他",$V$33:$V$44)</f>
        <v>701353607168.0</v>
      </c>
    </row>
    <row r="16" spans="1:32">
      <c r="A16" s="4" t="s">
        <v>272</v>
      </c>
      <c r="B16" s="33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228.384 TFLOPs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55.639 TFLOPs</v>
      </c>
      <c r="AE16" s="32">
        <f>SUM($U$33:$U$44)</f>
        <v>228384427393024.0</v>
      </c>
      <c r="AF16" s="32">
        <f>SUM($V$33:$V$44)</f>
        <v>55639314186240.0</v>
      </c>
    </row>
    <row r="17" spans="1:32">
      <c r="A17" s="4" t="s">
        <v>273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358.038 GB</v>
      </c>
      <c r="C17" s="31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231.532 GB</v>
      </c>
      <c r="AE17" s="32">
        <f>SUMIF($A$33:$A$44,"注意力",$W$33:$W$44)+SUMIF($A$33:$A$44,"注意力",$X$33:$X$44)</f>
        <v>358037814400.0</v>
      </c>
      <c r="AF17" s="32">
        <f>SUMIF($A$33:$A$44,"注意力",$Y$33:$Y$44)+SUMIF($A$33:$A$44,"注意力",$Z$33:$Z$44)</f>
        <v>231531806144.0</v>
      </c>
    </row>
    <row r="18" spans="1:32">
      <c r="A18" s="4" t="s">
        <v>274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191.989 GB</v>
      </c>
      <c r="C18" s="31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32.915 GB</v>
      </c>
      <c r="AE18" s="32">
        <f>SUMIF($A$33:$A$44,"混合专家",$W$33:$W$44)+SUMIF($A$33:$A$44,"混合专家",$X$33:$X$44)</f>
        <v>191988670976.0</v>
      </c>
      <c r="AF18" s="32">
        <f>SUMIF($A$33:$A$44,"混合专家",$Y$33:$Y$44)+SUMIF($A$33:$A$44,"混合专家",$Z$33:$Z$44)</f>
        <v>32915497472.0</v>
      </c>
    </row>
    <row r="19" spans="1:32">
      <c r="A19" s="4" t="s">
        <v>275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94.596 GB</v>
      </c>
      <c r="C19" s="31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92.742 GB</v>
      </c>
      <c r="AE19" s="32">
        <f>SUMIF($A$33:$A$44,"其他",$W$33:$W$44)+SUMIF($A$33:$A$44,"其他",$X$33:$X$44)</f>
        <v>94595729480.0</v>
      </c>
      <c r="AF19" s="32">
        <f>SUMIF($A$33:$A$44,"其他",$Y$33:$Y$44)+SUMIF($A$33:$A$44,"其他",$Z$33:$Z$44)</f>
        <v>92741918920.0</v>
      </c>
    </row>
    <row r="20" spans="1:32">
      <c r="A20" s="4" t="s">
        <v>276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644.622 GB</v>
      </c>
      <c r="C20" s="33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357.189 GB</v>
      </c>
      <c r="AE20" s="32">
        <f>SUM($W$33:$X$44)</f>
        <v>644622214856.0</v>
      </c>
      <c r="AF20" s="32">
        <f>SUM($Y$33:$Z$44)</f>
        <v>357189222536.0</v>
      </c>
    </row>
    <row r="21" spans="1:32">
      <c r="A21" s="4" t="s">
        <v>277</v>
      </c>
      <c r="B21" s="31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1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40.635 GB</v>
      </c>
      <c r="AE21" s="32">
        <f>SUM($AA$33:$AA$44)</f>
        <v>0.0</v>
      </c>
      <c r="AF21" s="32">
        <f>SUM($AB$33:$AB$44)</f>
        <v>40635322112.0</v>
      </c>
    </row>
    <row r="22" spans="1:32">
      <c r="A22" s="4" t="s">
        <v>278</v>
      </c>
      <c r="B22" s="31" t="str">
        <f>TEXT(AE22,"#,##0.000")&amp;" FLOPs/byte"</f>
        <v>354.292 FLOPs/byte</v>
      </c>
      <c r="C22" s="31" t="str">
        <f>TEXT(AF22,"#,##0.000")&amp;" FLOPs/byte"</f>
        <v>155.770 FLOPs/byte</v>
      </c>
      <c r="AE22" s="32">
        <f>SUM($U$33:$U$44)/(SUM($W$33:$W$44)+SUM($X$33:$X$44))</f>
        <v>354.29189706724895</v>
      </c>
      <c r="AF22" s="32">
        <f>SUM($V$33:$V$44)/(SUM($Y$33:$Y$44)+SUM($Z$33:$Z$44))</f>
        <v>155.76985719559968</v>
      </c>
    </row>
    <row r="23" spans="1:32">
      <c r="A23" s="4" t="s">
        <v>279</v>
      </c>
      <c r="B23" s="31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228.384 TFLOPs</v>
      </c>
      <c r="C23" s="31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55.639 TFLOPs</v>
      </c>
      <c r="AE23" s="32">
        <f>SUM($U$33:$U$44)</f>
        <v>228384427393024.0</v>
      </c>
      <c r="AF23" s="32">
        <f>SUM($V$33:$V$44)</f>
        <v>55639314186240.0</v>
      </c>
    </row>
    <row r="24" spans="1:32">
      <c r="A24" s="4" t="s">
        <v>280</v>
      </c>
      <c r="B24" s="31" t="str">
        <f>TEXT(AE24,"#,##0.000")&amp;" GB/s"</f>
        <v>644.622 GB/s</v>
      </c>
      <c r="C24" s="31" t="str">
        <f>TEXT(AF24,"#,##0.000")&amp;" GB/s"</f>
        <v>357.189 GB/s</v>
      </c>
      <c r="AE24" s="32">
        <f>(SUM($W$33:$W$44)+SUM($X$33:$X$44))/(PrefillTargetMs/1000)/1E9</f>
        <v>644.622214856</v>
      </c>
      <c r="AF24" s="32">
        <f>(SUM($Y$33:$Y$44)+SUM($Z$33:$Z$44))/(PrefillTargetMs/1000)/1E9</f>
        <v>357.189222536</v>
      </c>
    </row>
    <row r="31" spans="1:32">
      <c r="A31" s="30" t="s">
        <v>221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32">
      <c r="A32" t="s">
        <v>2</v>
      </c>
      <c r="B32" t="s">
        <v>222</v>
      </c>
      <c r="C32" t="s">
        <v>223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 t="s">
        <v>229</v>
      </c>
      <c r="J32" t="s">
        <v>230</v>
      </c>
      <c r="K32" t="s">
        <v>6</v>
      </c>
    </row>
    <row r="33" spans="1:30">
      <c r="A33" s="4" t="s">
        <v>40</v>
      </c>
      <c r="B33" s="4" t="s">
        <v>231</v>
      </c>
      <c r="C33" s="4" t="s">
        <v>232</v>
      </c>
      <c r="D33" s="31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75.351 TFLOPs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13.297 TFLOPs</v>
      </c>
      <c r="F33" s="31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74.216 GB</v>
      </c>
      <c r="G33" s="31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24.438 GB</v>
      </c>
      <c r="H33" s="31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1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233</v>
      </c>
      <c r="K33" s="4" t="s">
        <v>234</v>
      </c>
      <c r="T33" s="32">
        <f>PF_Rows*TotalLayers*2*(HiddenSize*QLoraRank+QLoraRank*NumHeads*HeadDim+HiddenSize*HeadDim+NumHeads*HeadDim*OLoraRank+OGroups*OLoraRank*HiddenSize)</f>
        <v>75350906241024</v>
      </c>
      <c r="U33" s="32">
        <f>PF_Rows*TotalLayers*2*(HiddenSize*QLoraRank+QLoraRank*TP1LocalHeads*HeadDim+HiddenSize*HeadDim+TP1LocalHeads*HeadDim*OLoraRank+TP1LocalOGroups*OLoraRank*HiddenSize)</f>
        <v>75350906241024.0</v>
      </c>
      <c r="V33" s="32">
        <f>PF_Rows*TotalLayers*2*(HiddenSize*QLoraRank+QLoraRank*TP8LocalHeads*HeadDim+HiddenSize*HeadDim+TP8LocalHeads*HeadDim*OLoraRank+TP8LocalOGroups*OLoraRank*HiddenSize)</f>
        <v>13297218748416.0</v>
      </c>
      <c r="W33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32">
        <f>PF_Rows*TotalLayers*(QLoraRank+TP1KernelLocalHeads*HeadDim+HeadDim+TP1LocalOGroups*OLoraRank+HiddenSize)*BF16Bytes</f>
        <v>32824623104.0</v>
      </c>
      <c r="Y33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32">
        <f>PF_Rows*TotalLayers*(QLoraRank+TP8KernelLocalHeads*HeadDim+HeadDim+TP8LocalOGroups*OLoraRank+HiddenSize)*BF16Bytes</f>
        <v>10460594176.0</v>
      </c>
      <c r="AA33" s="32">
        <f>0</f>
        <v>0</v>
      </c>
      <c r="AB33" s="32">
        <f>0</f>
        <v>0</v>
      </c>
      <c r="AC33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40</v>
      </c>
      <c r="B34" s="4" t="s">
        <v>235</v>
      </c>
      <c r="C34" s="4" t="s">
        <v>236</v>
      </c>
      <c r="D34" s="31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16.641 TFLOPs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4.160 TFLOPs</v>
      </c>
      <c r="F34" s="31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176.179 GB</v>
      </c>
      <c r="G34" s="31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141.551 GB</v>
      </c>
      <c r="H34" s="31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1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233</v>
      </c>
      <c r="K34" s="4" t="s">
        <v>237</v>
      </c>
      <c r="T34" s="32">
        <f>4*PrefillBatch*NumHeads*HeadDim*(WindowLayers*PF_RawPairs+ShortLayers*(PF_RawPairs+PF_ShortPairs)+LongLayers*(PF_RawPairs+PF_LongPairs))</f>
        <v>16641043726336</v>
      </c>
      <c r="U34" s="32">
        <f>4*PrefillBatch*TP1KernelLocalHeads*HeadDim*(WindowLayers*PF_RawPairs+ShortLayers*(PF_RawPairs+PF_ShortPairs)+LongLayers*(PF_RawPairs+PF_LongPairs))</f>
        <v>16641043726336.0</v>
      </c>
      <c r="V34" s="32">
        <f>4*PrefillBatch*TP8KernelLocalHeads*HeadDim*(WindowLayers*PF_RawPairs+ShortLayers*(PF_RawPairs+PF_ShortPairs)+LongLayers*(PF_RawPairs+PF_LongPairs))</f>
        <v>4160260931584.0</v>
      </c>
      <c r="W34" s="32">
        <f>PF_Rows*TotalLayers*TP1KernelLocalHeads*HeadDim*BF16Bytes+PrefillBatch*(WindowLayers*PF_RawPairs+ShortLayers*(PF_RawPairs+PF_ShortPairs)+LongLayers*(PF_RawPairs+PF_LongPairs))*HeadDim*BF16Bytes</f>
        <v>153093603328.0</v>
      </c>
      <c r="X34" s="32">
        <f>PF_Rows*TotalLayers*TP1KernelLocalHeads*HeadDim*BF16Bytes</f>
        <v>23085449216.0</v>
      </c>
      <c r="Y34" s="32">
        <f>PF_Rows*TotalLayers*TP8KernelLocalHeads*HeadDim*BF16Bytes+PrefillBatch*(WindowLayers*PF_RawPairs+ShortLayers*(PF_RawPairs+PF_ShortPairs)+LongLayers*(PF_RawPairs+PF_LongPairs))*HeadDim*BF16Bytes</f>
        <v>135779516416</v>
      </c>
      <c r="Z34" s="32">
        <f>PF_Rows*TotalLayers*TP8KernelLocalHeads*HeadDim*BF16Bytes</f>
        <v>5771362304</v>
      </c>
      <c r="AA34" s="32">
        <f>0</f>
        <v>0</v>
      </c>
      <c r="AB34" s="32">
        <f>0</f>
        <v>0</v>
      </c>
      <c r="AC34" s="32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32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40</v>
      </c>
      <c r="B35" s="4" t="s">
        <v>238</v>
      </c>
      <c r="C35" s="4" t="s">
        <v>239</v>
      </c>
      <c r="D35" s="31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2.976 TFLOPs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372.052 GFLOPs</v>
      </c>
      <c r="F35" s="31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4.789 GB</v>
      </c>
      <c r="G35" s="31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2.140 GB</v>
      </c>
      <c r="H35" s="31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1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233</v>
      </c>
      <c r="K35" s="4" t="s">
        <v>240</v>
      </c>
      <c r="T35" s="32">
        <f>2*PF_Rows*ShortLayers*(QLoraRank*IndexHeads*IndexHeadDim+HiddenSize*IndexHeads)</f>
        <v>2976412336128</v>
      </c>
      <c r="U35" s="32">
        <f>2*PF_Rows*ShortLayers*(QLoraRank*TP1LocalIndexHeads*IndexHeadDim+HiddenSize*TP1LocalIndexHeads)</f>
        <v>2976412336128.0</v>
      </c>
      <c r="V35" s="32">
        <f>2*PF_Rows*ShortLayers*(QLoraRank*TP8LocalIndexHeads*IndexHeadDim+HiddenSize*TP8LocalIndexHeads)</f>
        <v>372051542016.0</v>
      </c>
      <c r="W35" s="32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32">
        <f>PF_Rows*ShortLayers*TP1LocalIndexHeads*(IndexHeadDim+1)*BF16Bytes</f>
        <v>2840592384.0</v>
      </c>
      <c r="Y35" s="32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32">
        <f>PF_Rows*ShortLayers*TP8LocalIndexHeads*(IndexHeadDim+1)*BF16Bytes</f>
        <v>355074048.0</v>
      </c>
      <c r="AA35" s="32">
        <f>0</f>
        <v>0</v>
      </c>
      <c r="AB35" s="32">
        <f>0</f>
        <v>0</v>
      </c>
      <c r="AC35" s="32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32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40</v>
      </c>
      <c r="B36" s="4" t="s">
        <v>241</v>
      </c>
      <c r="C36" s="4" t="s">
        <v>239</v>
      </c>
      <c r="D36" s="31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2.886 TFLOPs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360.689 GFLOPs</v>
      </c>
      <c r="F36" s="31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90.877 GB</v>
      </c>
      <c r="G36" s="31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51.426 GB</v>
      </c>
      <c r="H36" s="31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1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233</v>
      </c>
      <c r="K36" s="4" t="s">
        <v>242</v>
      </c>
      <c r="T36" s="32">
        <f>2*PrefillBatch*ShortLayers*IndexHeads*IndexHeadDim*PF_IndexPairs</f>
        <v>2885513379840</v>
      </c>
      <c r="U36" s="32">
        <f>2*PrefillBatch*ShortLayers*TP1LocalIndexHeads*IndexHeadDim*PF_IndexPairs</f>
        <v>2885513379840.0</v>
      </c>
      <c r="V36" s="32">
        <f>2*PrefillBatch*ShortLayers*TP8LocalIndexHeads*IndexHeadDim*PF_IndexPairs</f>
        <v>360689172480.0</v>
      </c>
      <c r="W36" s="32">
        <f>PrefillBatch*ShortLayers*PF_IndexPairs*(IndexHeadDim*BF16Bytes+TP1LocalIndexHeads*BF16Bytes)</f>
        <v>67629219840.0</v>
      </c>
      <c r="X36" s="32">
        <f>PrefillBatch*ShortLayers*PF_IndexPairs*(TP1LocalIndexHeads*BF16Bytes+FP32Bytes)</f>
        <v>23247544320.0</v>
      </c>
      <c r="Y36" s="32">
        <f>PrefillBatch*ShortLayers*PF_IndexPairs*(IndexHeadDim*BF16Bytes+TP8LocalIndexHeads*BF16Bytes)</f>
        <v>47904030720.0</v>
      </c>
      <c r="Z36" s="32">
        <f>PrefillBatch*ShortLayers*PF_IndexPairs*(TP8LocalIndexHeads*BF16Bytes+FP32Bytes)</f>
        <v>3522355200.0</v>
      </c>
      <c r="AA36" s="32">
        <f>0</f>
        <v>0</v>
      </c>
      <c r="AB36" s="32">
        <f>0</f>
        <v>0</v>
      </c>
      <c r="AC36" s="32">
        <f>(PrefillBatch*ShortLayers*PF_IndexPairs*(IndexHeadDim*BF16Bytes+TP1LocalIndexHeads*BF16Bytes))+(PrefillBatch*ShortLayers*PF_IndexPairs*(TP1LocalIndexHeads*BF16Bytes+FP32Bytes))</f>
        <v>90876764160.0</v>
      </c>
      <c r="AD36" s="32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40</v>
      </c>
      <c r="B37" s="4" t="s">
        <v>243</v>
      </c>
      <c r="C37" s="4" t="s">
        <v>244</v>
      </c>
      <c r="D37" s="31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4.261 TFLOPs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4.261 TFLOPs</v>
      </c>
      <c r="F37" s="31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8.629 GB</v>
      </c>
      <c r="G37" s="31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8.629 GB</v>
      </c>
      <c r="H37" s="31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1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233</v>
      </c>
      <c r="K37" s="4" t="s">
        <v>245</v>
      </c>
      <c r="T37" s="32">
        <f>PF_Rows*(ShortLayers*8*HiddenSize*HeadDim+LongLayers*4*HiddenSize*HeadDim)</f>
        <v>4260607557632</v>
      </c>
      <c r="U37" s="32">
        <f>PF_Rows*(ShortLayers*8*HiddenSize*HeadDim+LongLayers*4*HiddenSize*HeadDim)</f>
        <v>4260607557632</v>
      </c>
      <c r="V37" s="32">
        <f>PF_Rows*(ShortLayers*8*HiddenSize*HeadDim+LongLayers*4*HiddenSize*HeadDim)</f>
        <v>4260607557632</v>
      </c>
      <c r="W37" s="32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32">
        <f>PF_Rows*(ShortLayers*4*HeadDim+LongLayers*2*HeadDim)*FP32Bytes</f>
        <v>2080374784</v>
      </c>
      <c r="Y37" s="32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32">
        <f>PF_Rows*(ShortLayers*4*HeadDim+LongLayers*2*HeadDim)*FP32Bytes</f>
        <v>2080374784</v>
      </c>
      <c r="AA37" s="32">
        <f>0</f>
        <v>0</v>
      </c>
      <c r="AB37" s="32">
        <f>0</f>
        <v>0</v>
      </c>
      <c r="AC37" s="32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32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40</v>
      </c>
      <c r="B38" s="4" t="s">
        <v>246</v>
      </c>
      <c r="C38" s="4" t="s">
        <v>239</v>
      </c>
      <c r="D38" s="31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721.555 GFLOPs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721.555 GFLOPs</v>
      </c>
      <c r="F38" s="31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3.347 GB</v>
      </c>
      <c r="G38" s="31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3.347 GB</v>
      </c>
      <c r="H38" s="31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1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233</v>
      </c>
      <c r="K38" s="4" t="s">
        <v>247</v>
      </c>
      <c r="T38" s="32">
        <f>PF_Rows*ShortLayers*8*HiddenSize*IndexHeadDim</f>
        <v>721554505728</v>
      </c>
      <c r="U38" s="32">
        <f>PF_Rows*ShortLayers*8*HiddenSize*IndexHeadDim</f>
        <v>721554505728</v>
      </c>
      <c r="V38" s="32">
        <f>PF_Rows*ShortLayers*8*HiddenSize*IndexHeadDim</f>
        <v>721554505728</v>
      </c>
      <c r="W38" s="32">
        <f>ShortLayers*(2*HiddenSize*(2*IndexHeadDim)*FP32Bytes+ShortRatio*2*IndexHeadDim*FP32Bytes+IndexHeadDim*FP32Bytes)+PF_Rows*ShortLayers*HiddenSize*FP32Bytes</f>
        <v>2994829824</v>
      </c>
      <c r="X38" s="32">
        <f>PF_Rows*ShortLayers*4*IndexHeadDim*FP32Bytes</f>
        <v>352321536</v>
      </c>
      <c r="Y38" s="32">
        <f>ShortLayers*(2*HiddenSize*(2*IndexHeadDim)*FP32Bytes+ShortRatio*2*IndexHeadDim*FP32Bytes+IndexHeadDim*FP32Bytes)+PF_Rows*ShortLayers*HiddenSize*FP32Bytes</f>
        <v>2994829824</v>
      </c>
      <c r="Z38" s="32">
        <f>PF_Rows*ShortLayers*4*IndexHeadDim*FP32Bytes</f>
        <v>352321536</v>
      </c>
      <c r="AA38" s="32">
        <f>0</f>
        <v>0</v>
      </c>
      <c r="AB38" s="32">
        <f>0</f>
        <v>0</v>
      </c>
      <c r="AC38" s="32">
        <f>(ShortLayers*(2*HiddenSize*(2*IndexHeadDim)*FP32Bytes+ShortRatio*2*IndexHeadDim*FP32Bytes+IndexHeadDim*FP32Bytes)+PF_Rows*ShortLayers*HiddenSize*FP32Bytes)+(PF_Rows*ShortLayers*4*IndexHeadDim*FP32Bytes)</f>
        <v>3347151360</v>
      </c>
      <c r="AD38" s="32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59</v>
      </c>
      <c r="B39" s="4" t="s">
        <v>248</v>
      </c>
      <c r="C39" s="4" t="s">
        <v>232</v>
      </c>
      <c r="D39" s="31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738.734 GFLOPs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1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3.337 GB</v>
      </c>
      <c r="G39" s="31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3.337 GB</v>
      </c>
      <c r="H39" s="31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1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233</v>
      </c>
      <c r="K39" s="4" t="s">
        <v>249</v>
      </c>
      <c r="T39" s="32">
        <f>2*PF_Rows*TotalLayers*HiddenSize*RoutedExperts</f>
        <v>738734374912</v>
      </c>
      <c r="U39" s="32">
        <f>2*PF_Rows*TotalLayers*HiddenSize*RoutedExperts</f>
        <v>738734374912</v>
      </c>
      <c r="V39" s="32">
        <f>2*PF_Rows*TotalLayers*HiddenSize*RoutedExperts</f>
        <v>738734374912</v>
      </c>
      <c r="W39" s="32">
        <f>TotalLayers*RoutedExperts*HiddenSize*BF16Bytes+(TotalLayers-ActiveHashLayers)*RoutedExperts*FP32Bytes+PF_Rows*TotalLayers*HiddenSize*BF16Bytes+PF_Rows*ActiveHashLayers*ActivatedExperts*INT32Bytes</f>
        <v>2976489472</v>
      </c>
      <c r="X39" s="32">
        <f>PF_Rows*TotalLayers*RoutedExperts*FP32Bytes</f>
        <v>360710144</v>
      </c>
      <c r="Y39" s="32">
        <f>TotalLayers*RoutedExperts*HiddenSize*BF16Bytes+(TotalLayers-ActiveHashLayers)*RoutedExperts*FP32Bytes+PF_Rows*TotalLayers*HiddenSize*BF16Bytes+PF_Rows*ActiveHashLayers*ActivatedExperts*INT32Bytes</f>
        <v>2976489472</v>
      </c>
      <c r="Z39" s="32">
        <f>PF_Rows*TotalLayers*RoutedExperts*FP32Bytes</f>
        <v>360710144</v>
      </c>
      <c r="AA39" s="32">
        <f>0</f>
        <v>0</v>
      </c>
      <c r="AB39" s="32">
        <f>0</f>
        <v>0</v>
      </c>
      <c r="AC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32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59</v>
      </c>
      <c r="B40" s="4" t="s">
        <v>250</v>
      </c>
      <c r="C40" s="4" t="s">
        <v>232</v>
      </c>
      <c r="D40" s="31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106.378 TFLOPs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13.297 TFLOPs</v>
      </c>
      <c r="F40" s="31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181.798 GB</v>
      </c>
      <c r="G40" s="31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22.725 GB</v>
      </c>
      <c r="H40" s="31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1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233</v>
      </c>
      <c r="K40" s="4" t="s">
        <v>251</v>
      </c>
      <c r="T40" s="32">
        <f>PF_Rows*TotalLayers*ActivatedExperts*6*HiddenSize*ExpertInter</f>
        <v>106377749987328</v>
      </c>
      <c r="U40" s="32">
        <f>PF_Rows*TotalLayers*(ActivatedExperts/TP1Size)*6*HiddenSize*ExpertInter</f>
        <v>106377749987328.0</v>
      </c>
      <c r="V40" s="32">
        <f>PF_Rows*TotalLayers*(ActivatedExperts/TP8Size)*6*HiddenSize*ExpertInter</f>
        <v>13297218748416.0</v>
      </c>
      <c r="W40" s="32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32">
        <f>PF_Rows*TotalLayers*(ActivatedExperts/TP1Size)*HiddenSize*BF16Bytes</f>
        <v>17314086912.0</v>
      </c>
      <c r="Y40" s="32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32">
        <f>PF_Rows*TotalLayers*(ActivatedExperts/TP8Size)*HiddenSize*BF16Bytes</f>
        <v>2164260864.0</v>
      </c>
      <c r="AA40" s="32">
        <f>0</f>
        <v>0</v>
      </c>
      <c r="AB40" s="32">
        <f>0</f>
        <v>0</v>
      </c>
      <c r="AC40" s="32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32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59</v>
      </c>
      <c r="B41" s="4" t="s">
        <v>252</v>
      </c>
      <c r="C41" s="4" t="s">
        <v>232</v>
      </c>
      <c r="D41" s="31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17.730 TFLOPs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1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6.854 GB</v>
      </c>
      <c r="G41" s="31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6.854 GB</v>
      </c>
      <c r="H41" s="31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1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233</v>
      </c>
      <c r="K41" s="4" t="s">
        <v>253</v>
      </c>
      <c r="T41" s="32">
        <f>PF_Rows*TotalLayers*SharedExperts*6*HiddenSize*ExpertInter</f>
        <v>17729624997888</v>
      </c>
      <c r="U41" s="32">
        <f>PF_Rows*TotalLayers*SharedExperts*6*HiddenSize*ExpertInter</f>
        <v>17729624997888</v>
      </c>
      <c r="V41" s="32">
        <f>PF_Rows*TotalLayers*SharedExperts*6*HiddenSize*ExpertInter</f>
        <v>17729624997888</v>
      </c>
      <c r="W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32">
        <f>PF_Rows*TotalLayers*SharedExperts*HiddenSize*BF16Bytes</f>
        <v>2885681152</v>
      </c>
      <c r="Y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32">
        <f>PF_Rows*TotalLayers*SharedExperts*HiddenSize*BF16Bytes</f>
        <v>2885681152</v>
      </c>
      <c r="AA41" s="32">
        <f>0</f>
        <v>0</v>
      </c>
      <c r="AB41" s="32">
        <f>0</f>
        <v>0</v>
      </c>
      <c r="AC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254</v>
      </c>
      <c r="B42" s="4" t="s">
        <v>255</v>
      </c>
      <c r="C42" s="4" t="s">
        <v>232</v>
      </c>
      <c r="D42" s="31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701.221 GFLOPs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701.221 GFLOPs</v>
      </c>
      <c r="F42" s="31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92.477 GB</v>
      </c>
      <c r="G42" s="31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92.477 GB</v>
      </c>
      <c r="H42" s="31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1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256</v>
      </c>
      <c r="K42" s="4" t="s">
        <v>257</v>
      </c>
      <c r="T42" s="32">
        <f>TotalLayers*2*(2*PF_Rows*HCSlots*HiddenSize*((2+HCSlots)*HCSlots)+PF_Rows*(2*HCSlots*HiddenSize+1)+PF_Rows*HiddenSize*(2*HCSlots-1)+PF_Rows*HCSlots*HiddenSize*(2*HCSlots+1))</f>
        <v>701221224448</v>
      </c>
      <c r="U42" s="32">
        <f>TotalLayers*2*(2*PF_Rows*HCSlots*HiddenSize*((2+HCSlots)*HCSlots)+PF_Rows*(2*HCSlots*HiddenSize+1)+PF_Rows*HiddenSize*(2*HCSlots-1)+PF_Rows*HCSlots*HiddenSize*(2*HCSlots+1))</f>
        <v>701221224448</v>
      </c>
      <c r="V42" s="32">
        <f>TotalLayers*2*(2*PF_Rows*HCSlots*HiddenSize*((2+HCSlots)*HCSlots)+PF_Rows*(2*HCSlots*HiddenSize+1)+PF_Rows*HiddenSize*(2*HCSlots-1)+PF_Rows*HCSlots*HiddenSize*(2*HCSlots+1))</f>
        <v>701221224448</v>
      </c>
      <c r="W42" s="32">
        <f>TotalLayers*2*((2+HCSlots)*HCSlots*HCSlots*HiddenSize*FP32Bytes+((2+HCSlots)*HCSlots+3)*FP32Bytes)+PF_Rows*TotalLayers*4*HCSlots*HiddenSize*BF16Bytes</f>
        <v>46306174024.0</v>
      </c>
      <c r="X42" s="32">
        <f>PF_Rows*TotalLayers*4*HCSlots*HiddenSize*BF16Bytes</f>
        <v>46170898432</v>
      </c>
      <c r="Y42" s="32">
        <f>TotalLayers*2*((2+HCSlots)*HCSlots*HCSlots*HiddenSize*FP32Bytes+((2+HCSlots)*HCSlots+3)*FP32Bytes)+PF_Rows*TotalLayers*4*HCSlots*HiddenSize*BF16Bytes</f>
        <v>46306174024.0</v>
      </c>
      <c r="Z42" s="32">
        <f>PF_Rows*TotalLayers*4*HCSlots*HiddenSize*BF16Bytes</f>
        <v>46170898432</v>
      </c>
      <c r="AA42" s="32">
        <f>0</f>
        <v>0</v>
      </c>
      <c r="AB42" s="32">
        <f>0</f>
        <v>0</v>
      </c>
      <c r="AC42" s="32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32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254</v>
      </c>
      <c r="B43" s="4" t="s">
        <v>258</v>
      </c>
      <c r="C43" s="4" t="s">
        <v>259</v>
      </c>
      <c r="D43" s="31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1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1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1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1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233</v>
      </c>
      <c r="K43" s="4" t="s">
        <v>260</v>
      </c>
      <c r="T43" s="32">
        <f>2*PrefillBatch*HiddenSize*VocabSize</f>
        <v>1059061760</v>
      </c>
      <c r="U43" s="32">
        <f>2*PrefillBatch*HiddenSize*TP1LocalVocab</f>
        <v>1059061760.0</v>
      </c>
      <c r="V43" s="32">
        <f>2*PrefillBatch*HiddenSize*TP8LocalVocab</f>
        <v>132382720.0</v>
      </c>
      <c r="W43" s="32">
        <f>TP1LocalVocab*HiddenSize*FP32Bytes+PrefillBatch*HiddenSize*FP32Bytes</f>
        <v>2118139904.0</v>
      </c>
      <c r="X43" s="32">
        <f>PrefillBatch*TP1LocalVocab*FP32Bytes</f>
        <v>517120.0</v>
      </c>
      <c r="Y43" s="32">
        <f>TP8LocalVocab*HiddenSize*FP32Bytes+PrefillBatch*HiddenSize*FP32Bytes</f>
        <v>264781824.0</v>
      </c>
      <c r="Z43" s="32">
        <f>PrefillBatch*TP8LocalVocab*FP32Bytes</f>
        <v>64640.0</v>
      </c>
      <c r="AA43" s="32">
        <f>0</f>
        <v>0</v>
      </c>
      <c r="AB43" s="32">
        <f>0</f>
        <v>0</v>
      </c>
      <c r="AC43" s="32">
        <f>(TP1LocalVocab*HiddenSize*FP32Bytes+PrefillBatch*HiddenSize*FP32Bytes)+(PrefillBatch*TP1LocalVocab*FP32Bytes)</f>
        <v>2118657024.0</v>
      </c>
      <c r="AD43" s="32">
        <f>(TP8LocalVocab*HiddenSize*FP32Bytes+PrefillBatch*HiddenSize*FP32Bytes)+(PrefillBatch*TP8LocalVocab*FP32Bytes)</f>
        <v>264846464.0</v>
      </c>
    </row>
    <row r="44" spans="1:30">
      <c r="A44" s="4" t="s">
        <v>261</v>
      </c>
      <c r="B44" s="4" t="s">
        <v>262</v>
      </c>
      <c r="C44" s="4" t="s">
        <v>263</v>
      </c>
      <c r="D44" s="31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1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1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1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1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40.635 GB</v>
      </c>
      <c r="J44" s="4" t="s">
        <v>256</v>
      </c>
      <c r="K44" s="4" t="s">
        <v>264</v>
      </c>
      <c r="T44" s="32">
        <f>0</f>
        <v>0</v>
      </c>
      <c r="U44" s="32">
        <f>0</f>
        <v>0</v>
      </c>
      <c r="V44" s="32">
        <f>0</f>
        <v>0</v>
      </c>
      <c r="W44" s="32">
        <f>0</f>
        <v>0</v>
      </c>
      <c r="X44" s="32">
        <f>0</f>
        <v>0</v>
      </c>
      <c r="Y44" s="32">
        <f>0</f>
        <v>0</v>
      </c>
      <c r="Z44" s="32">
        <f>0</f>
        <v>0</v>
      </c>
      <c r="AA44" s="32">
        <f>4*(TP1Size-1)/TP1Size*PF_Rows*HiddenSize*BF16Bytes+2*4*(TP1Size-1)/TP1Size*PF_Rows*HiddenSize*FP32Bytes*TotalLayers+2*(TP1Size-1)*PrefillBatch*TP1LocalVocab*FP32Bytes</f>
        <v>0.0</v>
      </c>
      <c r="AB44" s="32">
        <f>4*(TP8Size-1)/TP8Size*PF_Rows*HiddenSize*BF16Bytes+2*4*(TP8Size-1)/TP8Size*PF_Rows*HiddenSize*FP32Bytes*TotalLayers+2*(TP8Size-1)*PrefillBatch*TP8LocalVocab*FP32Bytes</f>
        <v>40635322112.0</v>
      </c>
      <c r="AC44" s="32">
        <f>(0)+(0)</f>
        <v>0</v>
      </c>
      <c r="AD44" s="32">
        <f>(0)+(0)</f>
        <v>0</v>
      </c>
    </row>
    <row r="47" spans="1:30">
      <c r="A47" s="30" t="s">
        <v>371</v>
      </c>
      <c r="B47" s="30"/>
      <c r="C47" s="30"/>
      <c r="D47" s="30"/>
      <c r="E47" s="30"/>
      <c r="F47" s="30"/>
      <c r="G47" s="30"/>
      <c r="H47" s="30"/>
    </row>
    <row r="48" spans="1:30">
      <c r="A48" t="s">
        <v>372</v>
      </c>
      <c r="B48" t="s">
        <v>373</v>
      </c>
      <c r="C48" t="s">
        <v>374</v>
      </c>
      <c r="D48" t="s">
        <v>375</v>
      </c>
      <c r="E48" t="s">
        <v>376</v>
      </c>
      <c r="F48" t="s">
        <v>377</v>
      </c>
      <c r="G48" t="s">
        <v>378</v>
      </c>
      <c r="H48" t="s">
        <v>6</v>
      </c>
    </row>
    <row r="49" spans="1:41">
      <c r="A49" s="4" t="s">
        <v>40</v>
      </c>
      <c r="B49" s="4" t="s">
        <v>379</v>
      </c>
      <c r="C49" s="31" t="str">
        <f>TEXT(IF(ABS(AG49)&gt;=1E12,AG49/1E12,IF(ABS(AG49)&gt;=1E9,AG49/1E9,IF(ABS(AG49)&gt;=1E6,AG49/1E6,IF(ABS(AG49)&gt;=1E3,AG49/1E3,AG49)))),"#,##0.000")&amp;IF((IF(ABS(AG49)&gt;=1E12,"T",IF(ABS(AG49)&gt;=1E9,"G",IF(ABS(AG49)&gt;=1E6,"M",IF(ABS(AG49)&gt;=1E3,"K","")))))="",""," "&amp;(IF(ABS(AG49)&gt;=1E12,"T",IF(ABS(AG49)&gt;=1E9,"G",IF(ABS(AG49)&gt;=1E6,"M",IF(ABS(AG49)&gt;=1E3,"K",""))))))</f>
        <v>4.599 G</v>
      </c>
      <c r="D49" s="31" t="str">
        <f>TEXT(IF(ABS(AH49)&gt;=1E12,AH49/1E12,IF(ABS(AH49)&gt;=1E9,AH49/1E9,IF(ABS(AH49)&gt;=1E6,AH49/1E6,IF(ABS(AH49)&gt;=1E3,AH49/1E3,AH49)))),"#,##0.000")&amp;IF((IF(ABS(AH49)&gt;=1E12,"T",IF(ABS(AH49)&gt;=1E9,"G",IF(ABS(AH49)&gt;=1E6,"M",IF(ABS(AH49)&gt;=1E3,"K","")))))="",""," "&amp;(IF(ABS(AH49)&gt;=1E12,"T",IF(ABS(AH49)&gt;=1E9,"G",IF(ABS(AH49)&gt;=1E6,"M",IF(ABS(AH49)&gt;=1E3,"K",""))))))</f>
        <v>4.599 G</v>
      </c>
      <c r="E49" s="31" t="str">
        <f>TEXT(IF(ABS(AI49)&gt;=1E12,AI49/1E12,IF(ABS(AI49)&gt;=1E9,AI49/1E9,IF(ABS(AI49)&gt;=1E6,AI49/1E6,IF(ABS(AI49)&gt;=1E3,AI49/1E3,AI49)))),"#,##0.000")&amp;IF((IF(ABS(AI49)&gt;=1E12,"T",IF(ABS(AI49)&gt;=1E9,"G",IF(ABS(AI49)&gt;=1E6,"M",IF(ABS(AI49)&gt;=1E3,"K","")))))="",""," "&amp;(IF(ABS(AI49)&gt;=1E12,"T",IF(ABS(AI49)&gt;=1E9,"G",IF(ABS(AI49)&gt;=1E6,"M",IF(ABS(AI49)&gt;=1E3,"K",""))))))</f>
        <v>811.598 M</v>
      </c>
      <c r="F49" s="31" t="str">
        <f>TEXT(IF(ABS(AJ49)&gt;=1E12,AJ49/1E12,IF(ABS(AJ49)&gt;=1E9,AJ49/1E9,IF(ABS(AJ49)&gt;=1E6,AJ49/1E6,IF(ABS(AJ49)&gt;=1E3,AJ49/1E3,AJ49)))),"#,##0.000")&amp;IF((IF(ABS(AJ49)&gt;=1E12,"TB",IF(ABS(AJ49)&gt;=1E9,"GB",IF(ABS(AJ49)&gt;=1E6,"MB",IF(ABS(AJ49)&gt;=1E3,"KB","bytes")))))="",""," "&amp;(IF(ABS(AJ49)&gt;=1E12,"TB",IF(ABS(AJ49)&gt;=1E9,"GB",IF(ABS(AJ49)&gt;=1E6,"MB",IF(ABS(AJ49)&gt;=1E3,"KB","bytes"))))))</f>
        <v>6.042 GB</v>
      </c>
      <c r="G49" s="31" t="str">
        <f>TEXT(IF(ABS(AK49)&gt;=1E12,AK49/1E12,IF(ABS(AK49)&gt;=1E9,AK49/1E9,IF(ABS(AK49)&gt;=1E6,AK49/1E6,IF(ABS(AK49)&gt;=1E3,AK49/1E3,AK49)))),"#,##0.000")&amp;IF((IF(ABS(AK49)&gt;=1E12,"TB",IF(ABS(AK49)&gt;=1E9,"GB",IF(ABS(AK49)&gt;=1E6,"MB",IF(ABS(AK49)&gt;=1E3,"KB","bytes")))))="",""," "&amp;(IF(ABS(AK49)&gt;=1E12,"TB",IF(ABS(AK49)&gt;=1E9,"GB",IF(ABS(AK49)&gt;=1E6,"MB",IF(ABS(AK49)&gt;=1E3,"KB","bytes"))))))</f>
        <v>991.991 MB</v>
      </c>
      <c r="H49" s="4" t="s">
        <v>380</v>
      </c>
      <c r="AG49" s="32">
        <f>TotalLayers*(HiddenSize*QLoraRank+QLoraRank*NumHeads*HeadDim+HiddenSize*HeadDim+NumHeads*HeadDim*OLoraRank+OGroups*OLoraRank*HiddenSize)</f>
        <v>4599054336</v>
      </c>
      <c r="AH49" s="32">
        <f>TotalLayers*(HiddenSize*QLoraRank+QLoraRank*TP1LocalHeads*HeadDim+HiddenSize*HeadDim+TP1LocalHeads*HeadDim*OLoraRank+TP1LocalOGroups*OLoraRank*HiddenSize)</f>
        <v>4599054336.0</v>
      </c>
      <c r="AI49" s="32">
        <f>TotalLayers*(HiddenSize*QLoraRank+QLoraRank*TP8LocalHeads*HeadDim+HiddenSize*HeadDim+TP8LocalHeads*HeadDim*OLoraRank+TP8LocalOGroups*OLoraRank*HiddenSize)</f>
        <v>811597824.0</v>
      </c>
      <c r="AJ49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AK49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0" spans="1:41">
      <c r="A50" s="4" t="s">
        <v>40</v>
      </c>
      <c r="B50" s="4" t="s">
        <v>381</v>
      </c>
      <c r="C50" s="31" t="str">
        <f>TEXT(IF(ABS(AG50)&gt;=1E12,AG50/1E12,IF(ABS(AG50)&gt;=1E9,AG50/1E9,IF(ABS(AG50)&gt;=1E6,AG50/1E6,IF(ABS(AG50)&gt;=1E3,AG50/1E3,AG50)))),"#,##0.000")&amp;IF((IF(ABS(AG50)&gt;=1E12,"T",IF(ABS(AG50)&gt;=1E9,"G",IF(ABS(AG50)&gt;=1E6,"M",IF(ABS(AG50)&gt;=1E3,"K","")))))="",""," "&amp;(IF(ABS(AG50)&gt;=1E12,"T",IF(ABS(AG50)&gt;=1E9,"G",IF(ABS(AG50)&gt;=1E6,"M",IF(ABS(AG50)&gt;=1E3,"K",""))))))</f>
        <v>261.465 M</v>
      </c>
      <c r="D50" s="31" t="str">
        <f>TEXT(IF(ABS(AH50)&gt;=1E12,AH50/1E12,IF(ABS(AH50)&gt;=1E9,AH50/1E9,IF(ABS(AH50)&gt;=1E6,AH50/1E6,IF(ABS(AH50)&gt;=1E3,AH50/1E3,AH50)))),"#,##0.000")&amp;IF((IF(ABS(AH50)&gt;=1E12,"T",IF(ABS(AH50)&gt;=1E9,"G",IF(ABS(AH50)&gt;=1E6,"M",IF(ABS(AH50)&gt;=1E3,"K","")))))="",""," "&amp;(IF(ABS(AH50)&gt;=1E12,"T",IF(ABS(AH50)&gt;=1E9,"G",IF(ABS(AH50)&gt;=1E6,"M",IF(ABS(AH50)&gt;=1E3,"K",""))))))</f>
        <v>261.465 M</v>
      </c>
      <c r="E50" s="31" t="str">
        <f>TEXT(IF(ABS(AI50)&gt;=1E12,AI50/1E12,IF(ABS(AI50)&gt;=1E9,AI50/1E9,IF(ABS(AI50)&gt;=1E6,AI50/1E6,IF(ABS(AI50)&gt;=1E3,AI50/1E3,AI50)))),"#,##0.000")&amp;IF((IF(ABS(AI50)&gt;=1E12,"T",IF(ABS(AI50)&gt;=1E9,"G",IF(ABS(AI50)&gt;=1E6,"M",IF(ABS(AI50)&gt;=1E3,"K","")))))="",""," "&amp;(IF(ABS(AI50)&gt;=1E12,"T",IF(ABS(AI50)&gt;=1E9,"G",IF(ABS(AI50)&gt;=1E6,"M",IF(ABS(AI50)&gt;=1E3,"K",""))))))</f>
        <v>261.465 M</v>
      </c>
      <c r="F50" s="31" t="str">
        <f>TEXT(IF(ABS(AJ50)&gt;=1E12,AJ50/1E12,IF(ABS(AJ50)&gt;=1E9,AJ50/1E9,IF(ABS(AJ50)&gt;=1E6,AJ50/1E6,IF(ABS(AJ50)&gt;=1E3,AJ50/1E3,AJ50)))),"#,##0.000")&amp;IF((IF(ABS(AJ50)&gt;=1E12,"TB",IF(ABS(AJ50)&gt;=1E9,"GB",IF(ABS(AJ50)&gt;=1E6,"MB",IF(ABS(AJ50)&gt;=1E3,"KB","bytes")))))="",""," "&amp;(IF(ABS(AJ50)&gt;=1E12,"TB",IF(ABS(AJ50)&gt;=1E9,"GB",IF(ABS(AJ50)&gt;=1E6,"MB",IF(ABS(AJ50)&gt;=1E3,"KB","bytes"))))))</f>
        <v>1.046 GB</v>
      </c>
      <c r="G50" s="31" t="str">
        <f>TEXT(IF(ABS(AK50)&gt;=1E12,AK50/1E12,IF(ABS(AK50)&gt;=1E9,AK50/1E9,IF(ABS(AK50)&gt;=1E6,AK50/1E6,IF(ABS(AK50)&gt;=1E3,AK50/1E3,AK50)))),"#,##0.000")&amp;IF((IF(ABS(AK50)&gt;=1E12,"TB",IF(ABS(AK50)&gt;=1E9,"GB",IF(ABS(AK50)&gt;=1E6,"MB",IF(ABS(AK50)&gt;=1E3,"KB","bytes")))))="",""," "&amp;(IF(ABS(AK50)&gt;=1E12,"TB",IF(ABS(AK50)&gt;=1E9,"GB",IF(ABS(AK50)&gt;=1E6,"MB",IF(ABS(AK50)&gt;=1E3,"KB","bytes"))))))</f>
        <v>1.046 GB</v>
      </c>
      <c r="H50" s="4" t="s">
        <v>382</v>
      </c>
      <c r="AG50" s="32">
        <f>ShortLayers*(2*HiddenSize*(2*HeadDim)+ShortRatio*2*HeadDim+HeadDim)+LongLayers*(2*HiddenSize*HeadDim+LongRatio*HeadDim+HeadDim)</f>
        <v>261464576</v>
      </c>
      <c r="AH50" s="32">
        <f>ShortLayers*(2*HiddenSize*(2*HeadDim)+ShortRatio*2*HeadDim+HeadDim)+LongLayers*(2*HiddenSize*HeadDim+LongRatio*HeadDim+HeadDim)</f>
        <v>261464576</v>
      </c>
      <c r="AI50" s="32">
        <f>ShortLayers*(2*HiddenSize*(2*HeadDim)+ShortRatio*2*HeadDim+HeadDim)+LongLayers*(2*HiddenSize*HeadDim+LongRatio*HeadDim+HeadDim)</f>
        <v>261464576</v>
      </c>
      <c r="AJ50" s="32">
        <f>ShortLayers*(2*HiddenSize*(2*HeadDim)*FP32Bytes+ShortRatio*2*HeadDim*FP32Bytes+HeadDim*FP32Bytes)+LongLayers*(2*HiddenSize*HeadDim*FP32Bytes+LongRatio*HeadDim*FP32Bytes+HeadDim*FP32Bytes)</f>
        <v>1045858304</v>
      </c>
      <c r="AK50" s="32">
        <f>ShortLayers*(2*HiddenSize*(2*HeadDim)*FP32Bytes+ShortRatio*2*HeadDim*FP32Bytes+HeadDim*FP32Bytes)+LongLayers*(2*HiddenSize*HeadDim*FP32Bytes+LongRatio*HeadDim*FP32Bytes+HeadDim*FP32Bytes)</f>
        <v>1045858304</v>
      </c>
    </row>
    <row r="51" spans="1:41">
      <c r="A51" s="4" t="s">
        <v>40</v>
      </c>
      <c r="B51" s="4" t="s">
        <v>383</v>
      </c>
      <c r="C51" s="31" t="str">
        <f>TEXT(IF(ABS(AG51)&gt;=1E12,AG51/1E12,IF(ABS(AG51)&gt;=1E9,AG51/1E9,IF(ABS(AG51)&gt;=1E6,AG51/1E6,IF(ABS(AG51)&gt;=1E3,AG51/1E3,AG51)))),"#,##0.000")&amp;IF((IF(ABS(AG51)&gt;=1E12,"T",IF(ABS(AG51)&gt;=1E9,"G",IF(ABS(AG51)&gt;=1E6,"M",IF(ABS(AG51)&gt;=1E3,"K","")))))="",""," "&amp;(IF(ABS(AG51)&gt;=1E12,"T",IF(ABS(AG51)&gt;=1E9,"G",IF(ABS(AG51)&gt;=1E6,"M",IF(ABS(AG51)&gt;=1E3,"K",""))))))</f>
        <v>225.730 M</v>
      </c>
      <c r="D51" s="31" t="str">
        <f>TEXT(IF(ABS(AH51)&gt;=1E12,AH51/1E12,IF(ABS(AH51)&gt;=1E9,AH51/1E9,IF(ABS(AH51)&gt;=1E6,AH51/1E6,IF(ABS(AH51)&gt;=1E3,AH51/1E3,AH51)))),"#,##0.000")&amp;IF((IF(ABS(AH51)&gt;=1E12,"T",IF(ABS(AH51)&gt;=1E9,"G",IF(ABS(AH51)&gt;=1E6,"M",IF(ABS(AH51)&gt;=1E3,"K","")))))="",""," "&amp;(IF(ABS(AH51)&gt;=1E12,"T",IF(ABS(AH51)&gt;=1E9,"G",IF(ABS(AH51)&gt;=1E6,"M",IF(ABS(AH51)&gt;=1E3,"K",""))))))</f>
        <v>225.730 M</v>
      </c>
      <c r="E51" s="31" t="str">
        <f>TEXT(IF(ABS(AI51)&gt;=1E12,AI51/1E12,IF(ABS(AI51)&gt;=1E9,AI51/1E9,IF(ABS(AI51)&gt;=1E6,AI51/1E6,IF(ABS(AI51)&gt;=1E3,AI51/1E3,AI51)))),"#,##0.000")&amp;IF((IF(ABS(AI51)&gt;=1E12,"T",IF(ABS(AI51)&gt;=1E9,"G",IF(ABS(AI51)&gt;=1E6,"M",IF(ABS(AI51)&gt;=1E3,"K","")))))="",""," "&amp;(IF(ABS(AI51)&gt;=1E12,"T",IF(ABS(AI51)&gt;=1E9,"G",IF(ABS(AI51)&gt;=1E6,"M",IF(ABS(AI51)&gt;=1E3,"K",""))))))</f>
        <v>66.773 M</v>
      </c>
      <c r="F51" s="31" t="str">
        <f>TEXT(IF(ABS(AJ51)&gt;=1E12,AJ51/1E12,IF(ABS(AJ51)&gt;=1E9,AJ51/1E9,IF(ABS(AJ51)&gt;=1E6,AJ51/1E6,IF(ABS(AJ51)&gt;=1E3,AJ51/1E3,AJ51)))),"#,##0.000")&amp;IF((IF(ABS(AJ51)&gt;=1E12,"TB",IF(ABS(AJ51)&gt;=1E9,"GB",IF(ABS(AJ51)&gt;=1E6,"MB",IF(ABS(AJ51)&gt;=1E3,"KB","bytes")))))="",""," "&amp;(IF(ABS(AJ51)&gt;=1E12,"TB",IF(ABS(AJ51)&gt;=1E9,"GB",IF(ABS(AJ51)&gt;=1E6,"MB",IF(ABS(AJ51)&gt;=1E3,"KB","bytes"))))))</f>
        <v>363.439 MB</v>
      </c>
      <c r="G51" s="31" t="str">
        <f>TEXT(IF(ABS(AK51)&gt;=1E12,AK51/1E12,IF(ABS(AK51)&gt;=1E9,AK51/1E9,IF(ABS(AK51)&gt;=1E6,AK51/1E6,IF(ABS(AK51)&gt;=1E3,AK51/1E3,AK51)))),"#,##0.000")&amp;IF((IF(ABS(AK51)&gt;=1E12,"TB",IF(ABS(AK51)&gt;=1E9,"GB",IF(ABS(AK51)&gt;=1E6,"MB",IF(ABS(AK51)&gt;=1E3,"KB","bytes")))))="",""," "&amp;(IF(ABS(AK51)&gt;=1E12,"TB",IF(ABS(AK51)&gt;=1E9,"GB",IF(ABS(AK51)&gt;=1E6,"MB",IF(ABS(AK51)&gt;=1E3,"KB","bytes"))))))</f>
        <v>199.655 MB</v>
      </c>
      <c r="H51" s="4" t="s">
        <v>384</v>
      </c>
      <c r="AG51" s="32">
        <f>ShortLayers*(QLoraRank*IndexHeads*IndexHeadDim+HiddenSize*IndexHeads+2*HiddenSize*(2*IndexHeadDim)+ShortRatio*2*IndexHeadDim+IndexHeadDim)</f>
        <v>225730176</v>
      </c>
      <c r="AH51" s="32">
        <f>ShortLayers*(QLoraRank*TP1LocalIndexHeads*IndexHeadDim+HiddenSize*TP1LocalIndexHeads+2*HiddenSize*(2*IndexHeadDim)+ShortRatio*2*IndexHeadDim+IndexHeadDim)</f>
        <v>225730176.0</v>
      </c>
      <c r="AI51" s="32">
        <f>ShortLayers*(QLoraRank*TP8LocalIndexHeads*IndexHeadDim+HiddenSize*TP8LocalIndexHeads+2*HiddenSize*(2*IndexHeadDim)+ShortRatio*2*IndexHeadDim+IndexHeadDim)</f>
        <v>66772608.0</v>
      </c>
      <c r="AJ51" s="32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AK51" s="32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52" spans="1:41">
      <c r="A52" s="4" t="s">
        <v>59</v>
      </c>
      <c r="B52" s="4" t="s">
        <v>361</v>
      </c>
      <c r="C52" s="31" t="str">
        <f>TEXT(IF(ABS(AG52)&gt;=1E12,AG52/1E12,IF(ABS(AG52)&gt;=1E9,AG52/1E9,IF(ABS(AG52)&gt;=1E6,AG52/1E6,IF(ABS(AG52)&gt;=1E3,AG52/1E3,AG52)))),"#,##0.000")&amp;IF((IF(ABS(AG52)&gt;=1E12,"T",IF(ABS(AG52)&gt;=1E9,"G",IF(ABS(AG52)&gt;=1E6,"M",IF(ABS(AG52)&gt;=1E3,"K","")))))="",""," "&amp;(IF(ABS(AG52)&gt;=1E12,"T",IF(ABS(AG52)&gt;=1E9,"G",IF(ABS(AG52)&gt;=1E6,"M",IF(ABS(AG52)&gt;=1E3,"K",""))))))</f>
        <v>277.025 G</v>
      </c>
      <c r="D52" s="31" t="str">
        <f>TEXT(IF(ABS(AH52)&gt;=1E12,AH52/1E12,IF(ABS(AH52)&gt;=1E9,AH52/1E9,IF(ABS(AH52)&gt;=1E6,AH52/1E6,IF(ABS(AH52)&gt;=1E3,AH52/1E3,AH52)))),"#,##0.000")&amp;IF((IF(ABS(AH52)&gt;=1E12,"T",IF(ABS(AH52)&gt;=1E9,"G",IF(ABS(AH52)&gt;=1E6,"M",IF(ABS(AH52)&gt;=1E3,"K","")))))="",""," "&amp;(IF(ABS(AH52)&gt;=1E12,"T",IF(ABS(AH52)&gt;=1E9,"G",IF(ABS(AH52)&gt;=1E6,"M",IF(ABS(AH52)&gt;=1E3,"K",""))))))</f>
        <v>277.025 G</v>
      </c>
      <c r="E52" s="31" t="str">
        <f>TEXT(IF(ABS(AI52)&gt;=1E12,AI52/1E12,IF(ABS(AI52)&gt;=1E9,AI52/1E9,IF(ABS(AI52)&gt;=1E6,AI52/1E6,IF(ABS(AI52)&gt;=1E3,AI52/1E3,AI52)))),"#,##0.000")&amp;IF((IF(ABS(AI52)&gt;=1E12,"T",IF(ABS(AI52)&gt;=1E9,"G",IF(ABS(AI52)&gt;=1E6,"M",IF(ABS(AI52)&gt;=1E3,"K","")))))="",""," "&amp;(IF(ABS(AI52)&gt;=1E12,"T",IF(ABS(AI52)&gt;=1E9,"G",IF(ABS(AI52)&gt;=1E6,"M",IF(ABS(AI52)&gt;=1E3,"K",""))))))</f>
        <v>34.628 G</v>
      </c>
      <c r="F52" s="31" t="str">
        <f>TEXT(IF(ABS(AJ52)&gt;=1E12,AJ52/1E12,IF(ABS(AJ52)&gt;=1E9,AJ52/1E9,IF(ABS(AJ52)&gt;=1E6,AJ52/1E6,IF(ABS(AJ52)&gt;=1E3,AJ52/1E3,AJ52)))),"#,##0.000")&amp;IF((IF(ABS(AJ52)&gt;=1E12,"TB",IF(ABS(AJ52)&gt;=1E9,"GB",IF(ABS(AJ52)&gt;=1E6,"MB",IF(ABS(AJ52)&gt;=1E3,"KB","bytes")))))="",""," "&amp;(IF(ABS(AJ52)&gt;=1E12,"TB",IF(ABS(AJ52)&gt;=1E9,"GB",IF(ABS(AJ52)&gt;=1E6,"MB",IF(ABS(AJ52)&gt;=1E3,"KB","bytes"))))))</f>
        <v>147.170 GB</v>
      </c>
      <c r="G52" s="31" t="str">
        <f>TEXT(IF(ABS(AK52)&gt;=1E12,AK52/1E12,IF(ABS(AK52)&gt;=1E9,AK52/1E9,IF(ABS(AK52)&gt;=1E6,AK52/1E6,IF(ABS(AK52)&gt;=1E3,AK52/1E3,AK52)))),"#,##0.000")&amp;IF((IF(ABS(AK52)&gt;=1E12,"TB",IF(ABS(AK52)&gt;=1E9,"GB",IF(ABS(AK52)&gt;=1E6,"MB",IF(ABS(AK52)&gt;=1E3,"KB","bytes")))))="",""," "&amp;(IF(ABS(AK52)&gt;=1E12,"TB",IF(ABS(AK52)&gt;=1E9,"GB",IF(ABS(AK52)&gt;=1E6,"MB",IF(ABS(AK52)&gt;=1E3,"KB","bytes"))))))</f>
        <v>18.396 GB</v>
      </c>
      <c r="H52" s="4" t="s">
        <v>385</v>
      </c>
      <c r="AG52" s="32">
        <f>TotalLayers*RoutedExperts*3*HiddenSize*ExpertInter</f>
        <v>277025390592</v>
      </c>
      <c r="AH52" s="32">
        <f>TotalLayers*TP1LocalExperts*3*HiddenSize*ExpertInter</f>
        <v>277025390592.0</v>
      </c>
      <c r="AI52" s="32">
        <f>TotalLayers*TP8LocalExperts*3*HiddenSize*ExpertInter</f>
        <v>34628173824.0</v>
      </c>
      <c r="AJ52" s="32">
        <f>TotalLayers*TP1LocalExperts*(3*HiddenSize*ExpertInter*FP4Bytes+3*HiddenSize*ExpertInter/FP4Block*ScaleBytes)</f>
        <v>147169738752.0</v>
      </c>
      <c r="AK52" s="32">
        <f>TotalLayers*TP8LocalExperts*(3*HiddenSize*ExpertInter*FP4Bytes+3*HiddenSize*ExpertInter/FP4Block*ScaleBytes)</f>
        <v>18396217344.0</v>
      </c>
    </row>
    <row r="53" spans="1:41">
      <c r="A53" s="4" t="s">
        <v>59</v>
      </c>
      <c r="B53" s="4" t="s">
        <v>252</v>
      </c>
      <c r="C53" s="31" t="str">
        <f>TEXT(IF(ABS(AG53)&gt;=1E12,AG53/1E12,IF(ABS(AG53)&gt;=1E9,AG53/1E9,IF(ABS(AG53)&gt;=1E6,AG53/1E6,IF(ABS(AG53)&gt;=1E3,AG53/1E3,AG53)))),"#,##0.000")&amp;IF((IF(ABS(AG53)&gt;=1E12,"T",IF(ABS(AG53)&gt;=1E9,"G",IF(ABS(AG53)&gt;=1E6,"M",IF(ABS(AG53)&gt;=1E3,"K","")))))="",""," "&amp;(IF(ABS(AG53)&gt;=1E12,"T",IF(ABS(AG53)&gt;=1E9,"G",IF(ABS(AG53)&gt;=1E6,"M",IF(ABS(AG53)&gt;=1E3,"K",""))))))</f>
        <v>1.082 G</v>
      </c>
      <c r="D53" s="31" t="str">
        <f>TEXT(IF(ABS(AH53)&gt;=1E12,AH53/1E12,IF(ABS(AH53)&gt;=1E9,AH53/1E9,IF(ABS(AH53)&gt;=1E6,AH53/1E6,IF(ABS(AH53)&gt;=1E3,AH53/1E3,AH53)))),"#,##0.000")&amp;IF((IF(ABS(AH53)&gt;=1E12,"T",IF(ABS(AH53)&gt;=1E9,"G",IF(ABS(AH53)&gt;=1E6,"M",IF(ABS(AH53)&gt;=1E3,"K","")))))="",""," "&amp;(IF(ABS(AH53)&gt;=1E12,"T",IF(ABS(AH53)&gt;=1E9,"G",IF(ABS(AH53)&gt;=1E6,"M",IF(ABS(AH53)&gt;=1E3,"K",""))))))</f>
        <v>1.082 G</v>
      </c>
      <c r="E53" s="31" t="str">
        <f>TEXT(IF(ABS(AI53)&gt;=1E12,AI53/1E12,IF(ABS(AI53)&gt;=1E9,AI53/1E9,IF(ABS(AI53)&gt;=1E6,AI53/1E6,IF(ABS(AI53)&gt;=1E3,AI53/1E3,AI53)))),"#,##0.000")&amp;IF((IF(ABS(AI53)&gt;=1E12,"T",IF(ABS(AI53)&gt;=1E9,"G",IF(ABS(AI53)&gt;=1E6,"M",IF(ABS(AI53)&gt;=1E3,"K","")))))="",""," "&amp;(IF(ABS(AI53)&gt;=1E12,"T",IF(ABS(AI53)&gt;=1E9,"G",IF(ABS(AI53)&gt;=1E6,"M",IF(ABS(AI53)&gt;=1E3,"K",""))))))</f>
        <v>1.082 G</v>
      </c>
      <c r="F53" s="31" t="str">
        <f>TEXT(IF(ABS(AJ53)&gt;=1E12,AJ53/1E12,IF(ABS(AJ53)&gt;=1E9,AJ53/1E9,IF(ABS(AJ53)&gt;=1E6,AJ53/1E6,IF(ABS(AJ53)&gt;=1E3,AJ53/1E3,AJ53)))),"#,##0.000")&amp;IF((IF(ABS(AJ53)&gt;=1E12,"TB",IF(ABS(AJ53)&gt;=1E9,"GB",IF(ABS(AJ53)&gt;=1E6,"MB",IF(ABS(AJ53)&gt;=1E3,"KB","bytes")))))="",""," "&amp;(IF(ABS(AJ53)&gt;=1E12,"TB",IF(ABS(AJ53)&gt;=1E9,"GB",IF(ABS(AJ53)&gt;=1E6,"MB",IF(ABS(AJ53)&gt;=1E3,"KB","bytes"))))))</f>
        <v>1.082 GB</v>
      </c>
      <c r="G53" s="31" t="str">
        <f>TEXT(IF(ABS(AK53)&gt;=1E12,AK53/1E12,IF(ABS(AK53)&gt;=1E9,AK53/1E9,IF(ABS(AK53)&gt;=1E6,AK53/1E6,IF(ABS(AK53)&gt;=1E3,AK53/1E3,AK53)))),"#,##0.000")&amp;IF((IF(ABS(AK53)&gt;=1E12,"TB",IF(ABS(AK53)&gt;=1E9,"GB",IF(ABS(AK53)&gt;=1E6,"MB",IF(ABS(AK53)&gt;=1E3,"KB","bytes")))))="",""," "&amp;(IF(ABS(AK53)&gt;=1E12,"TB",IF(ABS(AK53)&gt;=1E9,"GB",IF(ABS(AK53)&gt;=1E6,"MB",IF(ABS(AK53)&gt;=1E3,"KB","bytes"))))))</f>
        <v>1.082 GB</v>
      </c>
      <c r="H53" s="4" t="s">
        <v>386</v>
      </c>
      <c r="AG53" s="32">
        <f>TotalLayers*SharedExperts*3*HiddenSize*ExpertInter</f>
        <v>1082130432</v>
      </c>
      <c r="AH53" s="32">
        <f>TotalLayers*SharedExperts*3*HiddenSize*ExpertInter</f>
        <v>1082130432</v>
      </c>
      <c r="AI53" s="32">
        <f>TotalLayers*SharedExperts*3*HiddenSize*ExpertInter</f>
        <v>1082130432</v>
      </c>
      <c r="AJ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AK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54" spans="1:41">
      <c r="A54" s="4" t="s">
        <v>59</v>
      </c>
      <c r="B54" s="4" t="s">
        <v>387</v>
      </c>
      <c r="C54" s="31" t="str">
        <f>TEXT(IF(ABS(AG54)&gt;=1E12,AG54/1E12,IF(ABS(AG54)&gt;=1E9,AG54/1E9,IF(ABS(AG54)&gt;=1E6,AG54/1E6,IF(ABS(AG54)&gt;=1E3,AG54/1E3,AG54)))),"#,##0.000")&amp;IF((IF(ABS(AG54)&gt;=1E12,"T",IF(ABS(AG54)&gt;=1E9,"G",IF(ABS(AG54)&gt;=1E6,"M",IF(ABS(AG54)&gt;=1E3,"K","")))))="",""," "&amp;(IF(ABS(AG54)&gt;=1E12,"T",IF(ABS(AG54)&gt;=1E9,"G",IF(ABS(AG54)&gt;=1E6,"M",IF(ABS(AG54)&gt;=1E3,"K",""))))))</f>
        <v>47.426 M</v>
      </c>
      <c r="D54" s="31" t="str">
        <f>TEXT(IF(ABS(AH54)&gt;=1E12,AH54/1E12,IF(ABS(AH54)&gt;=1E9,AH54/1E9,IF(ABS(AH54)&gt;=1E6,AH54/1E6,IF(ABS(AH54)&gt;=1E3,AH54/1E3,AH54)))),"#,##0.000")&amp;IF((IF(ABS(AH54)&gt;=1E12,"T",IF(ABS(AH54)&gt;=1E9,"G",IF(ABS(AH54)&gt;=1E6,"M",IF(ABS(AH54)&gt;=1E3,"K","")))))="",""," "&amp;(IF(ABS(AH54)&gt;=1E12,"T",IF(ABS(AH54)&gt;=1E9,"G",IF(ABS(AH54)&gt;=1E6,"M",IF(ABS(AH54)&gt;=1E3,"K",""))))))</f>
        <v>47.426 M</v>
      </c>
      <c r="E54" s="31" t="str">
        <f>TEXT(IF(ABS(AI54)&gt;=1E12,AI54/1E12,IF(ABS(AI54)&gt;=1E9,AI54/1E9,IF(ABS(AI54)&gt;=1E6,AI54/1E6,IF(ABS(AI54)&gt;=1E3,AI54/1E3,AI54)))),"#,##0.000")&amp;IF((IF(ABS(AI54)&gt;=1E12,"T",IF(ABS(AI54)&gt;=1E9,"G",IF(ABS(AI54)&gt;=1E6,"M",IF(ABS(AI54)&gt;=1E3,"K","")))))="",""," "&amp;(IF(ABS(AI54)&gt;=1E12,"T",IF(ABS(AI54)&gt;=1E9,"G",IF(ABS(AI54)&gt;=1E6,"M",IF(ABS(AI54)&gt;=1E3,"K",""))))))</f>
        <v>47.426 M</v>
      </c>
      <c r="F54" s="31" t="str">
        <f>TEXT(IF(ABS(AJ54)&gt;=1E12,AJ54/1E12,IF(ABS(AJ54)&gt;=1E9,AJ54/1E9,IF(ABS(AJ54)&gt;=1E6,AJ54/1E6,IF(ABS(AJ54)&gt;=1E3,AJ54/1E3,AJ54)))),"#,##0.000")&amp;IF((IF(ABS(AJ54)&gt;=1E12,"TB",IF(ABS(AJ54)&gt;=1E9,"GB",IF(ABS(AJ54)&gt;=1E6,"MB",IF(ABS(AJ54)&gt;=1E3,"KB","bytes")))))="",""," "&amp;(IF(ABS(AJ54)&gt;=1E12,"TB",IF(ABS(AJ54)&gt;=1E9,"GB",IF(ABS(AJ54)&gt;=1E6,"MB",IF(ABS(AJ54)&gt;=1E3,"KB","bytes"))))))</f>
        <v>99.527 MB</v>
      </c>
      <c r="G54" s="31" t="str">
        <f>TEXT(IF(ABS(AK54)&gt;=1E12,AK54/1E12,IF(ABS(AK54)&gt;=1E9,AK54/1E9,IF(ABS(AK54)&gt;=1E6,AK54/1E6,IF(ABS(AK54)&gt;=1E3,AK54/1E3,AK54)))),"#,##0.000")&amp;IF((IF(ABS(AK54)&gt;=1E12,"TB",IF(ABS(AK54)&gt;=1E9,"GB",IF(ABS(AK54)&gt;=1E6,"MB",IF(ABS(AK54)&gt;=1E3,"KB","bytes")))))="",""," "&amp;(IF(ABS(AK54)&gt;=1E12,"TB",IF(ABS(AK54)&gt;=1E9,"GB",IF(ABS(AK54)&gt;=1E6,"MB",IF(ABS(AK54)&gt;=1E3,"KB","bytes"))))))</f>
        <v>99.527 MB</v>
      </c>
      <c r="H54" s="4" t="s">
        <v>388</v>
      </c>
      <c r="AG54" s="32">
        <f>TotalLayers*RoutedExperts*HiddenSize+(TotalLayers-ActiveHashLayers)*RoutedExperts+ActiveHashLayers*VocabSize*ActivatedExperts</f>
        <v>47426048</v>
      </c>
      <c r="AH54" s="32">
        <f>TotalLayers*RoutedExperts*HiddenSize+(TotalLayers-ActiveHashLayers)*RoutedExperts+ActiveHashLayers*VocabSize*ActivatedExperts</f>
        <v>47426048</v>
      </c>
      <c r="AI54" s="32">
        <f>TotalLayers*RoutedExperts*HiddenSize+(TotalLayers-ActiveHashLayers)*RoutedExperts+ActiveHashLayers*VocabSize*ActivatedExperts</f>
        <v>47426048</v>
      </c>
      <c r="AJ54" s="32">
        <f>TotalLayers*RoutedExperts*HiddenSize*BF16Bytes+(TotalLayers-ActiveHashLayers)*RoutedExperts*FP32Bytes+ActiveHashLayers*VocabSize*ActivatedExperts*INT32Bytes</f>
        <v>99526656</v>
      </c>
      <c r="AK54" s="32">
        <f>TotalLayers*RoutedExperts*HiddenSize*BF16Bytes+(TotalLayers-ActiveHashLayers)*RoutedExperts*FP32Bytes+ActiveHashLayers*VocabSize*ActivatedExperts*INT32Bytes</f>
        <v>99526656</v>
      </c>
    </row>
    <row r="55" spans="1:41">
      <c r="A55" s="4" t="s">
        <v>254</v>
      </c>
      <c r="B55" s="4" t="s">
        <v>389</v>
      </c>
      <c r="C55" s="31" t="str">
        <f>TEXT(IF(ABS(AG55)&gt;=1E12,AG55/1E12,IF(ABS(AG55)&gt;=1E9,AG55/1E9,IF(ABS(AG55)&gt;=1E6,AG55/1E6,IF(ABS(AG55)&gt;=1E3,AG55/1E3,AG55)))),"#,##0.000")&amp;IF((IF(ABS(AG55)&gt;=1E12,"T",IF(ABS(AG55)&gt;=1E9,"G",IF(ABS(AG55)&gt;=1E6,"M",IF(ABS(AG55)&gt;=1E3,"K","")))))="",""," "&amp;(IF(ABS(AG55)&gt;=1E12,"T",IF(ABS(AG55)&gt;=1E9,"G",IF(ABS(AG55)&gt;=1E6,"M",IF(ABS(AG55)&gt;=1E3,"K",""))))))</f>
        <v>529.531 M</v>
      </c>
      <c r="D55" s="31" t="str">
        <f>TEXT(IF(ABS(AH55)&gt;=1E12,AH55/1E12,IF(ABS(AH55)&gt;=1E9,AH55/1E9,IF(ABS(AH55)&gt;=1E6,AH55/1E6,IF(ABS(AH55)&gt;=1E3,AH55/1E3,AH55)))),"#,##0.000")&amp;IF((IF(ABS(AH55)&gt;=1E12,"T",IF(ABS(AH55)&gt;=1E9,"G",IF(ABS(AH55)&gt;=1E6,"M",IF(ABS(AH55)&gt;=1E3,"K","")))))="",""," "&amp;(IF(ABS(AH55)&gt;=1E12,"T",IF(ABS(AH55)&gt;=1E9,"G",IF(ABS(AH55)&gt;=1E6,"M",IF(ABS(AH55)&gt;=1E3,"K",""))))))</f>
        <v>529.531 M</v>
      </c>
      <c r="E55" s="31" t="str">
        <f>TEXT(IF(ABS(AI55)&gt;=1E12,AI55/1E12,IF(ABS(AI55)&gt;=1E9,AI55/1E9,IF(ABS(AI55)&gt;=1E6,AI55/1E6,IF(ABS(AI55)&gt;=1E3,AI55/1E3,AI55)))),"#,##0.000")&amp;IF((IF(ABS(AI55)&gt;=1E12,"T",IF(ABS(AI55)&gt;=1E9,"G",IF(ABS(AI55)&gt;=1E6,"M",IF(ABS(AI55)&gt;=1E3,"K","")))))="",""," "&amp;(IF(ABS(AI55)&gt;=1E12,"T",IF(ABS(AI55)&gt;=1E9,"G",IF(ABS(AI55)&gt;=1E6,"M",IF(ABS(AI55)&gt;=1E3,"K",""))))))</f>
        <v>66.191 M</v>
      </c>
      <c r="F55" s="31" t="str">
        <f>TEXT(IF(ABS(AJ55)&gt;=1E12,AJ55/1E12,IF(ABS(AJ55)&gt;=1E9,AJ55/1E9,IF(ABS(AJ55)&gt;=1E6,AJ55/1E6,IF(ABS(AJ55)&gt;=1E3,AJ55/1E3,AJ55)))),"#,##0.000")&amp;IF((IF(ABS(AJ55)&gt;=1E12,"TB",IF(ABS(AJ55)&gt;=1E9,"GB",IF(ABS(AJ55)&gt;=1E6,"MB",IF(ABS(AJ55)&gt;=1E3,"KB","bytes")))))="",""," "&amp;(IF(ABS(AJ55)&gt;=1E12,"TB",IF(ABS(AJ55)&gt;=1E9,"GB",IF(ABS(AJ55)&gt;=1E6,"MB",IF(ABS(AJ55)&gt;=1E3,"KB","bytes"))))))</f>
        <v>1.059 GB</v>
      </c>
      <c r="G55" s="31" t="str">
        <f>TEXT(IF(ABS(AK55)&gt;=1E12,AK55/1E12,IF(ABS(AK55)&gt;=1E9,AK55/1E9,IF(ABS(AK55)&gt;=1E6,AK55/1E6,IF(ABS(AK55)&gt;=1E3,AK55/1E3,AK55)))),"#,##0.000")&amp;IF((IF(ABS(AK55)&gt;=1E12,"TB",IF(ABS(AK55)&gt;=1E9,"GB",IF(ABS(AK55)&gt;=1E6,"MB",IF(ABS(AK55)&gt;=1E3,"KB","bytes")))))="",""," "&amp;(IF(ABS(AK55)&gt;=1E12,"TB",IF(ABS(AK55)&gt;=1E9,"GB",IF(ABS(AK55)&gt;=1E6,"MB",IF(ABS(AK55)&gt;=1E3,"KB","bytes"))))))</f>
        <v>132.383 MB</v>
      </c>
      <c r="H55" s="4" t="s">
        <v>390</v>
      </c>
      <c r="AG55" s="32">
        <f>VocabSize*HiddenSize</f>
        <v>529530880</v>
      </c>
      <c r="AH55" s="32">
        <f>TP1LocalVocab*HiddenSize</f>
        <v>529530880.0</v>
      </c>
      <c r="AI55" s="32">
        <f>TP8LocalVocab*HiddenSize</f>
        <v>66191360.0</v>
      </c>
      <c r="AJ55" s="32">
        <f>TP1LocalVocab*HiddenSize*BF16Bytes</f>
        <v>1059061760.0</v>
      </c>
      <c r="AK55" s="32">
        <f>TP8LocalVocab*HiddenSize*BF16Bytes</f>
        <v>132382720.0</v>
      </c>
    </row>
    <row r="56" spans="1:41">
      <c r="A56" s="4" t="s">
        <v>254</v>
      </c>
      <c r="B56" s="4" t="s">
        <v>258</v>
      </c>
      <c r="C56" s="31" t="str">
        <f>TEXT(IF(ABS(AG56)&gt;=1E12,AG56/1E12,IF(ABS(AG56)&gt;=1E9,AG56/1E9,IF(ABS(AG56)&gt;=1E6,AG56/1E6,IF(ABS(AG56)&gt;=1E3,AG56/1E3,AG56)))),"#,##0.000")&amp;IF((IF(ABS(AG56)&gt;=1E12,"T",IF(ABS(AG56)&gt;=1E9,"G",IF(ABS(AG56)&gt;=1E6,"M",IF(ABS(AG56)&gt;=1E3,"K","")))))="",""," "&amp;(IF(ABS(AG56)&gt;=1E12,"T",IF(ABS(AG56)&gt;=1E9,"G",IF(ABS(AG56)&gt;=1E6,"M",IF(ABS(AG56)&gt;=1E3,"K",""))))))</f>
        <v>529.531 M</v>
      </c>
      <c r="D56" s="31" t="str">
        <f>TEXT(IF(ABS(AH56)&gt;=1E12,AH56/1E12,IF(ABS(AH56)&gt;=1E9,AH56/1E9,IF(ABS(AH56)&gt;=1E6,AH56/1E6,IF(ABS(AH56)&gt;=1E3,AH56/1E3,AH56)))),"#,##0.000")&amp;IF((IF(ABS(AH56)&gt;=1E12,"T",IF(ABS(AH56)&gt;=1E9,"G",IF(ABS(AH56)&gt;=1E6,"M",IF(ABS(AH56)&gt;=1E3,"K","")))))="",""," "&amp;(IF(ABS(AH56)&gt;=1E12,"T",IF(ABS(AH56)&gt;=1E9,"G",IF(ABS(AH56)&gt;=1E6,"M",IF(ABS(AH56)&gt;=1E3,"K",""))))))</f>
        <v>529.531 M</v>
      </c>
      <c r="E56" s="31" t="str">
        <f>TEXT(IF(ABS(AI56)&gt;=1E12,AI56/1E12,IF(ABS(AI56)&gt;=1E9,AI56/1E9,IF(ABS(AI56)&gt;=1E6,AI56/1E6,IF(ABS(AI56)&gt;=1E3,AI56/1E3,AI56)))),"#,##0.000")&amp;IF((IF(ABS(AI56)&gt;=1E12,"T",IF(ABS(AI56)&gt;=1E9,"G",IF(ABS(AI56)&gt;=1E6,"M",IF(ABS(AI56)&gt;=1E3,"K","")))))="",""," "&amp;(IF(ABS(AI56)&gt;=1E12,"T",IF(ABS(AI56)&gt;=1E9,"G",IF(ABS(AI56)&gt;=1E6,"M",IF(ABS(AI56)&gt;=1E3,"K",""))))))</f>
        <v>66.191 M</v>
      </c>
      <c r="F56" s="31" t="str">
        <f>TEXT(IF(ABS(AJ56)&gt;=1E12,AJ56/1E12,IF(ABS(AJ56)&gt;=1E9,AJ56/1E9,IF(ABS(AJ56)&gt;=1E6,AJ56/1E6,IF(ABS(AJ56)&gt;=1E3,AJ56/1E3,AJ56)))),"#,##0.000")&amp;IF((IF(ABS(AJ56)&gt;=1E12,"TB",IF(ABS(AJ56)&gt;=1E9,"GB",IF(ABS(AJ56)&gt;=1E6,"MB",IF(ABS(AJ56)&gt;=1E3,"KB","bytes")))))="",""," "&amp;(IF(ABS(AJ56)&gt;=1E12,"TB",IF(ABS(AJ56)&gt;=1E9,"GB",IF(ABS(AJ56)&gt;=1E6,"MB",IF(ABS(AJ56)&gt;=1E3,"KB","bytes"))))))</f>
        <v>2.118 GB</v>
      </c>
      <c r="G56" s="31" t="str">
        <f>TEXT(IF(ABS(AK56)&gt;=1E12,AK56/1E12,IF(ABS(AK56)&gt;=1E9,AK56/1E9,IF(ABS(AK56)&gt;=1E6,AK56/1E6,IF(ABS(AK56)&gt;=1E3,AK56/1E3,AK56)))),"#,##0.000")&amp;IF((IF(ABS(AK56)&gt;=1E12,"TB",IF(ABS(AK56)&gt;=1E9,"GB",IF(ABS(AK56)&gt;=1E6,"MB",IF(ABS(AK56)&gt;=1E3,"KB","bytes")))))="",""," "&amp;(IF(ABS(AK56)&gt;=1E12,"TB",IF(ABS(AK56)&gt;=1E9,"GB",IF(ABS(AK56)&gt;=1E6,"MB",IF(ABS(AK56)&gt;=1E3,"KB","bytes"))))))</f>
        <v>264.765 MB</v>
      </c>
      <c r="H56" s="4" t="s">
        <v>391</v>
      </c>
      <c r="AG56" s="32">
        <f>VocabSize*HiddenSize</f>
        <v>529530880</v>
      </c>
      <c r="AH56" s="32">
        <f>TP1LocalVocab*HiddenSize</f>
        <v>529530880.0</v>
      </c>
      <c r="AI56" s="32">
        <f>TP8LocalVocab*HiddenSize</f>
        <v>66191360.0</v>
      </c>
      <c r="AJ56" s="32">
        <f>TP1LocalVocab*HiddenSize*FP32Bytes</f>
        <v>2118123520.0</v>
      </c>
      <c r="AK56" s="32">
        <f>TP8LocalVocab*HiddenSize*FP32Bytes</f>
        <v>264765440.0</v>
      </c>
    </row>
    <row r="57" spans="1:41">
      <c r="A57" s="4" t="s">
        <v>254</v>
      </c>
      <c r="B57" s="4" t="s">
        <v>392</v>
      </c>
      <c r="C57" s="31" t="str">
        <f>TEXT(IF(ABS(AG57)&gt;=1E12,AG57/1E12,IF(ABS(AG57)&gt;=1E9,AG57/1E9,IF(ABS(AG57)&gt;=1E6,AG57/1E6,IF(ABS(AG57)&gt;=1E3,AG57/1E3,AG57)))),"#,##0.000")&amp;IF((IF(ABS(AG57)&gt;=1E12,"T",IF(ABS(AG57)&gt;=1E9,"G",IF(ABS(AG57)&gt;=1E6,"M",IF(ABS(AG57)&gt;=1E3,"K","")))))="",""," "&amp;(IF(ABS(AG57)&gt;=1E12,"T",IF(ABS(AG57)&gt;=1E9,"G",IF(ABS(AG57)&gt;=1E6,"M",IF(ABS(AG57)&gt;=1E3,"K",""))))))</f>
        <v>33.819 M</v>
      </c>
      <c r="D57" s="31" t="str">
        <f>TEXT(IF(ABS(AH57)&gt;=1E12,AH57/1E12,IF(ABS(AH57)&gt;=1E9,AH57/1E9,IF(ABS(AH57)&gt;=1E6,AH57/1E6,IF(ABS(AH57)&gt;=1E3,AH57/1E3,AH57)))),"#,##0.000")&amp;IF((IF(ABS(AH57)&gt;=1E12,"T",IF(ABS(AH57)&gt;=1E9,"G",IF(ABS(AH57)&gt;=1E6,"M",IF(ABS(AH57)&gt;=1E3,"K","")))))="",""," "&amp;(IF(ABS(AH57)&gt;=1E12,"T",IF(ABS(AH57)&gt;=1E9,"G",IF(ABS(AH57)&gt;=1E6,"M",IF(ABS(AH57)&gt;=1E3,"K",""))))))</f>
        <v>33.819 M</v>
      </c>
      <c r="E57" s="31" t="str">
        <f>TEXT(IF(ABS(AI57)&gt;=1E12,AI57/1E12,IF(ABS(AI57)&gt;=1E9,AI57/1E9,IF(ABS(AI57)&gt;=1E6,AI57/1E6,IF(ABS(AI57)&gt;=1E3,AI57/1E3,AI57)))),"#,##0.000")&amp;IF((IF(ABS(AI57)&gt;=1E12,"T",IF(ABS(AI57)&gt;=1E9,"G",IF(ABS(AI57)&gt;=1E6,"M",IF(ABS(AI57)&gt;=1E3,"K","")))))="",""," "&amp;(IF(ABS(AI57)&gt;=1E12,"T",IF(ABS(AI57)&gt;=1E9,"G",IF(ABS(AI57)&gt;=1E6,"M",IF(ABS(AI57)&gt;=1E3,"K",""))))))</f>
        <v>33.819 M</v>
      </c>
      <c r="F57" s="31" t="str">
        <f>TEXT(IF(ABS(AJ57)&gt;=1E12,AJ57/1E12,IF(ABS(AJ57)&gt;=1E9,AJ57/1E9,IF(ABS(AJ57)&gt;=1E6,AJ57/1E6,IF(ABS(AJ57)&gt;=1E3,AJ57/1E3,AJ57)))),"#,##0.000")&amp;IF((IF(ABS(AJ57)&gt;=1E12,"TB",IF(ABS(AJ57)&gt;=1E9,"GB",IF(ABS(AJ57)&gt;=1E6,"MB",IF(ABS(AJ57)&gt;=1E3,"KB","bytes")))))="",""," "&amp;(IF(ABS(AJ57)&gt;=1E12,"TB",IF(ABS(AJ57)&gt;=1E9,"GB",IF(ABS(AJ57)&gt;=1E6,"MB",IF(ABS(AJ57)&gt;=1E3,"KB","bytes"))))))</f>
        <v>135.276 MB</v>
      </c>
      <c r="G57" s="31" t="str">
        <f>TEXT(IF(ABS(AK57)&gt;=1E12,AK57/1E12,IF(ABS(AK57)&gt;=1E9,AK57/1E9,IF(ABS(AK57)&gt;=1E6,AK57/1E6,IF(ABS(AK57)&gt;=1E3,AK57/1E3,AK57)))),"#,##0.000")&amp;IF((IF(ABS(AK57)&gt;=1E12,"TB",IF(ABS(AK57)&gt;=1E9,"GB",IF(ABS(AK57)&gt;=1E6,"MB",IF(ABS(AK57)&gt;=1E3,"KB","bytes")))))="",""," "&amp;(IF(ABS(AK57)&gt;=1E12,"TB",IF(ABS(AK57)&gt;=1E9,"GB",IF(ABS(AK57)&gt;=1E6,"MB",IF(ABS(AK57)&gt;=1E3,"KB","bytes"))))))</f>
        <v>135.276 MB</v>
      </c>
      <c r="H57" s="4" t="s">
        <v>393</v>
      </c>
      <c r="AG57" s="32">
        <f>TotalLayers*2*(((2+HCSlots)*HCSlots)*HCSlots*HiddenSize+((2+HCSlots)*HCSlots)+3)</f>
        <v>33818898</v>
      </c>
      <c r="AH57" s="32">
        <f>TotalLayers*2*(((2+HCSlots)*HCSlots)*HCSlots*HiddenSize+((2+HCSlots)*HCSlots)+3)</f>
        <v>33818898</v>
      </c>
      <c r="AI57" s="32">
        <f>TotalLayers*2*(((2+HCSlots)*HCSlots)*HCSlots*HiddenSize+((2+HCSlots)*HCSlots)+3)</f>
        <v>33818898</v>
      </c>
      <c r="AJ57" s="32">
        <f>(TotalLayers*2*(((2+HCSlots)*HCSlots)*HCSlots*HiddenSize+((2+HCSlots)*HCSlots)+3))*FP32Bytes</f>
        <v>135275592</v>
      </c>
      <c r="AK57" s="32">
        <f>(TotalLayers*2*(((2+HCSlots)*HCSlots)*HCSlots*HiddenSize+((2+HCSlots)*HCSlots)+3))*FP32Bytes</f>
        <v>135275592</v>
      </c>
    </row>
    <row r="58" spans="1:41">
      <c r="A58" s="4" t="s">
        <v>254</v>
      </c>
      <c r="B58" s="4" t="s">
        <v>394</v>
      </c>
      <c r="C58" s="31" t="str">
        <f>TEXT(IF(ABS(AG58)&gt;=1E12,AG58/1E12,IF(ABS(AG58)&gt;=1E9,AG58/1E9,IF(ABS(AG58)&gt;=1E6,AG58/1E6,IF(ABS(AG58)&gt;=1E3,AG58/1E3,AG58)))),"#,##0.000")&amp;IF((IF(ABS(AG58)&gt;=1E12,"T",IF(ABS(AG58)&gt;=1E9,"G",IF(ABS(AG58)&gt;=1E6,"M",IF(ABS(AG58)&gt;=1E3,"K","")))))="",""," "&amp;(IF(ABS(AG58)&gt;=1E12,"T",IF(ABS(AG58)&gt;=1E9,"G",IF(ABS(AG58)&gt;=1E6,"M",IF(ABS(AG58)&gt;=1E3,"K",""))))))</f>
        <v>421.056 K</v>
      </c>
      <c r="D58" s="31" t="str">
        <f>TEXT(IF(ABS(AH58)&gt;=1E12,AH58/1E12,IF(ABS(AH58)&gt;=1E9,AH58/1E9,IF(ABS(AH58)&gt;=1E6,AH58/1E6,IF(ABS(AH58)&gt;=1E3,AH58/1E3,AH58)))),"#,##0.000")&amp;IF((IF(ABS(AH58)&gt;=1E12,"T",IF(ABS(AH58)&gt;=1E9,"G",IF(ABS(AH58)&gt;=1E6,"M",IF(ABS(AH58)&gt;=1E3,"K","")))))="",""," "&amp;(IF(ABS(AH58)&gt;=1E12,"T",IF(ABS(AH58)&gt;=1E9,"G",IF(ABS(AH58)&gt;=1E6,"M",IF(ABS(AH58)&gt;=1E3,"K",""))))))</f>
        <v>421.056 K</v>
      </c>
      <c r="E58" s="31" t="str">
        <f>TEXT(IF(ABS(AI58)&gt;=1E12,AI58/1E12,IF(ABS(AI58)&gt;=1E9,AI58/1E9,IF(ABS(AI58)&gt;=1E6,AI58/1E6,IF(ABS(AI58)&gt;=1E3,AI58/1E3,AI58)))),"#,##0.000")&amp;IF((IF(ABS(AI58)&gt;=1E12,"T",IF(ABS(AI58)&gt;=1E9,"G",IF(ABS(AI58)&gt;=1E6,"M",IF(ABS(AI58)&gt;=1E3,"K","")))))="",""," "&amp;(IF(ABS(AI58)&gt;=1E12,"T",IF(ABS(AI58)&gt;=1E9,"G",IF(ABS(AI58)&gt;=1E6,"M",IF(ABS(AI58)&gt;=1E3,"K",""))))))</f>
        <v>418.648 K</v>
      </c>
      <c r="F58" s="31" t="str">
        <f>TEXT(IF(ABS(AJ58)&gt;=1E12,AJ58/1E12,IF(ABS(AJ58)&gt;=1E9,AJ58/1E9,IF(ABS(AJ58)&gt;=1E6,AJ58/1E6,IF(ABS(AJ58)&gt;=1E3,AJ58/1E3,AJ58)))),"#,##0.000")&amp;IF((IF(ABS(AJ58)&gt;=1E12,"TB",IF(ABS(AJ58)&gt;=1E9,"GB",IF(ABS(AJ58)&gt;=1E6,"MB",IF(ABS(AJ58)&gt;=1E3,"KB","bytes")))))="",""," "&amp;(IF(ABS(AJ58)&gt;=1E12,"TB",IF(ABS(AJ58)&gt;=1E9,"GB",IF(ABS(AJ58)&gt;=1E6,"MB",IF(ABS(AJ58)&gt;=1E3,"KB","bytes"))))))</f>
        <v>1.684 MB</v>
      </c>
      <c r="G58" s="31" t="str">
        <f>TEXT(IF(ABS(AK58)&gt;=1E12,AK58/1E12,IF(ABS(AK58)&gt;=1E9,AK58/1E9,IF(ABS(AK58)&gt;=1E6,AK58/1E6,IF(ABS(AK58)&gt;=1E3,AK58/1E3,AK58)))),"#,##0.000")&amp;IF((IF(ABS(AK58)&gt;=1E12,"TB",IF(ABS(AK58)&gt;=1E9,"GB",IF(ABS(AK58)&gt;=1E6,"MB",IF(ABS(AK58)&gt;=1E3,"KB","bytes")))))="",""," "&amp;(IF(ABS(AK58)&gt;=1E12,"TB",IF(ABS(AK58)&gt;=1E9,"GB",IF(ABS(AK58)&gt;=1E6,"MB",IF(ABS(AK58)&gt;=1E3,"KB","bytes"))))))</f>
        <v>1.675 MB</v>
      </c>
      <c r="H58" s="4" t="s">
        <v>395</v>
      </c>
      <c r="AG58" s="32">
        <f>TotalLayers*(2*HiddenSize+QLoraRank+HeadDim+NumHeads)</f>
        <v>421056</v>
      </c>
      <c r="AH58" s="32">
        <f>TotalLayers*(2*HiddenSize+QLoraRank+HeadDim+TP1LocalHeads)</f>
        <v>421056.0</v>
      </c>
      <c r="AI58" s="32">
        <f>TotalLayers*(2*HiddenSize+QLoraRank+HeadDim+TP8LocalHeads)</f>
        <v>418648.0</v>
      </c>
      <c r="AJ58" s="32">
        <f>(TotalLayers*(2*HiddenSize+QLoraRank+HeadDim+TP1LocalHeads))*FP32Bytes</f>
        <v>1684224</v>
      </c>
      <c r="AK58" s="32">
        <f>(TotalLayers*(2*HiddenSize+QLoraRank+HeadDim+TP8LocalHeads))*FP32Bytes</f>
        <v>1674592</v>
      </c>
    </row>
    <row r="59" spans="1:41">
      <c r="A59" s="4" t="s">
        <v>254</v>
      </c>
      <c r="B59" s="4" t="s">
        <v>396</v>
      </c>
      <c r="C59" s="31" t="str">
        <f>TEXT(IF(ABS(AG59)&gt;=1E12,AG59/1E12,IF(ABS(AG59)&gt;=1E9,AG59/1E9,IF(ABS(AG59)&gt;=1E6,AG59/1E6,IF(ABS(AG59)&gt;=1E3,AG59/1E3,AG59)))),"#,##0.000")&amp;IF((IF(ABS(AG59)&gt;=1E12,"T",IF(ABS(AG59)&gt;=1E9,"G",IF(ABS(AG59)&gt;=1E6,"M",IF(ABS(AG59)&gt;=1E3,"K","")))))="",""," "&amp;(IF(ABS(AG59)&gt;=1E12,"T",IF(ABS(AG59)&gt;=1E9,"G",IF(ABS(AG59)&gt;=1E6,"M",IF(ABS(AG59)&gt;=1E3,"K",""))))))</f>
        <v>69.637 K</v>
      </c>
      <c r="D59" s="31" t="str">
        <f>TEXT(IF(ABS(AH59)&gt;=1E12,AH59/1E12,IF(ABS(AH59)&gt;=1E9,AH59/1E9,IF(ABS(AH59)&gt;=1E6,AH59/1E6,IF(ABS(AH59)&gt;=1E3,AH59/1E3,AH59)))),"#,##0.000")&amp;IF((IF(ABS(AH59)&gt;=1E12,"T",IF(ABS(AH59)&gt;=1E9,"G",IF(ABS(AH59)&gt;=1E6,"M",IF(ABS(AH59)&gt;=1E3,"K","")))))="",""," "&amp;(IF(ABS(AH59)&gt;=1E12,"T",IF(ABS(AH59)&gt;=1E9,"G",IF(ABS(AH59)&gt;=1E6,"M",IF(ABS(AH59)&gt;=1E3,"K",""))))))</f>
        <v>69.637 K</v>
      </c>
      <c r="E59" s="31" t="str">
        <f>TEXT(IF(ABS(AI59)&gt;=1E12,AI59/1E12,IF(ABS(AI59)&gt;=1E9,AI59/1E9,IF(ABS(AI59)&gt;=1E6,AI59/1E6,IF(ABS(AI59)&gt;=1E3,AI59/1E3,AI59)))),"#,##0.000")&amp;IF((IF(ABS(AI59)&gt;=1E12,"T",IF(ABS(AI59)&gt;=1E9,"G",IF(ABS(AI59)&gt;=1E6,"M",IF(ABS(AI59)&gt;=1E3,"K","")))))="",""," "&amp;(IF(ABS(AI59)&gt;=1E12,"T",IF(ABS(AI59)&gt;=1E9,"G",IF(ABS(AI59)&gt;=1E6,"M",IF(ABS(AI59)&gt;=1E3,"K",""))))))</f>
        <v>69.637 K</v>
      </c>
      <c r="F59" s="31" t="str">
        <f>TEXT(IF(ABS(AJ59)&gt;=1E12,AJ59/1E12,IF(ABS(AJ59)&gt;=1E9,AJ59/1E9,IF(ABS(AJ59)&gt;=1E6,AJ59/1E6,IF(ABS(AJ59)&gt;=1E3,AJ59/1E3,AJ59)))),"#,##0.000")&amp;IF((IF(ABS(AJ59)&gt;=1E12,"TB",IF(ABS(AJ59)&gt;=1E9,"GB",IF(ABS(AJ59)&gt;=1E6,"MB",IF(ABS(AJ59)&gt;=1E3,"KB","bytes")))))="",""," "&amp;(IF(ABS(AJ59)&gt;=1E12,"TB",IF(ABS(AJ59)&gt;=1E9,"GB",IF(ABS(AJ59)&gt;=1E6,"MB",IF(ABS(AJ59)&gt;=1E3,"KB","bytes"))))))</f>
        <v>278.548 KB</v>
      </c>
      <c r="G59" s="31" t="str">
        <f>TEXT(IF(ABS(AK59)&gt;=1E12,AK59/1E12,IF(ABS(AK59)&gt;=1E9,AK59/1E9,IF(ABS(AK59)&gt;=1E6,AK59/1E6,IF(ABS(AK59)&gt;=1E3,AK59/1E3,AK59)))),"#,##0.000")&amp;IF((IF(ABS(AK59)&gt;=1E12,"TB",IF(ABS(AK59)&gt;=1E9,"GB",IF(ABS(AK59)&gt;=1E6,"MB",IF(ABS(AK59)&gt;=1E3,"KB","bytes")))))="",""," "&amp;(IF(ABS(AK59)&gt;=1E12,"TB",IF(ABS(AK59)&gt;=1E9,"GB",IF(ABS(AK59)&gt;=1E6,"MB",IF(ABS(AK59)&gt;=1E3,"KB","bytes"))))))</f>
        <v>278.548 KB</v>
      </c>
      <c r="H59" s="4" t="s">
        <v>397</v>
      </c>
      <c r="AG59" s="32">
        <f>HCSlots*HCSlots*HiddenSize+HCSlots+1+HiddenSize</f>
        <v>69637</v>
      </c>
      <c r="AH59" s="32">
        <f>HCSlots*HCSlots*HiddenSize+HCSlots+1+HiddenSize</f>
        <v>69637</v>
      </c>
      <c r="AI59" s="32">
        <f>HCSlots*HCSlots*HiddenSize+HCSlots+1+HiddenSize</f>
        <v>69637</v>
      </c>
      <c r="AJ59" s="32">
        <f>(HCSlots*HCSlots*HiddenSize+HCSlots+1+HiddenSize)*FP32Bytes</f>
        <v>278548</v>
      </c>
      <c r="AK59" s="32">
        <f>(HCSlots*HCSlots*HiddenSize+HCSlots+1+HiddenSize)*FP32Bytes</f>
        <v>278548</v>
      </c>
    </row>
    <row r="61" spans="1:41">
      <c r="A61" s="30" t="s">
        <v>398</v>
      </c>
      <c r="B61" s="30"/>
      <c r="C61" s="30"/>
      <c r="D61" s="30"/>
      <c r="E61" s="30"/>
    </row>
    <row r="62" spans="1:41">
      <c r="A62" t="s">
        <v>372</v>
      </c>
      <c r="B62" t="s">
        <v>375</v>
      </c>
      <c r="C62" t="s">
        <v>376</v>
      </c>
      <c r="D62" t="s">
        <v>377</v>
      </c>
      <c r="E62" t="s">
        <v>378</v>
      </c>
    </row>
    <row r="63" spans="1:41">
      <c r="A63" s="4" t="s">
        <v>40</v>
      </c>
      <c r="B63" s="31" t="str">
        <f>TEXT(IF(ABS(AL63)&gt;=1E12,AL63/1E12,IF(ABS(AL63)&gt;=1E9,AL63/1E9,IF(ABS(AL63)&gt;=1E6,AL63/1E6,IF(ABS(AL63)&gt;=1E3,AL63/1E3,AL63)))),"#,##0.000")&amp;IF((IF(ABS(AL63)&gt;=1E12,"T",IF(ABS(AL63)&gt;=1E9,"G",IF(ABS(AL63)&gt;=1E6,"M",IF(ABS(AL63)&gt;=1E3,"K","")))))="",""," "&amp;(IF(ABS(AL63)&gt;=1E12,"T",IF(ABS(AL63)&gt;=1E9,"G",IF(ABS(AL63)&gt;=1E6,"M",IF(ABS(AL63)&gt;=1E3,"K",""))))))</f>
        <v>5.086 G</v>
      </c>
      <c r="C63" s="31" t="str">
        <f>TEXT(IF(ABS(AM63)&gt;=1E12,AM63/1E12,IF(ABS(AM63)&gt;=1E9,AM63/1E9,IF(ABS(AM63)&gt;=1E6,AM63/1E6,IF(ABS(AM63)&gt;=1E3,AM63/1E3,AM63)))),"#,##0.000")&amp;IF((IF(ABS(AM63)&gt;=1E12,"T",IF(ABS(AM63)&gt;=1E9,"G",IF(ABS(AM63)&gt;=1E6,"M",IF(ABS(AM63)&gt;=1E3,"K","")))))="",""," "&amp;(IF(ABS(AM63)&gt;=1E12,"T",IF(ABS(AM63)&gt;=1E9,"G",IF(ABS(AM63)&gt;=1E6,"M",IF(ABS(AM63)&gt;=1E3,"K",""))))))</f>
        <v>1.140 G</v>
      </c>
      <c r="D63" s="31" t="str">
        <f>TEXT(IF(ABS(AN63)&gt;=1E12,AN63/1E12,IF(ABS(AN63)&gt;=1E9,AN63/1E9,IF(ABS(AN63)&gt;=1E6,AN63/1E6,IF(ABS(AN63)&gt;=1E3,AN63/1E3,AN63)))),"#,##0.000")&amp;IF((IF(ABS(AN63)&gt;=1E12,"TB",IF(ABS(AN63)&gt;=1E9,"GB",IF(ABS(AN63)&gt;=1E6,"MB",IF(ABS(AN63)&gt;=1E3,"KB","bytes")))))="",""," "&amp;(IF(ABS(AN63)&gt;=1E12,"TB",IF(ABS(AN63)&gt;=1E9,"GB",IF(ABS(AN63)&gt;=1E6,"MB",IF(ABS(AN63)&gt;=1E3,"KB","bytes"))))))</f>
        <v>7.451 GB</v>
      </c>
      <c r="E63" s="31" t="str">
        <f>TEXT(IF(ABS(AO63)&gt;=1E12,AO63/1E12,IF(ABS(AO63)&gt;=1E9,AO63/1E9,IF(ABS(AO63)&gt;=1E6,AO63/1E6,IF(ABS(AO63)&gt;=1E3,AO63/1E3,AO63)))),"#,##0.000")&amp;IF((IF(ABS(AO63)&gt;=1E12,"TB",IF(ABS(AO63)&gt;=1E9,"GB",IF(ABS(AO63)&gt;=1E6,"MB",IF(ABS(AO63)&gt;=1E3,"KB","bytes")))))="",""," "&amp;(IF(ABS(AO63)&gt;=1E12,"TB",IF(ABS(AO63)&gt;=1E9,"GB",IF(ABS(AO63)&gt;=1E6,"MB",IF(ABS(AO63)&gt;=1E3,"KB","bytes"))))))</f>
        <v>2.238 GB</v>
      </c>
      <c r="AL63" s="32">
        <f>SUMIF($A$49:$A$59,"注意力",$AH$49:$AH$59)</f>
        <v>5086249088.0</v>
      </c>
      <c r="AM63" s="32">
        <f>SUMIF($A$49:$A$59,"注意力",$AI$49:$AI$59)</f>
        <v>1139835008.0</v>
      </c>
      <c r="AN63" s="32">
        <f>SUMIF($A$49:$A$59,"注意力",$AJ$49:$AJ$59)</f>
        <v>7451384960</v>
      </c>
      <c r="AO63" s="32">
        <f>SUMIF($A$49:$A$59,"注意力",$AK$49:$AK$59)</f>
        <v>2237504960</v>
      </c>
    </row>
    <row r="64" spans="1:41">
      <c r="A64" s="4" t="s">
        <v>59</v>
      </c>
      <c r="B64" s="31" t="str">
        <f>TEXT(IF(ABS(AL64)&gt;=1E12,AL64/1E12,IF(ABS(AL64)&gt;=1E9,AL64/1E9,IF(ABS(AL64)&gt;=1E6,AL64/1E6,IF(ABS(AL64)&gt;=1E3,AL64/1E3,AL64)))),"#,##0.000")&amp;IF((IF(ABS(AL64)&gt;=1E12,"T",IF(ABS(AL64)&gt;=1E9,"G",IF(ABS(AL64)&gt;=1E6,"M",IF(ABS(AL64)&gt;=1E3,"K","")))))="",""," "&amp;(IF(ABS(AL64)&gt;=1E12,"T",IF(ABS(AL64)&gt;=1E9,"G",IF(ABS(AL64)&gt;=1E6,"M",IF(ABS(AL64)&gt;=1E3,"K",""))))))</f>
        <v>278.155 G</v>
      </c>
      <c r="C64" s="31" t="str">
        <f>TEXT(IF(ABS(AM64)&gt;=1E12,AM64/1E12,IF(ABS(AM64)&gt;=1E9,AM64/1E9,IF(ABS(AM64)&gt;=1E6,AM64/1E6,IF(ABS(AM64)&gt;=1E3,AM64/1E3,AM64)))),"#,##0.000")&amp;IF((IF(ABS(AM64)&gt;=1E12,"T",IF(ABS(AM64)&gt;=1E9,"G",IF(ABS(AM64)&gt;=1E6,"M",IF(ABS(AM64)&gt;=1E3,"K","")))))="",""," "&amp;(IF(ABS(AM64)&gt;=1E12,"T",IF(ABS(AM64)&gt;=1E9,"G",IF(ABS(AM64)&gt;=1E6,"M",IF(ABS(AM64)&gt;=1E3,"K",""))))))</f>
        <v>35.758 G</v>
      </c>
      <c r="D64" s="31" t="str">
        <f>TEXT(IF(ABS(AN64)&gt;=1E12,AN64/1E12,IF(ABS(AN64)&gt;=1E9,AN64/1E9,IF(ABS(AN64)&gt;=1E6,AN64/1E6,IF(ABS(AN64)&gt;=1E3,AN64/1E3,AN64)))),"#,##0.000")&amp;IF((IF(ABS(AN64)&gt;=1E12,"TB",IF(ABS(AN64)&gt;=1E9,"GB",IF(ABS(AN64)&gt;=1E6,"MB",IF(ABS(AN64)&gt;=1E3,"KB","bytes")))))="",""," "&amp;(IF(ABS(AN64)&gt;=1E12,"TB",IF(ABS(AN64)&gt;=1E9,"GB",IF(ABS(AN64)&gt;=1E6,"MB",IF(ABS(AN64)&gt;=1E3,"KB","bytes"))))))</f>
        <v>148.351 GB</v>
      </c>
      <c r="E64" s="31" t="str">
        <f>TEXT(IF(ABS(AO64)&gt;=1E12,AO64/1E12,IF(ABS(AO64)&gt;=1E9,AO64/1E9,IF(ABS(AO64)&gt;=1E6,AO64/1E6,IF(ABS(AO64)&gt;=1E3,AO64/1E3,AO64)))),"#,##0.000")&amp;IF((IF(ABS(AO64)&gt;=1E12,"TB",IF(ABS(AO64)&gt;=1E9,"GB",IF(ABS(AO64)&gt;=1E6,"MB",IF(ABS(AO64)&gt;=1E3,"KB","bytes")))))="",""," "&amp;(IF(ABS(AO64)&gt;=1E12,"TB",IF(ABS(AO64)&gt;=1E9,"GB",IF(ABS(AO64)&gt;=1E6,"MB",IF(ABS(AO64)&gt;=1E3,"KB","bytes"))))))</f>
        <v>19.578 GB</v>
      </c>
      <c r="AL64" s="32">
        <f>SUMIF($A$49:$A$59,"混合专家",$AH$49:$AH$59)</f>
        <v>278154947072.0</v>
      </c>
      <c r="AM64" s="32">
        <f>SUMIF($A$49:$A$59,"混合专家",$AI$49:$AI$59)</f>
        <v>35757730304.0</v>
      </c>
      <c r="AN64" s="32">
        <f>SUMIF($A$49:$A$59,"混合专家",$AJ$49:$AJ$59)</f>
        <v>148351461888.0</v>
      </c>
      <c r="AO64" s="32">
        <f>SUMIF($A$49:$A$59,"混合专家",$AK$49:$AK$59)</f>
        <v>19577940480.0</v>
      </c>
    </row>
    <row r="65" spans="1:43">
      <c r="A65" s="4" t="s">
        <v>254</v>
      </c>
      <c r="B65" s="31" t="str">
        <f>TEXT(IF(ABS(AL65)&gt;=1E12,AL65/1E12,IF(ABS(AL65)&gt;=1E9,AL65/1E9,IF(ABS(AL65)&gt;=1E6,AL65/1E6,IF(ABS(AL65)&gt;=1E3,AL65/1E3,AL65)))),"#,##0.000")&amp;IF((IF(ABS(AL65)&gt;=1E12,"T",IF(ABS(AL65)&gt;=1E9,"G",IF(ABS(AL65)&gt;=1E6,"M",IF(ABS(AL65)&gt;=1E3,"K","")))))="",""," "&amp;(IF(ABS(AL65)&gt;=1E12,"T",IF(ABS(AL65)&gt;=1E9,"G",IF(ABS(AL65)&gt;=1E6,"M",IF(ABS(AL65)&gt;=1E3,"K",""))))))</f>
        <v>1.093 G</v>
      </c>
      <c r="C65" s="31" t="str">
        <f>TEXT(IF(ABS(AM65)&gt;=1E12,AM65/1E12,IF(ABS(AM65)&gt;=1E9,AM65/1E9,IF(ABS(AM65)&gt;=1E6,AM65/1E6,IF(ABS(AM65)&gt;=1E3,AM65/1E3,AM65)))),"#,##0.000")&amp;IF((IF(ABS(AM65)&gt;=1E12,"T",IF(ABS(AM65)&gt;=1E9,"G",IF(ABS(AM65)&gt;=1E6,"M",IF(ABS(AM65)&gt;=1E3,"K","")))))="",""," "&amp;(IF(ABS(AM65)&gt;=1E12,"T",IF(ABS(AM65)&gt;=1E9,"G",IF(ABS(AM65)&gt;=1E6,"M",IF(ABS(AM65)&gt;=1E3,"K",""))))))</f>
        <v>166.690 M</v>
      </c>
      <c r="D65" s="31" t="str">
        <f>TEXT(IF(ABS(AN65)&gt;=1E12,AN65/1E12,IF(ABS(AN65)&gt;=1E9,AN65/1E9,IF(ABS(AN65)&gt;=1E6,AN65/1E6,IF(ABS(AN65)&gt;=1E3,AN65/1E3,AN65)))),"#,##0.000")&amp;IF((IF(ABS(AN65)&gt;=1E12,"TB",IF(ABS(AN65)&gt;=1E9,"GB",IF(ABS(AN65)&gt;=1E6,"MB",IF(ABS(AN65)&gt;=1E3,"KB","bytes")))))="",""," "&amp;(IF(ABS(AN65)&gt;=1E12,"TB",IF(ABS(AN65)&gt;=1E9,"GB",IF(ABS(AN65)&gt;=1E6,"MB",IF(ABS(AN65)&gt;=1E3,"KB","bytes"))))))</f>
        <v>3.314 GB</v>
      </c>
      <c r="E65" s="31" t="str">
        <f>TEXT(IF(ABS(AO65)&gt;=1E12,AO65/1E12,IF(ABS(AO65)&gt;=1E9,AO65/1E9,IF(ABS(AO65)&gt;=1E6,AO65/1E6,IF(ABS(AO65)&gt;=1E3,AO65/1E3,AO65)))),"#,##0.000")&amp;IF((IF(ABS(AO65)&gt;=1E12,"TB",IF(ABS(AO65)&gt;=1E9,"GB",IF(ABS(AO65)&gt;=1E6,"MB",IF(ABS(AO65)&gt;=1E3,"KB","bytes")))))="",""," "&amp;(IF(ABS(AO65)&gt;=1E12,"TB",IF(ABS(AO65)&gt;=1E9,"GB",IF(ABS(AO65)&gt;=1E6,"MB",IF(ABS(AO65)&gt;=1E3,"KB","bytes"))))))</f>
        <v>534.377 MB</v>
      </c>
      <c r="AL65" s="32">
        <f>SUMIF($A$49:$A$59,"其他",$AH$49:$AH$59)</f>
        <v>1093371351.0</v>
      </c>
      <c r="AM65" s="32">
        <f>SUMIF($A$49:$A$59,"其他",$AI$49:$AI$59)</f>
        <v>166689903.0</v>
      </c>
      <c r="AN65" s="32">
        <f>SUMIF($A$49:$A$59,"其他",$AJ$49:$AJ$59)</f>
        <v>3314423644.0</v>
      </c>
      <c r="AO65" s="32">
        <f>SUMIF($A$49:$A$59,"其他",$AK$49:$AK$59)</f>
        <v>534376892.0</v>
      </c>
    </row>
    <row r="66" spans="1:43">
      <c r="A66" s="33" t="s">
        <v>399</v>
      </c>
      <c r="B66" s="33" t="str">
        <f>TEXT(IF(ABS(AL66)&gt;=1E12,AL66/1E12,IF(ABS(AL66)&gt;=1E9,AL66/1E9,IF(ABS(AL66)&gt;=1E6,AL66/1E6,IF(ABS(AL66)&gt;=1E3,AL66/1E3,AL66)))),"#,##0.000")&amp;IF((IF(ABS(AL66)&gt;=1E12,"T",IF(ABS(AL66)&gt;=1E9,"G",IF(ABS(AL66)&gt;=1E6,"M",IF(ABS(AL66)&gt;=1E3,"K","")))))="",""," "&amp;(IF(ABS(AL66)&gt;=1E12,"T",IF(ABS(AL66)&gt;=1E9,"G",IF(ABS(AL66)&gt;=1E6,"M",IF(ABS(AL66)&gt;=1E3,"K",""))))))</f>
        <v>284.335 G</v>
      </c>
      <c r="C66" s="33" t="str">
        <f>TEXT(IF(ABS(AM66)&gt;=1E12,AM66/1E12,IF(ABS(AM66)&gt;=1E9,AM66/1E9,IF(ABS(AM66)&gt;=1E6,AM66/1E6,IF(ABS(AM66)&gt;=1E3,AM66/1E3,AM66)))),"#,##0.000")&amp;IF((IF(ABS(AM66)&gt;=1E12,"T",IF(ABS(AM66)&gt;=1E9,"G",IF(ABS(AM66)&gt;=1E6,"M",IF(ABS(AM66)&gt;=1E3,"K","")))))="",""," "&amp;(IF(ABS(AM66)&gt;=1E12,"T",IF(ABS(AM66)&gt;=1E9,"G",IF(ABS(AM66)&gt;=1E6,"M",IF(ABS(AM66)&gt;=1E3,"K",""))))))</f>
        <v>37.064 G</v>
      </c>
      <c r="D66" s="33" t="str">
        <f>TEXT(IF(ABS(AN66)&gt;=1E12,AN66/1E12,IF(ABS(AN66)&gt;=1E9,AN66/1E9,IF(ABS(AN66)&gt;=1E6,AN66/1E6,IF(ABS(AN66)&gt;=1E3,AN66/1E3,AN66)))),"#,##0.000")&amp;IF((IF(ABS(AN66)&gt;=1E12,"TB",IF(ABS(AN66)&gt;=1E9,"GB",IF(ABS(AN66)&gt;=1E6,"MB",IF(ABS(AN66)&gt;=1E3,"KB","bytes")))))="",""," "&amp;(IF(ABS(AN66)&gt;=1E12,"TB",IF(ABS(AN66)&gt;=1E9,"GB",IF(ABS(AN66)&gt;=1E6,"MB",IF(ABS(AN66)&gt;=1E3,"KB","bytes"))))))</f>
        <v>159.117 GB</v>
      </c>
      <c r="E66" s="33" t="str">
        <f>TEXT(IF(ABS(AO66)&gt;=1E12,AO66/1E12,IF(ABS(AO66)&gt;=1E9,AO66/1E9,IF(ABS(AO66)&gt;=1E6,AO66/1E6,IF(ABS(AO66)&gt;=1E3,AO66/1E3,AO66)))),"#,##0.000")&amp;IF((IF(ABS(AO66)&gt;=1E12,"TB",IF(ABS(AO66)&gt;=1E9,"GB",IF(ABS(AO66)&gt;=1E6,"MB",IF(ABS(AO66)&gt;=1E3,"KB","bytes")))))="",""," "&amp;(IF(ABS(AO66)&gt;=1E12,"TB",IF(ABS(AO66)&gt;=1E9,"GB",IF(ABS(AO66)&gt;=1E6,"MB",IF(ABS(AO66)&gt;=1E3,"KB","bytes"))))))</f>
        <v>22.350 GB</v>
      </c>
      <c r="AL66" s="32">
        <f>SUM($AH$49:$AH$59)</f>
        <v>284334567511.0</v>
      </c>
      <c r="AM66" s="32">
        <f>SUM($AI$49:$AI$59)</f>
        <v>37064255215.0</v>
      </c>
      <c r="AN66" s="32">
        <f>SUM($AJ$49:$AJ$59)</f>
        <v>159117270492.0</v>
      </c>
      <c r="AO66" s="32">
        <f>SUM($AK$49:$AK$59)</f>
        <v>22349822332.0</v>
      </c>
    </row>
    <row r="68" spans="1:43">
      <c r="A68" s="30" t="s">
        <v>400</v>
      </c>
      <c r="B68" s="30"/>
      <c r="C68" s="30"/>
      <c r="D68" s="30"/>
    </row>
    <row r="69" spans="1:43">
      <c r="A69" t="s">
        <v>401</v>
      </c>
      <c r="B69" t="s">
        <v>402</v>
      </c>
      <c r="C69" t="s">
        <v>403</v>
      </c>
      <c r="D69" t="s">
        <v>6</v>
      </c>
    </row>
    <row r="70" spans="1:43">
      <c r="A70" s="4" t="s">
        <v>404</v>
      </c>
      <c r="B70" s="31" t="str">
        <f>TEXT(IF(ABS(AP70)&gt;=1E12,AP70/1E12,IF(ABS(AP70)&gt;=1E9,AP70/1E9,IF(ABS(AP70)&gt;=1E6,AP70/1E6,IF(ABS(AP70)&gt;=1E3,AP70/1E3,AP70)))),"#,##0.000")&amp;IF((IF(ABS(AP70)&gt;=1E12,"TB",IF(ABS(AP70)&gt;=1E9,"GB",IF(ABS(AP70)&gt;=1E6,"MB",IF(ABS(AP70)&gt;=1E3,"KB","bytes")))))="",""," "&amp;(IF(ABS(AP70)&gt;=1E12,"TB",IF(ABS(AP70)&gt;=1E9,"GB",IF(ABS(AP70)&gt;=1E6,"MB",IF(ABS(AP70)&gt;=1E3,"KB","bytes"))))))</f>
        <v>50.987 MB</v>
      </c>
      <c r="C70" s="31" t="str">
        <f>TEXT(IF(ABS(AQ70)&gt;=1E12,AQ70/1E12,IF(ABS(AQ70)&gt;=1E9,AQ70/1E9,IF(ABS(AQ70)&gt;=1E6,AQ70/1E6,IF(ABS(AQ70)&gt;=1E3,AQ70/1E3,AQ70)))),"#,##0.000")&amp;IF((IF(ABS(AQ70)&gt;=1E12,"TB",IF(ABS(AQ70)&gt;=1E9,"GB",IF(ABS(AQ70)&gt;=1E6,"MB",IF(ABS(AQ70)&gt;=1E3,"KB","bytes")))))="",""," "&amp;(IF(ABS(AQ70)&gt;=1E12,"TB",IF(ABS(AQ70)&gt;=1E9,"GB",IF(ABS(AQ70)&gt;=1E6,"MB",IF(ABS(AQ70)&gt;=1E3,"KB","bytes"))))))</f>
        <v>50.987 MB</v>
      </c>
      <c r="D70" s="4" t="s">
        <v>405</v>
      </c>
      <c r="AP70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AQ70" s="32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71" spans="1:43">
      <c r="A71" s="4" t="s">
        <v>406</v>
      </c>
      <c r="B71" s="31" t="str">
        <f>TEXT(IF(ABS(AP71)&gt;=1E12,AP71/1E12,IF(ABS(AP71)&gt;=1E9,AP71/1E9,IF(ABS(AP71)&gt;=1E6,AP71/1E6,IF(ABS(AP71)&gt;=1E3,AP71/1E3,AP71)))),"#,##0.000")&amp;IF((IF(ABS(AP71)&gt;=1E12,"TB",IF(ABS(AP71)&gt;=1E9,"GB",IF(ABS(AP71)&gt;=1E6,"MB",IF(ABS(AP71)&gt;=1E3,"KB","bytes")))))="",""," "&amp;(IF(ABS(AP71)&gt;=1E12,"TB",IF(ABS(AP71)&gt;=1E9,"GB",IF(ABS(AP71)&gt;=1E6,"MB",IF(ABS(AP71)&gt;=1E3,"KB","bytes"))))))</f>
        <v>11.010 MB</v>
      </c>
      <c r="C71" s="31" t="str">
        <f>TEXT(IF(ABS(AQ71)&gt;=1E12,AQ71/1E12,IF(ABS(AQ71)&gt;=1E9,AQ71/1E9,IF(ABS(AQ71)&gt;=1E6,AQ71/1E6,IF(ABS(AQ71)&gt;=1E3,AQ71/1E3,AQ71)))),"#,##0.000")&amp;IF((IF(ABS(AQ71)&gt;=1E12,"TB",IF(ABS(AQ71)&gt;=1E9,"GB",IF(ABS(AQ71)&gt;=1E6,"MB",IF(ABS(AQ71)&gt;=1E3,"KB","bytes")))))="",""," "&amp;(IF(ABS(AQ71)&gt;=1E12,"TB",IF(ABS(AQ71)&gt;=1E9,"GB",IF(ABS(AQ71)&gt;=1E6,"MB",IF(ABS(AQ71)&gt;=1E3,"KB","bytes"))))))</f>
        <v>11.010 MB</v>
      </c>
      <c r="D71" s="4" t="s">
        <v>407</v>
      </c>
      <c r="AP71" s="32">
        <f>PrefillBatch*ShortLayers*INT(PrefillSequence/ShortRatio)*IndexHeadDim*BF16Bytes</f>
        <v>11010048</v>
      </c>
      <c r="AQ71" s="32">
        <f>PrefillBatch*ShortLayers*INT(PrefillSequence/ShortRatio)*IndexHeadDim*BF16Bytes</f>
        <v>11010048</v>
      </c>
    </row>
    <row r="72" spans="1:43">
      <c r="A72" s="4" t="s">
        <v>408</v>
      </c>
      <c r="B72" s="31" t="str">
        <f>TEXT(IF(ABS(AP72)&gt;=1E12,AP72/1E12,IF(ABS(AP72)&gt;=1E9,AP72/1E9,IF(ABS(AP72)&gt;=1E6,AP72/1E6,IF(ABS(AP72)&gt;=1E3,AP72/1E3,AP72)))),"#,##0.000")&amp;IF((IF(ABS(AP72)&gt;=1E12,"TB",IF(ABS(AP72)&gt;=1E9,"GB",IF(ABS(AP72)&gt;=1E6,"MB",IF(ABS(AP72)&gt;=1E3,"KB","bytes")))))="",""," "&amp;(IF(ABS(AP72)&gt;=1E12,"TB",IF(ABS(AP72)&gt;=1E9,"GB",IF(ABS(AP72)&gt;=1E6,"MB",IF(ABS(AP72)&gt;=1E3,"KB","bytes"))))))</f>
        <v>12.206 MB</v>
      </c>
      <c r="C72" s="31" t="str">
        <f>TEXT(IF(ABS(AQ72)&gt;=1E12,AQ72/1E12,IF(ABS(AQ72)&gt;=1E9,AQ72/1E9,IF(ABS(AQ72)&gt;=1E6,AQ72/1E6,IF(ABS(AQ72)&gt;=1E3,AQ72/1E3,AQ72)))),"#,##0.000")&amp;IF((IF(ABS(AQ72)&gt;=1E12,"TB",IF(ABS(AQ72)&gt;=1E9,"GB",IF(ABS(AQ72)&gt;=1E6,"MB",IF(ABS(AQ72)&gt;=1E3,"KB","bytes")))))="",""," "&amp;(IF(ABS(AQ72)&gt;=1E12,"TB",IF(ABS(AQ72)&gt;=1E9,"GB",IF(ABS(AQ72)&gt;=1E6,"MB",IF(ABS(AQ72)&gt;=1E3,"KB","bytes"))))))</f>
        <v>12.206 MB</v>
      </c>
      <c r="D72" s="4" t="s">
        <v>409</v>
      </c>
      <c r="AP72" s="32">
        <f>PrefillBatch*FP32Bytes*(ShortLayers*2*(2*ShortRatio)*(2*HeadDim)+LongLayers*2*LongRatio*HeadDim+ShortLayers*2*(2*ShortRatio)*(2*IndexHeadDim))</f>
        <v>12206080</v>
      </c>
      <c r="AQ72" s="32">
        <f>PrefillBatch*FP32Bytes*(ShortLayers*2*(2*ShortRatio)*(2*HeadDim)+LongLayers*2*LongRatio*HeadDim+ShortLayers*2*(2*ShortRatio)*(2*IndexHeadDim))</f>
        <v>12206080</v>
      </c>
    </row>
    <row r="73" spans="1:43">
      <c r="A73" s="4" t="s">
        <v>410</v>
      </c>
      <c r="B73" s="31" t="str">
        <f>TEXT(IF(ABS(AP73)&gt;=1E12,AP73/1E12,IF(ABS(AP73)&gt;=1E9,AP73/1E9,IF(ABS(AP73)&gt;=1E6,AP73/1E6,IF(ABS(AP73)&gt;=1E3,AP73/1E3,AP73)))),"#,##0.000")&amp;IF((IF(ABS(AP73)&gt;=1E12,"TB",IF(ABS(AP73)&gt;=1E9,"GB",IF(ABS(AP73)&gt;=1E6,"MB",IF(ABS(AP73)&gt;=1E3,"KB","bytes")))))="",""," "&amp;(IF(ABS(AP73)&gt;=1E12,"TB",IF(ABS(AP73)&gt;=1E9,"GB",IF(ABS(AP73)&gt;=1E6,"MB",IF(ABS(AP73)&gt;=1E3,"KB","bytes"))))))</f>
        <v>7.232 GB</v>
      </c>
      <c r="C73" s="31" t="str">
        <f>TEXT(IF(ABS(AQ73)&gt;=1E12,AQ73/1E12,IF(ABS(AQ73)&gt;=1E9,AQ73/1E9,IF(ABS(AQ73)&gt;=1E6,AQ73/1E6,IF(ABS(AQ73)&gt;=1E3,AQ73/1E3,AQ73)))),"#,##0.000")&amp;IF((IF(ABS(AQ73)&gt;=1E12,"TB",IF(ABS(AQ73)&gt;=1E9,"GB",IF(ABS(AQ73)&gt;=1E6,"MB",IF(ABS(AQ73)&gt;=1E3,"KB","bytes")))))="",""," "&amp;(IF(ABS(AQ73)&gt;=1E12,"TB",IF(ABS(AQ73)&gt;=1E9,"GB",IF(ABS(AQ73)&gt;=1E6,"MB",IF(ABS(AQ73)&gt;=1E3,"KB","bytes"))))))</f>
        <v>7.232 GB</v>
      </c>
      <c r="D73" s="4" t="s">
        <v>411</v>
      </c>
      <c r="AP73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AQ73" s="32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76" spans="1:43">
      <c r="A76" s="30" t="s">
        <v>412</v>
      </c>
      <c r="B76" s="30"/>
      <c r="C76" s="30"/>
      <c r="D76" s="30"/>
      <c r="E76" s="30"/>
      <c r="F76" s="30"/>
      <c r="G76" s="30"/>
      <c r="H76" s="30"/>
      <c r="I76" s="30"/>
      <c r="J76" s="30"/>
    </row>
    <row r="77" spans="1:43">
      <c r="A77" t="s">
        <v>413</v>
      </c>
      <c r="B77" t="s">
        <v>414</v>
      </c>
      <c r="C77" t="s">
        <v>415</v>
      </c>
      <c r="D77" t="s">
        <v>416</v>
      </c>
      <c r="E77" t="s">
        <v>417</v>
      </c>
      <c r="F77" t="s">
        <v>418</v>
      </c>
      <c r="G77" t="s">
        <v>419</v>
      </c>
      <c r="H77" t="s">
        <v>420</v>
      </c>
      <c r="I77" t="s">
        <v>421</v>
      </c>
      <c r="J77" t="s">
        <v>422</v>
      </c>
    </row>
    <row r="78" spans="1:43">
      <c r="A78" s="4" t="s">
        <v>267</v>
      </c>
      <c r="B78" s="4" t="s">
        <v>423</v>
      </c>
      <c r="C78" s="34">
        <f>'Prefill_8K'!$AN$63/1E9</f>
        <v>7.45138496</v>
      </c>
      <c r="D78" s="34">
        <f>'Prefill_8K'!$AN$64/1E9</f>
        <v>148.351461888</v>
      </c>
      <c r="E78" s="34">
        <f>'Prefill_8K'!$AN$65/1E9</f>
        <v>3.314423644</v>
      </c>
      <c r="F78" s="34">
        <f>'Prefill_8K'!$AN$66/1E9</f>
        <v>159.117270492</v>
      </c>
      <c r="G78" s="34">
        <f>'Prefill_8K'!$AP$73/1E9</f>
        <v>7.232045056</v>
      </c>
      <c r="H78" s="34">
        <f>F78+G78</f>
        <v>166.349315548</v>
      </c>
      <c r="I78" s="35">
        <f>'Prefill_8K'!$AL$66/1E9</f>
        <v>284.334567511</v>
      </c>
      <c r="J78" s="4" t="s">
        <v>424</v>
      </c>
    </row>
    <row r="79" spans="1:43">
      <c r="A79" s="4" t="s">
        <v>425</v>
      </c>
      <c r="B79" s="4" t="s">
        <v>423</v>
      </c>
      <c r="C79" s="34">
        <f>'Prefill_8K'!$AO$63/1E9</f>
        <v>2.23750496</v>
      </c>
      <c r="D79" s="34">
        <f>'Prefill_8K'!$AO$64/1E9</f>
        <v>19.57794048</v>
      </c>
      <c r="E79" s="34">
        <f>'Prefill_8K'!$AO$65/1E9</f>
        <v>0.534376892</v>
      </c>
      <c r="F79" s="34">
        <f>'Prefill_8K'!$AO$66/1E9</f>
        <v>22.349822332</v>
      </c>
      <c r="G79" s="34">
        <f>'Prefill_8K'!$AQ$73/1E9</f>
        <v>7.232045056</v>
      </c>
      <c r="H79" s="34">
        <f>F79+G79</f>
        <v>29.581867388</v>
      </c>
      <c r="I79" s="35">
        <f>'Prefill_8K'!$AM$66/1E9</f>
        <v>37.064255215</v>
      </c>
      <c r="J79" s="4" t="s">
        <v>426</v>
      </c>
    </row>
  </sheetData>
  <mergeCells count="6">
    <mergeCell ref="A31:K31"/>
    <mergeCell ref="A11:C11"/>
    <mergeCell ref="A47:H47"/>
    <mergeCell ref="A61:E61"/>
    <mergeCell ref="A68:D68"/>
    <mergeCell ref="A76:J76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Q7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18.7109375" customWidth="1"/>
    <col min="4" max="4" width="44.7109375" customWidth="1"/>
    <col min="5" max="7" width="18.7109375" customWidth="1"/>
    <col min="8" max="8" width="58.7109375" customWidth="1"/>
    <col min="9" max="10" width="18.7109375" customWidth="1"/>
    <col min="11" max="11" width="60.7109375" customWidth="1"/>
    <col min="12" max="43" width="0" hidden="1" customWidth="1"/>
  </cols>
  <sheetData>
    <row r="1" spans="1:32">
      <c r="A1" s="1" t="s">
        <v>281</v>
      </c>
    </row>
    <row r="2" spans="1:32">
      <c r="A2" s="2" t="s">
        <v>203</v>
      </c>
    </row>
    <row r="3" spans="1:32">
      <c r="A3" s="3" t="s">
        <v>204</v>
      </c>
      <c r="B3" s="3" t="s">
        <v>5</v>
      </c>
      <c r="C3" s="3" t="s">
        <v>205</v>
      </c>
      <c r="D3" s="3" t="s">
        <v>6</v>
      </c>
    </row>
    <row r="4" spans="1:32" ht="54" customHeight="1">
      <c r="A4" s="4" t="s">
        <v>206</v>
      </c>
      <c r="B4" s="27">
        <f>DecodeBatch*DecodeTokens</f>
        <v>1</v>
      </c>
      <c r="C4" s="4" t="s">
        <v>207</v>
      </c>
      <c r="D4" s="4" t="s">
        <v>208</v>
      </c>
    </row>
    <row r="5" spans="1:32" ht="54" customHeight="1">
      <c r="A5" s="4" t="s">
        <v>282</v>
      </c>
      <c r="B5" s="28">
        <f>DecodeTokens*MIN(WindowSize,DecodeContext)</f>
        <v>128</v>
      </c>
      <c r="C5" s="4" t="s">
        <v>210</v>
      </c>
      <c r="D5" s="4" t="s">
        <v>283</v>
      </c>
    </row>
    <row r="6" spans="1:32" ht="54" customHeight="1">
      <c r="A6" s="4" t="s">
        <v>284</v>
      </c>
      <c r="B6" s="28">
        <f>DecodeTokens*MIN(IndexTopK,INT(DecodeContext/ShortRatio))</f>
        <v>512</v>
      </c>
      <c r="C6" s="4" t="s">
        <v>210</v>
      </c>
      <c r="D6" s="4" t="s">
        <v>285</v>
      </c>
    </row>
    <row r="7" spans="1:32" ht="54" customHeight="1">
      <c r="A7" s="4" t="s">
        <v>286</v>
      </c>
      <c r="B7" s="28">
        <f>DecodeTokens*INT(DecodeContext/LongRatio)</f>
        <v>8192</v>
      </c>
      <c r="C7" s="4" t="s">
        <v>210</v>
      </c>
      <c r="D7" s="4" t="s">
        <v>287</v>
      </c>
    </row>
    <row r="8" spans="1:32" ht="54" customHeight="1">
      <c r="A8" s="4" t="s">
        <v>288</v>
      </c>
      <c r="B8" s="28">
        <f>DecodeTokens*INT(DecodeContext/ShortRatio)</f>
        <v>262144</v>
      </c>
      <c r="C8" s="4" t="s">
        <v>210</v>
      </c>
      <c r="D8" s="4" t="s">
        <v>289</v>
      </c>
    </row>
    <row r="9" spans="1:32" ht="54" customHeight="1">
      <c r="A9" s="4" t="s">
        <v>218</v>
      </c>
      <c r="B9" s="29">
        <f>1-(1-ActivatedExperts/RoutedExperts)^DC_Rows</f>
        <v>0.0234375</v>
      </c>
      <c r="C9" s="4" t="s">
        <v>219</v>
      </c>
      <c r="D9" s="4" t="s">
        <v>220</v>
      </c>
    </row>
    <row r="11" spans="1:32">
      <c r="A11" s="30" t="s">
        <v>265</v>
      </c>
      <c r="B11" s="30"/>
      <c r="C11" s="30"/>
    </row>
    <row r="12" spans="1:32">
      <c r="A12" s="3" t="s">
        <v>266</v>
      </c>
      <c r="B12" s="3" t="s">
        <v>267</v>
      </c>
      <c r="C12" s="3" t="s">
        <v>268</v>
      </c>
    </row>
    <row r="13" spans="1:32">
      <c r="A13" s="4" t="s">
        <v>269</v>
      </c>
      <c r="B13" s="31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123.969 GFLOPs</v>
      </c>
      <c r="C13" s="31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19.452 GFLOPs</v>
      </c>
      <c r="AE13" s="32">
        <f>SUMIFS($U$33:$U$44,$A$33:$A$44,"注意力",$J$33:$J$44,"主要")</f>
        <v>123969470464.0</v>
      </c>
      <c r="AF13" s="32">
        <f>SUMIFS($V$33:$V$44,$A$33:$A$44,"注意力",$J$33:$J$44,"主要")</f>
        <v>19452461056.0</v>
      </c>
    </row>
    <row r="14" spans="1:32">
      <c r="A14" s="4" t="s">
        <v>270</v>
      </c>
      <c r="B14" s="31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15.240 GFLOPs</v>
      </c>
      <c r="C14" s="31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3.878 GFLOPs</v>
      </c>
      <c r="AE14" s="32">
        <f>SUMIFS($U$33:$U$44,$A$33:$A$44,"混合专家",$J$33:$J$44,"主要")</f>
        <v>15240003584.0</v>
      </c>
      <c r="AF14" s="32">
        <f>SUMIFS($V$33:$V$44,$A$33:$A$44,"混合专家",$J$33:$J$44,"主要")</f>
        <v>3877634048.0</v>
      </c>
    </row>
    <row r="15" spans="1:32">
      <c r="A15" s="4" t="s">
        <v>271</v>
      </c>
      <c r="B15" s="31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1.145 GFLOPs</v>
      </c>
      <c r="C15" s="31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217.981 MFLOPs</v>
      </c>
      <c r="AE15" s="32">
        <f>SUMIF($A$33:$A$44,"其他",$U$33:$U$44)</f>
        <v>1144660054.0</v>
      </c>
      <c r="AF15" s="32">
        <f>SUMIF($A$33:$A$44,"其他",$V$33:$V$44)</f>
        <v>217981014.0</v>
      </c>
    </row>
    <row r="16" spans="1:32">
      <c r="A16" s="4" t="s">
        <v>272</v>
      </c>
      <c r="B16" s="33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140.354 GFLOPs</v>
      </c>
      <c r="C16" s="33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23.548 GFLOPs</v>
      </c>
      <c r="AE16" s="32">
        <f>SUM($U$33:$U$44)</f>
        <v>140354134102.0</v>
      </c>
      <c r="AF16" s="32">
        <f>SUM($V$33:$V$44)</f>
        <v>23548076118.0</v>
      </c>
    </row>
    <row r="17" spans="1:32">
      <c r="A17" s="4" t="s">
        <v>273</v>
      </c>
      <c r="B17" s="31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10.492 GB</v>
      </c>
      <c r="C17" s="31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4.035 GB</v>
      </c>
      <c r="AE17" s="32">
        <f>SUMIF($A$33:$A$44,"注意力",$W$33:$W$44)+SUMIF($A$33:$A$44,"注意力",$X$33:$X$44)</f>
        <v>10492228352.0</v>
      </c>
      <c r="AF17" s="32">
        <f>SUMIF($A$33:$A$44,"注意力",$Y$33:$Y$44)+SUMIF($A$33:$A$44,"注意力",$Z$33:$Z$44)</f>
        <v>4035232528.0</v>
      </c>
    </row>
    <row r="18" spans="1:32">
      <c r="A18" s="4" t="s">
        <v>274</v>
      </c>
      <c r="B18" s="31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4.627 GB</v>
      </c>
      <c r="C18" s="31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1.605 GB</v>
      </c>
      <c r="AE18" s="32">
        <f>SUMIF($A$33:$A$44,"混合专家",$W$33:$W$44)+SUMIF($A$33:$A$44,"混合专家",$X$33:$X$44)</f>
        <v>4627033672.0</v>
      </c>
      <c r="AF18" s="32">
        <f>SUMIF($A$33:$A$44,"混合专家",$Y$33:$Y$44)+SUMIF($A$33:$A$44,"混合专家",$Z$33:$Z$44)</f>
        <v>1605205576.0</v>
      </c>
    </row>
    <row r="19" spans="1:32">
      <c r="A19" s="4" t="s">
        <v>275</v>
      </c>
      <c r="B19" s="31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2.265 GB</v>
      </c>
      <c r="C19" s="31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411.394 MB</v>
      </c>
      <c r="AE19" s="32">
        <f>SUMIF($A$33:$A$44,"其他",$W$33:$W$44)+SUMIF($A$33:$A$44,"其他",$X$33:$X$44)</f>
        <v>2265204808.0</v>
      </c>
      <c r="AF19" s="32">
        <f>SUMIF($A$33:$A$44,"其他",$Y$33:$Y$44)+SUMIF($A$33:$A$44,"其他",$Z$33:$Z$44)</f>
        <v>411394248.0</v>
      </c>
    </row>
    <row r="20" spans="1:32">
      <c r="A20" s="4" t="s">
        <v>276</v>
      </c>
      <c r="B20" s="33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17.384 GB</v>
      </c>
      <c r="C20" s="33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6.052 GB</v>
      </c>
      <c r="AE20" s="32">
        <f>SUM($W$33:$X$44)</f>
        <v>17384466832.0</v>
      </c>
      <c r="AF20" s="32">
        <f>SUM($Y$33:$Z$44)</f>
        <v>6051832352.0</v>
      </c>
    </row>
    <row r="21" spans="1:32">
      <c r="A21" s="4" t="s">
        <v>277</v>
      </c>
      <c r="B21" s="31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1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5.865 MB</v>
      </c>
      <c r="AE21" s="32">
        <f>SUM($AA$33:$AA$44)</f>
        <v>0.0</v>
      </c>
      <c r="AF21" s="32">
        <f>SUM($AB$33:$AB$44)</f>
        <v>5865216.0</v>
      </c>
    </row>
    <row r="22" spans="1:32">
      <c r="A22" s="4" t="s">
        <v>278</v>
      </c>
      <c r="B22" s="31" t="str">
        <f>TEXT(AE22,"#,##0.000")&amp;" FLOPs/byte"</f>
        <v>8.074 FLOPs/byte</v>
      </c>
      <c r="C22" s="31" t="str">
        <f>TEXT(AF22,"#,##0.000")&amp;" FLOPs/byte"</f>
        <v>3.891 FLOPs/byte</v>
      </c>
      <c r="AE22" s="32">
        <f>SUM($U$33:$U$44)/(SUM($W$33:$W$44)+SUM($X$33:$X$44))</f>
        <v>8.073536879695776</v>
      </c>
      <c r="AF22" s="32">
        <f>SUM($V$33:$V$44)/(SUM($Y$33:$Y$44)+SUM($Z$33:$Z$44))</f>
        <v>3.891065506832467</v>
      </c>
    </row>
    <row r="23" spans="1:32">
      <c r="A23" s="4" t="s">
        <v>279</v>
      </c>
      <c r="B23" s="31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140.354 GFLOPs</v>
      </c>
      <c r="C23" s="31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23.548 GFLOPs</v>
      </c>
      <c r="AE23" s="32">
        <f>SUM($U$33:$U$44)</f>
        <v>140354134102.0</v>
      </c>
      <c r="AF23" s="32">
        <f>SUM($V$33:$V$44)</f>
        <v>23548076118.0</v>
      </c>
    </row>
    <row r="24" spans="1:32">
      <c r="A24" s="4" t="s">
        <v>280</v>
      </c>
      <c r="B24" s="31" t="str">
        <f>TEXT(AE24,"#,##0.000")&amp;" GB/s"</f>
        <v>1,738.447 GB/s</v>
      </c>
      <c r="C24" s="31" t="str">
        <f>TEXT(AF24,"#,##0.000")&amp;" GB/s"</f>
        <v>605.183 GB/s</v>
      </c>
      <c r="AE24" s="32">
        <f>(SUM($W$33:$W$44)+SUM($X$33:$X$44))/(DecodeTargetMs/1000)/1E9</f>
        <v>1738.4466832</v>
      </c>
      <c r="AF24" s="32">
        <f>(SUM($Y$33:$Y$44)+SUM($Z$33:$Z$44))/(DecodeTargetMs/1000)/1E9</f>
        <v>605.1832352</v>
      </c>
    </row>
    <row r="31" spans="1:32">
      <c r="A31" s="30" t="s">
        <v>221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</row>
    <row r="32" spans="1:32">
      <c r="A32" t="s">
        <v>2</v>
      </c>
      <c r="B32" t="s">
        <v>222</v>
      </c>
      <c r="C32" t="s">
        <v>223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 t="s">
        <v>229</v>
      </c>
      <c r="J32" t="s">
        <v>230</v>
      </c>
      <c r="K32" t="s">
        <v>6</v>
      </c>
    </row>
    <row r="33" spans="1:30">
      <c r="A33" s="4" t="s">
        <v>40</v>
      </c>
      <c r="B33" s="4" t="s">
        <v>231</v>
      </c>
      <c r="C33" s="4" t="s">
        <v>232</v>
      </c>
      <c r="D33" s="31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9.198 GFLOPs</v>
      </c>
      <c r="E33" s="31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1.623 GFLOPs</v>
      </c>
      <c r="F33" s="31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6.050 GB</v>
      </c>
      <c r="G33" s="31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994.854 MB</v>
      </c>
      <c r="H33" s="31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1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233</v>
      </c>
      <c r="K33" s="4" t="s">
        <v>234</v>
      </c>
      <c r="T33" s="32">
        <f>DC_Rows*TotalLayers*2*(HiddenSize*QLoraRank+QLoraRank*NumHeads*HeadDim+HiddenSize*HeadDim+NumHeads*HeadDim*OLoraRank+OGroups*OLoraRank*HiddenSize)</f>
        <v>9198108672</v>
      </c>
      <c r="U33" s="32">
        <f>DC_Rows*TotalLayers*2*(HiddenSize*QLoraRank+QLoraRank*TP1LocalHeads*HeadDim+HiddenSize*HeadDim+TP1LocalHeads*HeadDim*OLoraRank+TP1LocalOGroups*OLoraRank*HiddenSize)</f>
        <v>9198108672.0</v>
      </c>
      <c r="V33" s="32">
        <f>DC_Rows*TotalLayers*2*(HiddenSize*QLoraRank+QLoraRank*TP8LocalHeads*HeadDim+HiddenSize*HeadDim+TP8LocalHeads*HeadDim*OLoraRank+TP8LocalOGroups*OLoraRank*HiddenSize)</f>
        <v>1623195648.0</v>
      </c>
      <c r="W33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32">
        <f>DC_Rows*TotalLayers*(QLoraRank+TP1KernelLocalHeads*HeadDim+HeadDim+TP1LocalOGroups*OLoraRank+HiddenSize)*BF16Bytes</f>
        <v>4006912.0</v>
      </c>
      <c r="Y33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32">
        <f>DC_Rows*TotalLayers*(QLoraRank+TP8KernelLocalHeads*HeadDim+HeadDim+TP8LocalOGroups*OLoraRank+HiddenSize)*BF16Bytes</f>
        <v>1276928.0</v>
      </c>
      <c r="AA33" s="32">
        <f>0</f>
        <v>0</v>
      </c>
      <c r="AB33" s="32">
        <f>0</f>
        <v>0</v>
      </c>
      <c r="AC33" s="32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32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40</v>
      </c>
      <c r="B34" s="4" t="s">
        <v>235</v>
      </c>
      <c r="C34" s="4" t="s">
        <v>236</v>
      </c>
      <c r="D34" s="31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23.606 GFLOPs</v>
      </c>
      <c r="E34" s="31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5.901 GFLOPs</v>
      </c>
      <c r="F34" s="31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190.054 MB</v>
      </c>
      <c r="G34" s="31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185.827 MB</v>
      </c>
      <c r="H34" s="31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1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233</v>
      </c>
      <c r="K34" s="4" t="s">
        <v>237</v>
      </c>
      <c r="T34" s="32">
        <f>4*DecodeBatch*NumHeads*HeadDim*(WindowLayers*DC_RawPairs+ShortLayers*(DC_RawPairs+DC_ShortPairs)+LongLayers*(DC_RawPairs+DC_LongPairs))</f>
        <v>23605542912</v>
      </c>
      <c r="U34" s="32">
        <f>4*DecodeBatch*TP1KernelLocalHeads*HeadDim*(WindowLayers*DC_RawPairs+ShortLayers*(DC_RawPairs+DC_ShortPairs)+LongLayers*(DC_RawPairs+DC_LongPairs))</f>
        <v>23605542912.0</v>
      </c>
      <c r="V34" s="32">
        <f>4*DecodeBatch*TP8KernelLocalHeads*HeadDim*(WindowLayers*DC_RawPairs+ShortLayers*(DC_RawPairs+DC_ShortPairs)+LongLayers*(DC_RawPairs+DC_LongPairs))</f>
        <v>5901385728.0</v>
      </c>
      <c r="W34" s="32">
        <f>DC_Rows*TotalLayers*TP1KernelLocalHeads*HeadDim*BF16Bytes+DecodeBatch*(WindowLayers*DC_RawPairs+ShortLayers*(DC_RawPairs+DC_ShortPairs)+LongLayers*(DC_RawPairs+DC_LongPairs))*HeadDim*BF16Bytes</f>
        <v>187236352.0</v>
      </c>
      <c r="X34" s="32">
        <f>DC_Rows*TotalLayers*TP1KernelLocalHeads*HeadDim*BF16Bytes</f>
        <v>2818048.0</v>
      </c>
      <c r="Y34" s="32">
        <f>DC_Rows*TotalLayers*TP8KernelLocalHeads*HeadDim*BF16Bytes+DecodeBatch*(WindowLayers*DC_RawPairs+ShortLayers*(DC_RawPairs+DC_ShortPairs)+LongLayers*(DC_RawPairs+DC_LongPairs))*HeadDim*BF16Bytes</f>
        <v>185122816</v>
      </c>
      <c r="Z34" s="32">
        <f>DC_Rows*TotalLayers*TP8KernelLocalHeads*HeadDim*BF16Bytes</f>
        <v>704512</v>
      </c>
      <c r="AA34" s="32">
        <f>0</f>
        <v>0</v>
      </c>
      <c r="AB34" s="32">
        <f>0</f>
        <v>0</v>
      </c>
      <c r="AC34" s="32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32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40</v>
      </c>
      <c r="B35" s="4" t="s">
        <v>238</v>
      </c>
      <c r="C35" s="4" t="s">
        <v>239</v>
      </c>
      <c r="D35" s="31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363.332 MFLOPs</v>
      </c>
      <c r="E35" s="31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45.416 MFLOPs</v>
      </c>
      <c r="F35" s="31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187.743 MB</v>
      </c>
      <c r="G35" s="31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23.656 MB</v>
      </c>
      <c r="H35" s="31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1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233</v>
      </c>
      <c r="K35" s="4" t="s">
        <v>240</v>
      </c>
      <c r="T35" s="32">
        <f>2*DC_Rows*ShortLayers*(QLoraRank*IndexHeads*IndexHeadDim+HiddenSize*IndexHeads)</f>
        <v>363331584</v>
      </c>
      <c r="U35" s="32">
        <f>2*DC_Rows*ShortLayers*(QLoraRank*TP1LocalIndexHeads*IndexHeadDim+HiddenSize*TP1LocalIndexHeads)</f>
        <v>363331584.0</v>
      </c>
      <c r="V35" s="32">
        <f>2*DC_Rows*ShortLayers*(QLoraRank*TP8LocalIndexHeads*IndexHeadDim+HiddenSize*TP8LocalIndexHeads)</f>
        <v>45416448.0</v>
      </c>
      <c r="W35" s="32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32">
        <f>DC_Rows*ShortLayers*TP1LocalIndexHeads*(IndexHeadDim+1)*BF16Bytes</f>
        <v>346752.0</v>
      </c>
      <c r="Y35" s="32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32">
        <f>DC_Rows*ShortLayers*TP8LocalIndexHeads*(IndexHeadDim+1)*BF16Bytes</f>
        <v>43344.0</v>
      </c>
      <c r="AA35" s="32">
        <f>0</f>
        <v>0</v>
      </c>
      <c r="AB35" s="32">
        <f>0</f>
        <v>0</v>
      </c>
      <c r="AC35" s="32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32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40</v>
      </c>
      <c r="B36" s="4" t="s">
        <v>241</v>
      </c>
      <c r="C36" s="4" t="s">
        <v>239</v>
      </c>
      <c r="D36" s="31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90.194 GFLOPs</v>
      </c>
      <c r="E36" s="31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11.274 GFLOPs</v>
      </c>
      <c r="F36" s="31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2.841 GB</v>
      </c>
      <c r="G36" s="31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1.607 GB</v>
      </c>
      <c r="H36" s="31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1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233</v>
      </c>
      <c r="K36" s="4" t="s">
        <v>242</v>
      </c>
      <c r="T36" s="32">
        <f>2*DecodeBatch*ShortLayers*IndexHeads*IndexHeadDim*DC_IndexPairs</f>
        <v>90194313216</v>
      </c>
      <c r="U36" s="32">
        <f>2*DecodeBatch*ShortLayers*TP1LocalIndexHeads*IndexHeadDim*DC_IndexPairs</f>
        <v>90194313216.0</v>
      </c>
      <c r="V36" s="32">
        <f>2*DecodeBatch*ShortLayers*TP8LocalIndexHeads*IndexHeadDim*DC_IndexPairs</f>
        <v>11274289152.0</v>
      </c>
      <c r="W36" s="32">
        <f>DecodeBatch*ShortLayers*DC_IndexPairs*(IndexHeadDim*BF16Bytes+TP1LocalIndexHeads*BF16Bytes)</f>
        <v>2113929216.0</v>
      </c>
      <c r="X36" s="32">
        <f>DecodeBatch*ShortLayers*DC_IndexPairs*(TP1LocalIndexHeads*BF16Bytes+FP32Bytes)</f>
        <v>726663168.0</v>
      </c>
      <c r="Y36" s="32">
        <f>DecodeBatch*ShortLayers*DC_IndexPairs*(IndexHeadDim*BF16Bytes+TP8LocalIndexHeads*BF16Bytes)</f>
        <v>1497366528.0</v>
      </c>
      <c r="Z36" s="32">
        <f>DecodeBatch*ShortLayers*DC_IndexPairs*(TP8LocalIndexHeads*BF16Bytes+FP32Bytes)</f>
        <v>110100480.0</v>
      </c>
      <c r="AA36" s="32">
        <f>0</f>
        <v>0</v>
      </c>
      <c r="AB36" s="32">
        <f>0</f>
        <v>0</v>
      </c>
      <c r="AC36" s="32">
        <f>(DecodeBatch*ShortLayers*DC_IndexPairs*(IndexHeadDim*BF16Bytes+TP1LocalIndexHeads*BF16Bytes))+(DecodeBatch*ShortLayers*DC_IndexPairs*(TP1LocalIndexHeads*BF16Bytes+FP32Bytes))</f>
        <v>2840592384.0</v>
      </c>
      <c r="AD36" s="32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40</v>
      </c>
      <c r="B37" s="4" t="s">
        <v>243</v>
      </c>
      <c r="C37" s="4" t="s">
        <v>244</v>
      </c>
      <c r="D37" s="31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520.094 MFLOPs</v>
      </c>
      <c r="E37" s="31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520.094 MFLOPs</v>
      </c>
      <c r="F37" s="31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1.047 GB</v>
      </c>
      <c r="G37" s="31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1.047 GB</v>
      </c>
      <c r="H37" s="31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1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233</v>
      </c>
      <c r="K37" s="4" t="s">
        <v>245</v>
      </c>
      <c r="T37" s="32">
        <f>DC_Rows*(ShortLayers*8*HiddenSize*HeadDim+LongLayers*4*HiddenSize*HeadDim)</f>
        <v>520093696</v>
      </c>
      <c r="U37" s="32">
        <f>DC_Rows*(ShortLayers*8*HiddenSize*HeadDim+LongLayers*4*HiddenSize*HeadDim)</f>
        <v>520093696</v>
      </c>
      <c r="V37" s="32">
        <f>DC_Rows*(ShortLayers*8*HiddenSize*HeadDim+LongLayers*4*HiddenSize*HeadDim)</f>
        <v>520093696</v>
      </c>
      <c r="W37" s="32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32">
        <f>DC_Rows*(ShortLayers*4*HeadDim+LongLayers*2*HeadDim)*FP32Bytes</f>
        <v>253952</v>
      </c>
      <c r="Y37" s="32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32">
        <f>DC_Rows*(ShortLayers*4*HeadDim+LongLayers*2*HeadDim)*FP32Bytes</f>
        <v>253952</v>
      </c>
      <c r="AA37" s="32">
        <f>0</f>
        <v>0</v>
      </c>
      <c r="AB37" s="32">
        <f>0</f>
        <v>0</v>
      </c>
      <c r="AC37" s="32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32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40</v>
      </c>
      <c r="B38" s="4" t="s">
        <v>246</v>
      </c>
      <c r="C38" s="4" t="s">
        <v>239</v>
      </c>
      <c r="D38" s="31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88.080 MFLOPs</v>
      </c>
      <c r="E38" s="31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88.080 MFLOPs</v>
      </c>
      <c r="F38" s="31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176.645 MB</v>
      </c>
      <c r="G38" s="31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176.645 MB</v>
      </c>
      <c r="H38" s="31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1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233</v>
      </c>
      <c r="K38" s="4" t="s">
        <v>247</v>
      </c>
      <c r="T38" s="32">
        <f>DC_Rows*ShortLayers*8*HiddenSize*IndexHeadDim</f>
        <v>88080384</v>
      </c>
      <c r="U38" s="32">
        <f>DC_Rows*ShortLayers*8*HiddenSize*IndexHeadDim</f>
        <v>88080384</v>
      </c>
      <c r="V38" s="32">
        <f>DC_Rows*ShortLayers*8*HiddenSize*IndexHeadDim</f>
        <v>88080384</v>
      </c>
      <c r="W38" s="32">
        <f>ShortLayers*(2*HiddenSize*(2*IndexHeadDim)*FP32Bytes+ShortRatio*2*IndexHeadDim*FP32Bytes+IndexHeadDim*FP32Bytes)+DC_Rows*ShortLayers*HiddenSize*FP32Bytes</f>
        <v>176601600</v>
      </c>
      <c r="X38" s="32">
        <f>DC_Rows*ShortLayers*4*IndexHeadDim*FP32Bytes</f>
        <v>43008</v>
      </c>
      <c r="Y38" s="32">
        <f>ShortLayers*(2*HiddenSize*(2*IndexHeadDim)*FP32Bytes+ShortRatio*2*IndexHeadDim*FP32Bytes+IndexHeadDim*FP32Bytes)+DC_Rows*ShortLayers*HiddenSize*FP32Bytes</f>
        <v>176601600</v>
      </c>
      <c r="Z38" s="32">
        <f>DC_Rows*ShortLayers*4*IndexHeadDim*FP32Bytes</f>
        <v>43008</v>
      </c>
      <c r="AA38" s="32">
        <f>0</f>
        <v>0</v>
      </c>
      <c r="AB38" s="32">
        <f>0</f>
        <v>0</v>
      </c>
      <c r="AC38" s="32">
        <f>(ShortLayers*(2*HiddenSize*(2*IndexHeadDim)*FP32Bytes+ShortRatio*2*IndexHeadDim*FP32Bytes+IndexHeadDim*FP32Bytes)+DC_Rows*ShortLayers*HiddenSize*FP32Bytes)+(DC_Rows*ShortLayers*4*IndexHeadDim*FP32Bytes)</f>
        <v>176644608</v>
      </c>
      <c r="AD38" s="32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59</v>
      </c>
      <c r="B39" s="4" t="s">
        <v>248</v>
      </c>
      <c r="C39" s="4" t="s">
        <v>232</v>
      </c>
      <c r="D39" s="31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90.178 MFLOPs</v>
      </c>
      <c r="E39" s="31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1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90.615 MB</v>
      </c>
      <c r="G39" s="31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90.615 MB</v>
      </c>
      <c r="H39" s="31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1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233</v>
      </c>
      <c r="K39" s="4" t="s">
        <v>249</v>
      </c>
      <c r="T39" s="32">
        <f>2*DC_Rows*TotalLayers*HiddenSize*RoutedExperts</f>
        <v>90177536</v>
      </c>
      <c r="U39" s="32">
        <f>2*DC_Rows*TotalLayers*HiddenSize*RoutedExperts</f>
        <v>90177536</v>
      </c>
      <c r="V39" s="32">
        <f>2*DC_Rows*TotalLayers*HiddenSize*RoutedExperts</f>
        <v>90177536</v>
      </c>
      <c r="W39" s="32">
        <f>TotalLayers*RoutedExperts*HiddenSize*BF16Bytes+(TotalLayers-ActiveHashLayers)*RoutedExperts*FP32Bytes+DC_Rows*TotalLayers*HiddenSize*BF16Bytes+DC_Rows*ActiveHashLayers*ActivatedExperts*INT32Bytes</f>
        <v>90570824</v>
      </c>
      <c r="X39" s="32">
        <f>DC_Rows*TotalLayers*RoutedExperts*FP32Bytes</f>
        <v>44032</v>
      </c>
      <c r="Y39" s="32">
        <f>TotalLayers*RoutedExperts*HiddenSize*BF16Bytes+(TotalLayers-ActiveHashLayers)*RoutedExperts*FP32Bytes+DC_Rows*TotalLayers*HiddenSize*BF16Bytes+DC_Rows*ActiveHashLayers*ActivatedExperts*INT32Bytes</f>
        <v>90570824</v>
      </c>
      <c r="Z39" s="32">
        <f>DC_Rows*TotalLayers*RoutedExperts*FP32Bytes</f>
        <v>44032</v>
      </c>
      <c r="AA39" s="32">
        <f>0</f>
        <v>0</v>
      </c>
      <c r="AB39" s="32">
        <f>0</f>
        <v>0</v>
      </c>
      <c r="AC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32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59</v>
      </c>
      <c r="B40" s="4" t="s">
        <v>250</v>
      </c>
      <c r="C40" s="4" t="s">
        <v>232</v>
      </c>
      <c r="D40" s="31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12.986 GFLOPs</v>
      </c>
      <c r="E40" s="31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1.623 GFLOPs</v>
      </c>
      <c r="F40" s="31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3.454 GB</v>
      </c>
      <c r="G40" s="31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431.690 MB</v>
      </c>
      <c r="H40" s="31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1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233</v>
      </c>
      <c r="K40" s="4" t="s">
        <v>251</v>
      </c>
      <c r="T40" s="32">
        <f>DC_Rows*TotalLayers*ActivatedExperts*6*HiddenSize*ExpertInter</f>
        <v>12985565184</v>
      </c>
      <c r="U40" s="32">
        <f>DC_Rows*TotalLayers*(ActivatedExperts/TP1Size)*6*HiddenSize*ExpertInter</f>
        <v>12985565184.0</v>
      </c>
      <c r="V40" s="32">
        <f>DC_Rows*TotalLayers*(ActivatedExperts/TP8Size)*6*HiddenSize*ExpertInter</f>
        <v>1623195648.0</v>
      </c>
      <c r="W40" s="32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32">
        <f>DC_Rows*TotalLayers*(ActivatedExperts/TP1Size)*HiddenSize*BF16Bytes</f>
        <v>2113536.0</v>
      </c>
      <c r="Y40" s="32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32">
        <f>DC_Rows*TotalLayers*(ActivatedExperts/TP8Size)*HiddenSize*BF16Bytes</f>
        <v>264192.0</v>
      </c>
      <c r="AA40" s="32">
        <f>0</f>
        <v>0</v>
      </c>
      <c r="AB40" s="32">
        <f>0</f>
        <v>0</v>
      </c>
      <c r="AC40" s="32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32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59</v>
      </c>
      <c r="B41" s="4" t="s">
        <v>252</v>
      </c>
      <c r="C41" s="4" t="s">
        <v>232</v>
      </c>
      <c r="D41" s="31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2.164 GFLOPs</v>
      </c>
      <c r="E41" s="31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1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1.083 GB</v>
      </c>
      <c r="G41" s="31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1.083 GB</v>
      </c>
      <c r="H41" s="31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1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233</v>
      </c>
      <c r="K41" s="4" t="s">
        <v>253</v>
      </c>
      <c r="T41" s="32">
        <f>DC_Rows*TotalLayers*SharedExperts*6*HiddenSize*ExpertInter</f>
        <v>2164260864</v>
      </c>
      <c r="U41" s="32">
        <f>DC_Rows*TotalLayers*SharedExperts*6*HiddenSize*ExpertInter</f>
        <v>2164260864</v>
      </c>
      <c r="V41" s="32">
        <f>DC_Rows*TotalLayers*SharedExperts*6*HiddenSize*ExpertInter</f>
        <v>2164260864</v>
      </c>
      <c r="W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32">
        <f>DC_Rows*TotalLayers*SharedExperts*HiddenSize*BF16Bytes</f>
        <v>352256</v>
      </c>
      <c r="Y41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32">
        <f>DC_Rows*TotalLayers*SharedExperts*HiddenSize*BF16Bytes</f>
        <v>352256</v>
      </c>
      <c r="AA41" s="32">
        <f>0</f>
        <v>0</v>
      </c>
      <c r="AB41" s="32">
        <f>0</f>
        <v>0</v>
      </c>
      <c r="AC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32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254</v>
      </c>
      <c r="B42" s="4" t="s">
        <v>255</v>
      </c>
      <c r="C42" s="4" t="s">
        <v>232</v>
      </c>
      <c r="D42" s="31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85.598 MFLOPs</v>
      </c>
      <c r="E42" s="31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85.598 MFLOPs</v>
      </c>
      <c r="F42" s="31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146.548 MB</v>
      </c>
      <c r="G42" s="31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146.548 MB</v>
      </c>
      <c r="H42" s="31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1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256</v>
      </c>
      <c r="K42" s="4" t="s">
        <v>257</v>
      </c>
      <c r="T42" s="32">
        <f>TotalLayers*2*(2*DC_Rows*HCSlots*HiddenSize*((2+HCSlots)*HCSlots)+DC_Rows*(2*HCSlots*HiddenSize+1)+DC_Rows*HiddenSize*(2*HCSlots-1)+DC_Rows*HCSlots*HiddenSize*(2*HCSlots+1))</f>
        <v>85598294</v>
      </c>
      <c r="U42" s="32">
        <f>TotalLayers*2*(2*DC_Rows*HCSlots*HiddenSize*((2+HCSlots)*HCSlots)+DC_Rows*(2*HCSlots*HiddenSize+1)+DC_Rows*HiddenSize*(2*HCSlots-1)+DC_Rows*HCSlots*HiddenSize*(2*HCSlots+1))</f>
        <v>85598294</v>
      </c>
      <c r="V42" s="32">
        <f>TotalLayers*2*(2*DC_Rows*HCSlots*HiddenSize*((2+HCSlots)*HCSlots)+DC_Rows*(2*HCSlots*HiddenSize+1)+DC_Rows*HiddenSize*(2*HCSlots-1)+DC_Rows*HCSlots*HiddenSize*(2*HCSlots+1))</f>
        <v>85598294</v>
      </c>
      <c r="W42" s="32">
        <f>TotalLayers*2*((2+HCSlots)*HCSlots*HCSlots*HiddenSize*FP32Bytes+((2+HCSlots)*HCSlots+3)*FP32Bytes)+DC_Rows*TotalLayers*4*HCSlots*HiddenSize*BF16Bytes</f>
        <v>140911688.0</v>
      </c>
      <c r="X42" s="32">
        <f>DC_Rows*TotalLayers*4*HCSlots*HiddenSize*BF16Bytes</f>
        <v>5636096</v>
      </c>
      <c r="Y42" s="32">
        <f>TotalLayers*2*((2+HCSlots)*HCSlots*HCSlots*HiddenSize*FP32Bytes+((2+HCSlots)*HCSlots+3)*FP32Bytes)+DC_Rows*TotalLayers*4*HCSlots*HiddenSize*BF16Bytes</f>
        <v>140911688.0</v>
      </c>
      <c r="Z42" s="32">
        <f>DC_Rows*TotalLayers*4*HCSlots*HiddenSize*BF16Bytes</f>
        <v>5636096</v>
      </c>
      <c r="AA42" s="32">
        <f>0</f>
        <v>0</v>
      </c>
      <c r="AB42" s="32">
        <f>0</f>
        <v>0</v>
      </c>
      <c r="AC42" s="32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32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254</v>
      </c>
      <c r="B43" s="4" t="s">
        <v>258</v>
      </c>
      <c r="C43" s="4" t="s">
        <v>259</v>
      </c>
      <c r="D43" s="31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1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1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1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1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1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233</v>
      </c>
      <c r="K43" s="4" t="s">
        <v>260</v>
      </c>
      <c r="T43" s="32">
        <f>2*DC_Rows*HiddenSize*VocabSize</f>
        <v>1059061760</v>
      </c>
      <c r="U43" s="32">
        <f>2*DC_Rows*HiddenSize*TP1LocalVocab</f>
        <v>1059061760.0</v>
      </c>
      <c r="V43" s="32">
        <f>2*DC_Rows*HiddenSize*TP8LocalVocab</f>
        <v>132382720.0</v>
      </c>
      <c r="W43" s="32">
        <f>TP1LocalVocab*HiddenSize*FP32Bytes+DC_Rows*HiddenSize*FP32Bytes</f>
        <v>2118139904.0</v>
      </c>
      <c r="X43" s="32">
        <f>DC_Rows*TP1LocalVocab*FP32Bytes</f>
        <v>517120.0</v>
      </c>
      <c r="Y43" s="32">
        <f>TP8LocalVocab*HiddenSize*FP32Bytes+DC_Rows*HiddenSize*FP32Bytes</f>
        <v>264781824.0</v>
      </c>
      <c r="Z43" s="32">
        <f>DC_Rows*TP8LocalVocab*FP32Bytes</f>
        <v>64640.0</v>
      </c>
      <c r="AA43" s="32">
        <f>0</f>
        <v>0</v>
      </c>
      <c r="AB43" s="32">
        <f>0</f>
        <v>0</v>
      </c>
      <c r="AC43" s="32">
        <f>(TP1LocalVocab*HiddenSize*FP32Bytes+DC_Rows*HiddenSize*FP32Bytes)+(DC_Rows*TP1LocalVocab*FP32Bytes)</f>
        <v>2118657024.0</v>
      </c>
      <c r="AD43" s="32">
        <f>(TP8LocalVocab*HiddenSize*FP32Bytes+DC_Rows*HiddenSize*FP32Bytes)+(DC_Rows*TP8LocalVocab*FP32Bytes)</f>
        <v>264846464.0</v>
      </c>
    </row>
    <row r="44" spans="1:30">
      <c r="A44" s="4" t="s">
        <v>261</v>
      </c>
      <c r="B44" s="4" t="s">
        <v>262</v>
      </c>
      <c r="C44" s="4" t="s">
        <v>263</v>
      </c>
      <c r="D44" s="31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1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1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1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1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1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5.865 MB</v>
      </c>
      <c r="J44" s="4" t="s">
        <v>256</v>
      </c>
      <c r="K44" s="4" t="s">
        <v>264</v>
      </c>
      <c r="T44" s="32">
        <f>0</f>
        <v>0</v>
      </c>
      <c r="U44" s="32">
        <f>0</f>
        <v>0</v>
      </c>
      <c r="V44" s="32">
        <f>0</f>
        <v>0</v>
      </c>
      <c r="W44" s="32">
        <f>0</f>
        <v>0</v>
      </c>
      <c r="X44" s="32">
        <f>0</f>
        <v>0</v>
      </c>
      <c r="Y44" s="32">
        <f>0</f>
        <v>0</v>
      </c>
      <c r="Z44" s="32">
        <f>0</f>
        <v>0</v>
      </c>
      <c r="AA44" s="32">
        <f>4*(TP1Size-1)/TP1Size*DC_Rows*HiddenSize*BF16Bytes+2*4*(TP1Size-1)/TP1Size*DC_Rows*HiddenSize*FP32Bytes*TotalLayers+2*(TP1Size-1)*DC_Rows*TP1LocalVocab*FP32Bytes</f>
        <v>0.0</v>
      </c>
      <c r="AB44" s="32">
        <f>4*(TP8Size-1)/TP8Size*DC_Rows*HiddenSize*BF16Bytes+2*4*(TP8Size-1)/TP8Size*DC_Rows*HiddenSize*FP32Bytes*TotalLayers+2*(TP8Size-1)*DC_Rows*TP8LocalVocab*FP32Bytes</f>
        <v>5865216.0</v>
      </c>
      <c r="AC44" s="32">
        <f>(0)+(0)</f>
        <v>0</v>
      </c>
      <c r="AD44" s="32">
        <f>(0)+(0)</f>
        <v>0</v>
      </c>
    </row>
    <row r="47" spans="1:30">
      <c r="A47" s="30" t="s">
        <v>427</v>
      </c>
      <c r="B47" s="30"/>
      <c r="C47" s="30"/>
      <c r="D47" s="30"/>
      <c r="E47" s="30"/>
      <c r="F47" s="30"/>
      <c r="G47" s="30"/>
      <c r="H47" s="30"/>
    </row>
    <row r="48" spans="1:30">
      <c r="A48" t="s">
        <v>372</v>
      </c>
      <c r="B48" t="s">
        <v>373</v>
      </c>
      <c r="C48" t="s">
        <v>374</v>
      </c>
      <c r="D48" t="s">
        <v>375</v>
      </c>
      <c r="E48" t="s">
        <v>376</v>
      </c>
      <c r="F48" t="s">
        <v>377</v>
      </c>
      <c r="G48" t="s">
        <v>378</v>
      </c>
      <c r="H48" t="s">
        <v>6</v>
      </c>
    </row>
    <row r="49" spans="1:41">
      <c r="A49" s="4" t="s">
        <v>40</v>
      </c>
      <c r="B49" s="4" t="s">
        <v>379</v>
      </c>
      <c r="C49" s="31" t="str">
        <f>TEXT(IF(ABS(AG49)&gt;=1E12,AG49/1E12,IF(ABS(AG49)&gt;=1E9,AG49/1E9,IF(ABS(AG49)&gt;=1E6,AG49/1E6,IF(ABS(AG49)&gt;=1E3,AG49/1E3,AG49)))),"#,##0.000")&amp;IF((IF(ABS(AG49)&gt;=1E12,"T",IF(ABS(AG49)&gt;=1E9,"G",IF(ABS(AG49)&gt;=1E6,"M",IF(ABS(AG49)&gt;=1E3,"K","")))))="",""," "&amp;(IF(ABS(AG49)&gt;=1E12,"T",IF(ABS(AG49)&gt;=1E9,"G",IF(ABS(AG49)&gt;=1E6,"M",IF(ABS(AG49)&gt;=1E3,"K",""))))))</f>
        <v>4.599 G</v>
      </c>
      <c r="D49" s="31" t="str">
        <f>TEXT(IF(ABS(AH49)&gt;=1E12,AH49/1E12,IF(ABS(AH49)&gt;=1E9,AH49/1E9,IF(ABS(AH49)&gt;=1E6,AH49/1E6,IF(ABS(AH49)&gt;=1E3,AH49/1E3,AH49)))),"#,##0.000")&amp;IF((IF(ABS(AH49)&gt;=1E12,"T",IF(ABS(AH49)&gt;=1E9,"G",IF(ABS(AH49)&gt;=1E6,"M",IF(ABS(AH49)&gt;=1E3,"K","")))))="",""," "&amp;(IF(ABS(AH49)&gt;=1E12,"T",IF(ABS(AH49)&gt;=1E9,"G",IF(ABS(AH49)&gt;=1E6,"M",IF(ABS(AH49)&gt;=1E3,"K",""))))))</f>
        <v>4.599 G</v>
      </c>
      <c r="E49" s="31" t="str">
        <f>TEXT(IF(ABS(AI49)&gt;=1E12,AI49/1E12,IF(ABS(AI49)&gt;=1E9,AI49/1E9,IF(ABS(AI49)&gt;=1E6,AI49/1E6,IF(ABS(AI49)&gt;=1E3,AI49/1E3,AI49)))),"#,##0.000")&amp;IF((IF(ABS(AI49)&gt;=1E12,"T",IF(ABS(AI49)&gt;=1E9,"G",IF(ABS(AI49)&gt;=1E6,"M",IF(ABS(AI49)&gt;=1E3,"K","")))))="",""," "&amp;(IF(ABS(AI49)&gt;=1E12,"T",IF(ABS(AI49)&gt;=1E9,"G",IF(ABS(AI49)&gt;=1E6,"M",IF(ABS(AI49)&gt;=1E3,"K",""))))))</f>
        <v>811.598 M</v>
      </c>
      <c r="F49" s="31" t="str">
        <f>TEXT(IF(ABS(AJ49)&gt;=1E12,AJ49/1E12,IF(ABS(AJ49)&gt;=1E9,AJ49/1E9,IF(ABS(AJ49)&gt;=1E6,AJ49/1E6,IF(ABS(AJ49)&gt;=1E3,AJ49/1E3,AJ49)))),"#,##0.000")&amp;IF((IF(ABS(AJ49)&gt;=1E12,"TB",IF(ABS(AJ49)&gt;=1E9,"GB",IF(ABS(AJ49)&gt;=1E6,"MB",IF(ABS(AJ49)&gt;=1E3,"KB","bytes")))))="",""," "&amp;(IF(ABS(AJ49)&gt;=1E12,"TB",IF(ABS(AJ49)&gt;=1E9,"GB",IF(ABS(AJ49)&gt;=1E6,"MB",IF(ABS(AJ49)&gt;=1E3,"KB","bytes"))))))</f>
        <v>6.042 GB</v>
      </c>
      <c r="G49" s="31" t="str">
        <f>TEXT(IF(ABS(AK49)&gt;=1E12,AK49/1E12,IF(ABS(AK49)&gt;=1E9,AK49/1E9,IF(ABS(AK49)&gt;=1E6,AK49/1E6,IF(ABS(AK49)&gt;=1E3,AK49/1E3,AK49)))),"#,##0.000")&amp;IF((IF(ABS(AK49)&gt;=1E12,"TB",IF(ABS(AK49)&gt;=1E9,"GB",IF(ABS(AK49)&gt;=1E6,"MB",IF(ABS(AK49)&gt;=1E3,"KB","bytes")))))="",""," "&amp;(IF(ABS(AK49)&gt;=1E12,"TB",IF(ABS(AK49)&gt;=1E9,"GB",IF(ABS(AK49)&gt;=1E6,"MB",IF(ABS(AK49)&gt;=1E3,"KB","bytes"))))))</f>
        <v>991.991 MB</v>
      </c>
      <c r="H49" s="4" t="s">
        <v>380</v>
      </c>
      <c r="AG49" s="32">
        <f>TotalLayers*(HiddenSize*QLoraRank+QLoraRank*NumHeads*HeadDim+HiddenSize*HeadDim+NumHeads*HeadDim*OLoraRank+OGroups*OLoraRank*HiddenSize)</f>
        <v>4599054336</v>
      </c>
      <c r="AH49" s="32">
        <f>TotalLayers*(HiddenSize*QLoraRank+QLoraRank*TP1LocalHeads*HeadDim+HiddenSize*HeadDim+TP1LocalHeads*HeadDim*OLoraRank+TP1LocalOGroups*OLoraRank*HiddenSize)</f>
        <v>4599054336.0</v>
      </c>
      <c r="AI49" s="32">
        <f>TotalLayers*(HiddenSize*QLoraRank+QLoraRank*TP8LocalHeads*HeadDim+HiddenSize*HeadDim+TP8LocalHeads*HeadDim*OLoraRank+TP8LocalOGroups*OLoraRank*HiddenSize)</f>
        <v>811597824.0</v>
      </c>
      <c r="AJ49" s="32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AK49" s="32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0" spans="1:41">
      <c r="A50" s="4" t="s">
        <v>40</v>
      </c>
      <c r="B50" s="4" t="s">
        <v>381</v>
      </c>
      <c r="C50" s="31" t="str">
        <f>TEXT(IF(ABS(AG50)&gt;=1E12,AG50/1E12,IF(ABS(AG50)&gt;=1E9,AG50/1E9,IF(ABS(AG50)&gt;=1E6,AG50/1E6,IF(ABS(AG50)&gt;=1E3,AG50/1E3,AG50)))),"#,##0.000")&amp;IF((IF(ABS(AG50)&gt;=1E12,"T",IF(ABS(AG50)&gt;=1E9,"G",IF(ABS(AG50)&gt;=1E6,"M",IF(ABS(AG50)&gt;=1E3,"K","")))))="",""," "&amp;(IF(ABS(AG50)&gt;=1E12,"T",IF(ABS(AG50)&gt;=1E9,"G",IF(ABS(AG50)&gt;=1E6,"M",IF(ABS(AG50)&gt;=1E3,"K",""))))))</f>
        <v>261.465 M</v>
      </c>
      <c r="D50" s="31" t="str">
        <f>TEXT(IF(ABS(AH50)&gt;=1E12,AH50/1E12,IF(ABS(AH50)&gt;=1E9,AH50/1E9,IF(ABS(AH50)&gt;=1E6,AH50/1E6,IF(ABS(AH50)&gt;=1E3,AH50/1E3,AH50)))),"#,##0.000")&amp;IF((IF(ABS(AH50)&gt;=1E12,"T",IF(ABS(AH50)&gt;=1E9,"G",IF(ABS(AH50)&gt;=1E6,"M",IF(ABS(AH50)&gt;=1E3,"K","")))))="",""," "&amp;(IF(ABS(AH50)&gt;=1E12,"T",IF(ABS(AH50)&gt;=1E9,"G",IF(ABS(AH50)&gt;=1E6,"M",IF(ABS(AH50)&gt;=1E3,"K",""))))))</f>
        <v>261.465 M</v>
      </c>
      <c r="E50" s="31" t="str">
        <f>TEXT(IF(ABS(AI50)&gt;=1E12,AI50/1E12,IF(ABS(AI50)&gt;=1E9,AI50/1E9,IF(ABS(AI50)&gt;=1E6,AI50/1E6,IF(ABS(AI50)&gt;=1E3,AI50/1E3,AI50)))),"#,##0.000")&amp;IF((IF(ABS(AI50)&gt;=1E12,"T",IF(ABS(AI50)&gt;=1E9,"G",IF(ABS(AI50)&gt;=1E6,"M",IF(ABS(AI50)&gt;=1E3,"K","")))))="",""," "&amp;(IF(ABS(AI50)&gt;=1E12,"T",IF(ABS(AI50)&gt;=1E9,"G",IF(ABS(AI50)&gt;=1E6,"M",IF(ABS(AI50)&gt;=1E3,"K",""))))))</f>
        <v>261.465 M</v>
      </c>
      <c r="F50" s="31" t="str">
        <f>TEXT(IF(ABS(AJ50)&gt;=1E12,AJ50/1E12,IF(ABS(AJ50)&gt;=1E9,AJ50/1E9,IF(ABS(AJ50)&gt;=1E6,AJ50/1E6,IF(ABS(AJ50)&gt;=1E3,AJ50/1E3,AJ50)))),"#,##0.000")&amp;IF((IF(ABS(AJ50)&gt;=1E12,"TB",IF(ABS(AJ50)&gt;=1E9,"GB",IF(ABS(AJ50)&gt;=1E6,"MB",IF(ABS(AJ50)&gt;=1E3,"KB","bytes")))))="",""," "&amp;(IF(ABS(AJ50)&gt;=1E12,"TB",IF(ABS(AJ50)&gt;=1E9,"GB",IF(ABS(AJ50)&gt;=1E6,"MB",IF(ABS(AJ50)&gt;=1E3,"KB","bytes"))))))</f>
        <v>1.046 GB</v>
      </c>
      <c r="G50" s="31" t="str">
        <f>TEXT(IF(ABS(AK50)&gt;=1E12,AK50/1E12,IF(ABS(AK50)&gt;=1E9,AK50/1E9,IF(ABS(AK50)&gt;=1E6,AK50/1E6,IF(ABS(AK50)&gt;=1E3,AK50/1E3,AK50)))),"#,##0.000")&amp;IF((IF(ABS(AK50)&gt;=1E12,"TB",IF(ABS(AK50)&gt;=1E9,"GB",IF(ABS(AK50)&gt;=1E6,"MB",IF(ABS(AK50)&gt;=1E3,"KB","bytes")))))="",""," "&amp;(IF(ABS(AK50)&gt;=1E12,"TB",IF(ABS(AK50)&gt;=1E9,"GB",IF(ABS(AK50)&gt;=1E6,"MB",IF(ABS(AK50)&gt;=1E3,"KB","bytes"))))))</f>
        <v>1.046 GB</v>
      </c>
      <c r="H50" s="4" t="s">
        <v>382</v>
      </c>
      <c r="AG50" s="32">
        <f>ShortLayers*(2*HiddenSize*(2*HeadDim)+ShortRatio*2*HeadDim+HeadDim)+LongLayers*(2*HiddenSize*HeadDim+LongRatio*HeadDim+HeadDim)</f>
        <v>261464576</v>
      </c>
      <c r="AH50" s="32">
        <f>ShortLayers*(2*HiddenSize*(2*HeadDim)+ShortRatio*2*HeadDim+HeadDim)+LongLayers*(2*HiddenSize*HeadDim+LongRatio*HeadDim+HeadDim)</f>
        <v>261464576</v>
      </c>
      <c r="AI50" s="32">
        <f>ShortLayers*(2*HiddenSize*(2*HeadDim)+ShortRatio*2*HeadDim+HeadDim)+LongLayers*(2*HiddenSize*HeadDim+LongRatio*HeadDim+HeadDim)</f>
        <v>261464576</v>
      </c>
      <c r="AJ50" s="32">
        <f>ShortLayers*(2*HiddenSize*(2*HeadDim)*FP32Bytes+ShortRatio*2*HeadDim*FP32Bytes+HeadDim*FP32Bytes)+LongLayers*(2*HiddenSize*HeadDim*FP32Bytes+LongRatio*HeadDim*FP32Bytes+HeadDim*FP32Bytes)</f>
        <v>1045858304</v>
      </c>
      <c r="AK50" s="32">
        <f>ShortLayers*(2*HiddenSize*(2*HeadDim)*FP32Bytes+ShortRatio*2*HeadDim*FP32Bytes+HeadDim*FP32Bytes)+LongLayers*(2*HiddenSize*HeadDim*FP32Bytes+LongRatio*HeadDim*FP32Bytes+HeadDim*FP32Bytes)</f>
        <v>1045858304</v>
      </c>
    </row>
    <row r="51" spans="1:41">
      <c r="A51" s="4" t="s">
        <v>40</v>
      </c>
      <c r="B51" s="4" t="s">
        <v>383</v>
      </c>
      <c r="C51" s="31" t="str">
        <f>TEXT(IF(ABS(AG51)&gt;=1E12,AG51/1E12,IF(ABS(AG51)&gt;=1E9,AG51/1E9,IF(ABS(AG51)&gt;=1E6,AG51/1E6,IF(ABS(AG51)&gt;=1E3,AG51/1E3,AG51)))),"#,##0.000")&amp;IF((IF(ABS(AG51)&gt;=1E12,"T",IF(ABS(AG51)&gt;=1E9,"G",IF(ABS(AG51)&gt;=1E6,"M",IF(ABS(AG51)&gt;=1E3,"K","")))))="",""," "&amp;(IF(ABS(AG51)&gt;=1E12,"T",IF(ABS(AG51)&gt;=1E9,"G",IF(ABS(AG51)&gt;=1E6,"M",IF(ABS(AG51)&gt;=1E3,"K",""))))))</f>
        <v>225.730 M</v>
      </c>
      <c r="D51" s="31" t="str">
        <f>TEXT(IF(ABS(AH51)&gt;=1E12,AH51/1E12,IF(ABS(AH51)&gt;=1E9,AH51/1E9,IF(ABS(AH51)&gt;=1E6,AH51/1E6,IF(ABS(AH51)&gt;=1E3,AH51/1E3,AH51)))),"#,##0.000")&amp;IF((IF(ABS(AH51)&gt;=1E12,"T",IF(ABS(AH51)&gt;=1E9,"G",IF(ABS(AH51)&gt;=1E6,"M",IF(ABS(AH51)&gt;=1E3,"K","")))))="",""," "&amp;(IF(ABS(AH51)&gt;=1E12,"T",IF(ABS(AH51)&gt;=1E9,"G",IF(ABS(AH51)&gt;=1E6,"M",IF(ABS(AH51)&gt;=1E3,"K",""))))))</f>
        <v>225.730 M</v>
      </c>
      <c r="E51" s="31" t="str">
        <f>TEXT(IF(ABS(AI51)&gt;=1E12,AI51/1E12,IF(ABS(AI51)&gt;=1E9,AI51/1E9,IF(ABS(AI51)&gt;=1E6,AI51/1E6,IF(ABS(AI51)&gt;=1E3,AI51/1E3,AI51)))),"#,##0.000")&amp;IF((IF(ABS(AI51)&gt;=1E12,"T",IF(ABS(AI51)&gt;=1E9,"G",IF(ABS(AI51)&gt;=1E6,"M",IF(ABS(AI51)&gt;=1E3,"K","")))))="",""," "&amp;(IF(ABS(AI51)&gt;=1E12,"T",IF(ABS(AI51)&gt;=1E9,"G",IF(ABS(AI51)&gt;=1E6,"M",IF(ABS(AI51)&gt;=1E3,"K",""))))))</f>
        <v>66.773 M</v>
      </c>
      <c r="F51" s="31" t="str">
        <f>TEXT(IF(ABS(AJ51)&gt;=1E12,AJ51/1E12,IF(ABS(AJ51)&gt;=1E9,AJ51/1E9,IF(ABS(AJ51)&gt;=1E6,AJ51/1E6,IF(ABS(AJ51)&gt;=1E3,AJ51/1E3,AJ51)))),"#,##0.000")&amp;IF((IF(ABS(AJ51)&gt;=1E12,"TB",IF(ABS(AJ51)&gt;=1E9,"GB",IF(ABS(AJ51)&gt;=1E6,"MB",IF(ABS(AJ51)&gt;=1E3,"KB","bytes")))))="",""," "&amp;(IF(ABS(AJ51)&gt;=1E12,"TB",IF(ABS(AJ51)&gt;=1E9,"GB",IF(ABS(AJ51)&gt;=1E6,"MB",IF(ABS(AJ51)&gt;=1E3,"KB","bytes"))))))</f>
        <v>363.439 MB</v>
      </c>
      <c r="G51" s="31" t="str">
        <f>TEXT(IF(ABS(AK51)&gt;=1E12,AK51/1E12,IF(ABS(AK51)&gt;=1E9,AK51/1E9,IF(ABS(AK51)&gt;=1E6,AK51/1E6,IF(ABS(AK51)&gt;=1E3,AK51/1E3,AK51)))),"#,##0.000")&amp;IF((IF(ABS(AK51)&gt;=1E12,"TB",IF(ABS(AK51)&gt;=1E9,"GB",IF(ABS(AK51)&gt;=1E6,"MB",IF(ABS(AK51)&gt;=1E3,"KB","bytes")))))="",""," "&amp;(IF(ABS(AK51)&gt;=1E12,"TB",IF(ABS(AK51)&gt;=1E9,"GB",IF(ABS(AK51)&gt;=1E6,"MB",IF(ABS(AK51)&gt;=1E3,"KB","bytes"))))))</f>
        <v>199.655 MB</v>
      </c>
      <c r="H51" s="4" t="s">
        <v>384</v>
      </c>
      <c r="AG51" s="32">
        <f>ShortLayers*(QLoraRank*IndexHeads*IndexHeadDim+HiddenSize*IndexHeads+2*HiddenSize*(2*IndexHeadDim)+ShortRatio*2*IndexHeadDim+IndexHeadDim)</f>
        <v>225730176</v>
      </c>
      <c r="AH51" s="32">
        <f>ShortLayers*(QLoraRank*TP1LocalIndexHeads*IndexHeadDim+HiddenSize*TP1LocalIndexHeads+2*HiddenSize*(2*IndexHeadDim)+ShortRatio*2*IndexHeadDim+IndexHeadDim)</f>
        <v>225730176.0</v>
      </c>
      <c r="AI51" s="32">
        <f>ShortLayers*(QLoraRank*TP8LocalIndexHeads*IndexHeadDim+HiddenSize*TP8LocalIndexHeads+2*HiddenSize*(2*IndexHeadDim)+ShortRatio*2*IndexHeadDim+IndexHeadDim)</f>
        <v>66772608.0</v>
      </c>
      <c r="AJ51" s="32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AK51" s="32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52" spans="1:41">
      <c r="A52" s="4" t="s">
        <v>59</v>
      </c>
      <c r="B52" s="4" t="s">
        <v>361</v>
      </c>
      <c r="C52" s="31" t="str">
        <f>TEXT(IF(ABS(AG52)&gt;=1E12,AG52/1E12,IF(ABS(AG52)&gt;=1E9,AG52/1E9,IF(ABS(AG52)&gt;=1E6,AG52/1E6,IF(ABS(AG52)&gt;=1E3,AG52/1E3,AG52)))),"#,##0.000")&amp;IF((IF(ABS(AG52)&gt;=1E12,"T",IF(ABS(AG52)&gt;=1E9,"G",IF(ABS(AG52)&gt;=1E6,"M",IF(ABS(AG52)&gt;=1E3,"K","")))))="",""," "&amp;(IF(ABS(AG52)&gt;=1E12,"T",IF(ABS(AG52)&gt;=1E9,"G",IF(ABS(AG52)&gt;=1E6,"M",IF(ABS(AG52)&gt;=1E3,"K",""))))))</f>
        <v>277.025 G</v>
      </c>
      <c r="D52" s="31" t="str">
        <f>TEXT(IF(ABS(AH52)&gt;=1E12,AH52/1E12,IF(ABS(AH52)&gt;=1E9,AH52/1E9,IF(ABS(AH52)&gt;=1E6,AH52/1E6,IF(ABS(AH52)&gt;=1E3,AH52/1E3,AH52)))),"#,##0.000")&amp;IF((IF(ABS(AH52)&gt;=1E12,"T",IF(ABS(AH52)&gt;=1E9,"G",IF(ABS(AH52)&gt;=1E6,"M",IF(ABS(AH52)&gt;=1E3,"K","")))))="",""," "&amp;(IF(ABS(AH52)&gt;=1E12,"T",IF(ABS(AH52)&gt;=1E9,"G",IF(ABS(AH52)&gt;=1E6,"M",IF(ABS(AH52)&gt;=1E3,"K",""))))))</f>
        <v>277.025 G</v>
      </c>
      <c r="E52" s="31" t="str">
        <f>TEXT(IF(ABS(AI52)&gt;=1E12,AI52/1E12,IF(ABS(AI52)&gt;=1E9,AI52/1E9,IF(ABS(AI52)&gt;=1E6,AI52/1E6,IF(ABS(AI52)&gt;=1E3,AI52/1E3,AI52)))),"#,##0.000")&amp;IF((IF(ABS(AI52)&gt;=1E12,"T",IF(ABS(AI52)&gt;=1E9,"G",IF(ABS(AI52)&gt;=1E6,"M",IF(ABS(AI52)&gt;=1E3,"K","")))))="",""," "&amp;(IF(ABS(AI52)&gt;=1E12,"T",IF(ABS(AI52)&gt;=1E9,"G",IF(ABS(AI52)&gt;=1E6,"M",IF(ABS(AI52)&gt;=1E3,"K",""))))))</f>
        <v>34.628 G</v>
      </c>
      <c r="F52" s="31" t="str">
        <f>TEXT(IF(ABS(AJ52)&gt;=1E12,AJ52/1E12,IF(ABS(AJ52)&gt;=1E9,AJ52/1E9,IF(ABS(AJ52)&gt;=1E6,AJ52/1E6,IF(ABS(AJ52)&gt;=1E3,AJ52/1E3,AJ52)))),"#,##0.000")&amp;IF((IF(ABS(AJ52)&gt;=1E12,"TB",IF(ABS(AJ52)&gt;=1E9,"GB",IF(ABS(AJ52)&gt;=1E6,"MB",IF(ABS(AJ52)&gt;=1E3,"KB","bytes")))))="",""," "&amp;(IF(ABS(AJ52)&gt;=1E12,"TB",IF(ABS(AJ52)&gt;=1E9,"GB",IF(ABS(AJ52)&gt;=1E6,"MB",IF(ABS(AJ52)&gt;=1E3,"KB","bytes"))))))</f>
        <v>147.170 GB</v>
      </c>
      <c r="G52" s="31" t="str">
        <f>TEXT(IF(ABS(AK52)&gt;=1E12,AK52/1E12,IF(ABS(AK52)&gt;=1E9,AK52/1E9,IF(ABS(AK52)&gt;=1E6,AK52/1E6,IF(ABS(AK52)&gt;=1E3,AK52/1E3,AK52)))),"#,##0.000")&amp;IF((IF(ABS(AK52)&gt;=1E12,"TB",IF(ABS(AK52)&gt;=1E9,"GB",IF(ABS(AK52)&gt;=1E6,"MB",IF(ABS(AK52)&gt;=1E3,"KB","bytes")))))="",""," "&amp;(IF(ABS(AK52)&gt;=1E12,"TB",IF(ABS(AK52)&gt;=1E9,"GB",IF(ABS(AK52)&gt;=1E6,"MB",IF(ABS(AK52)&gt;=1E3,"KB","bytes"))))))</f>
        <v>18.396 GB</v>
      </c>
      <c r="H52" s="4" t="s">
        <v>385</v>
      </c>
      <c r="AG52" s="32">
        <f>TotalLayers*RoutedExperts*3*HiddenSize*ExpertInter</f>
        <v>277025390592</v>
      </c>
      <c r="AH52" s="32">
        <f>TotalLayers*TP1LocalExperts*3*HiddenSize*ExpertInter</f>
        <v>277025390592.0</v>
      </c>
      <c r="AI52" s="32">
        <f>TotalLayers*TP8LocalExperts*3*HiddenSize*ExpertInter</f>
        <v>34628173824.0</v>
      </c>
      <c r="AJ52" s="32">
        <f>TotalLayers*TP1LocalExperts*(3*HiddenSize*ExpertInter*FP4Bytes+3*HiddenSize*ExpertInter/FP4Block*ScaleBytes)</f>
        <v>147169738752.0</v>
      </c>
      <c r="AK52" s="32">
        <f>TotalLayers*TP8LocalExperts*(3*HiddenSize*ExpertInter*FP4Bytes+3*HiddenSize*ExpertInter/FP4Block*ScaleBytes)</f>
        <v>18396217344.0</v>
      </c>
    </row>
    <row r="53" spans="1:41">
      <c r="A53" s="4" t="s">
        <v>59</v>
      </c>
      <c r="B53" s="4" t="s">
        <v>252</v>
      </c>
      <c r="C53" s="31" t="str">
        <f>TEXT(IF(ABS(AG53)&gt;=1E12,AG53/1E12,IF(ABS(AG53)&gt;=1E9,AG53/1E9,IF(ABS(AG53)&gt;=1E6,AG53/1E6,IF(ABS(AG53)&gt;=1E3,AG53/1E3,AG53)))),"#,##0.000")&amp;IF((IF(ABS(AG53)&gt;=1E12,"T",IF(ABS(AG53)&gt;=1E9,"G",IF(ABS(AG53)&gt;=1E6,"M",IF(ABS(AG53)&gt;=1E3,"K","")))))="",""," "&amp;(IF(ABS(AG53)&gt;=1E12,"T",IF(ABS(AG53)&gt;=1E9,"G",IF(ABS(AG53)&gt;=1E6,"M",IF(ABS(AG53)&gt;=1E3,"K",""))))))</f>
        <v>1.082 G</v>
      </c>
      <c r="D53" s="31" t="str">
        <f>TEXT(IF(ABS(AH53)&gt;=1E12,AH53/1E12,IF(ABS(AH53)&gt;=1E9,AH53/1E9,IF(ABS(AH53)&gt;=1E6,AH53/1E6,IF(ABS(AH53)&gt;=1E3,AH53/1E3,AH53)))),"#,##0.000")&amp;IF((IF(ABS(AH53)&gt;=1E12,"T",IF(ABS(AH53)&gt;=1E9,"G",IF(ABS(AH53)&gt;=1E6,"M",IF(ABS(AH53)&gt;=1E3,"K","")))))="",""," "&amp;(IF(ABS(AH53)&gt;=1E12,"T",IF(ABS(AH53)&gt;=1E9,"G",IF(ABS(AH53)&gt;=1E6,"M",IF(ABS(AH53)&gt;=1E3,"K",""))))))</f>
        <v>1.082 G</v>
      </c>
      <c r="E53" s="31" t="str">
        <f>TEXT(IF(ABS(AI53)&gt;=1E12,AI53/1E12,IF(ABS(AI53)&gt;=1E9,AI53/1E9,IF(ABS(AI53)&gt;=1E6,AI53/1E6,IF(ABS(AI53)&gt;=1E3,AI53/1E3,AI53)))),"#,##0.000")&amp;IF((IF(ABS(AI53)&gt;=1E12,"T",IF(ABS(AI53)&gt;=1E9,"G",IF(ABS(AI53)&gt;=1E6,"M",IF(ABS(AI53)&gt;=1E3,"K","")))))="",""," "&amp;(IF(ABS(AI53)&gt;=1E12,"T",IF(ABS(AI53)&gt;=1E9,"G",IF(ABS(AI53)&gt;=1E6,"M",IF(ABS(AI53)&gt;=1E3,"K",""))))))</f>
        <v>1.082 G</v>
      </c>
      <c r="F53" s="31" t="str">
        <f>TEXT(IF(ABS(AJ53)&gt;=1E12,AJ53/1E12,IF(ABS(AJ53)&gt;=1E9,AJ53/1E9,IF(ABS(AJ53)&gt;=1E6,AJ53/1E6,IF(ABS(AJ53)&gt;=1E3,AJ53/1E3,AJ53)))),"#,##0.000")&amp;IF((IF(ABS(AJ53)&gt;=1E12,"TB",IF(ABS(AJ53)&gt;=1E9,"GB",IF(ABS(AJ53)&gt;=1E6,"MB",IF(ABS(AJ53)&gt;=1E3,"KB","bytes")))))="",""," "&amp;(IF(ABS(AJ53)&gt;=1E12,"TB",IF(ABS(AJ53)&gt;=1E9,"GB",IF(ABS(AJ53)&gt;=1E6,"MB",IF(ABS(AJ53)&gt;=1E3,"KB","bytes"))))))</f>
        <v>1.082 GB</v>
      </c>
      <c r="G53" s="31" t="str">
        <f>TEXT(IF(ABS(AK53)&gt;=1E12,AK53/1E12,IF(ABS(AK53)&gt;=1E9,AK53/1E9,IF(ABS(AK53)&gt;=1E6,AK53/1E6,IF(ABS(AK53)&gt;=1E3,AK53/1E3,AK53)))),"#,##0.000")&amp;IF((IF(ABS(AK53)&gt;=1E12,"TB",IF(ABS(AK53)&gt;=1E9,"GB",IF(ABS(AK53)&gt;=1E6,"MB",IF(ABS(AK53)&gt;=1E3,"KB","bytes")))))="",""," "&amp;(IF(ABS(AK53)&gt;=1E12,"TB",IF(ABS(AK53)&gt;=1E9,"GB",IF(ABS(AK53)&gt;=1E6,"MB",IF(ABS(AK53)&gt;=1E3,"KB","bytes"))))))</f>
        <v>1.082 GB</v>
      </c>
      <c r="H53" s="4" t="s">
        <v>386</v>
      </c>
      <c r="AG53" s="32">
        <f>TotalLayers*SharedExperts*3*HiddenSize*ExpertInter</f>
        <v>1082130432</v>
      </c>
      <c r="AH53" s="32">
        <f>TotalLayers*SharedExperts*3*HiddenSize*ExpertInter</f>
        <v>1082130432</v>
      </c>
      <c r="AI53" s="32">
        <f>TotalLayers*SharedExperts*3*HiddenSize*ExpertInter</f>
        <v>1082130432</v>
      </c>
      <c r="AJ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AK53" s="32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54" spans="1:41">
      <c r="A54" s="4" t="s">
        <v>59</v>
      </c>
      <c r="B54" s="4" t="s">
        <v>387</v>
      </c>
      <c r="C54" s="31" t="str">
        <f>TEXT(IF(ABS(AG54)&gt;=1E12,AG54/1E12,IF(ABS(AG54)&gt;=1E9,AG54/1E9,IF(ABS(AG54)&gt;=1E6,AG54/1E6,IF(ABS(AG54)&gt;=1E3,AG54/1E3,AG54)))),"#,##0.000")&amp;IF((IF(ABS(AG54)&gt;=1E12,"T",IF(ABS(AG54)&gt;=1E9,"G",IF(ABS(AG54)&gt;=1E6,"M",IF(ABS(AG54)&gt;=1E3,"K","")))))="",""," "&amp;(IF(ABS(AG54)&gt;=1E12,"T",IF(ABS(AG54)&gt;=1E9,"G",IF(ABS(AG54)&gt;=1E6,"M",IF(ABS(AG54)&gt;=1E3,"K",""))))))</f>
        <v>47.426 M</v>
      </c>
      <c r="D54" s="31" t="str">
        <f>TEXT(IF(ABS(AH54)&gt;=1E12,AH54/1E12,IF(ABS(AH54)&gt;=1E9,AH54/1E9,IF(ABS(AH54)&gt;=1E6,AH54/1E6,IF(ABS(AH54)&gt;=1E3,AH54/1E3,AH54)))),"#,##0.000")&amp;IF((IF(ABS(AH54)&gt;=1E12,"T",IF(ABS(AH54)&gt;=1E9,"G",IF(ABS(AH54)&gt;=1E6,"M",IF(ABS(AH54)&gt;=1E3,"K","")))))="",""," "&amp;(IF(ABS(AH54)&gt;=1E12,"T",IF(ABS(AH54)&gt;=1E9,"G",IF(ABS(AH54)&gt;=1E6,"M",IF(ABS(AH54)&gt;=1E3,"K",""))))))</f>
        <v>47.426 M</v>
      </c>
      <c r="E54" s="31" t="str">
        <f>TEXT(IF(ABS(AI54)&gt;=1E12,AI54/1E12,IF(ABS(AI54)&gt;=1E9,AI54/1E9,IF(ABS(AI54)&gt;=1E6,AI54/1E6,IF(ABS(AI54)&gt;=1E3,AI54/1E3,AI54)))),"#,##0.000")&amp;IF((IF(ABS(AI54)&gt;=1E12,"T",IF(ABS(AI54)&gt;=1E9,"G",IF(ABS(AI54)&gt;=1E6,"M",IF(ABS(AI54)&gt;=1E3,"K","")))))="",""," "&amp;(IF(ABS(AI54)&gt;=1E12,"T",IF(ABS(AI54)&gt;=1E9,"G",IF(ABS(AI54)&gt;=1E6,"M",IF(ABS(AI54)&gt;=1E3,"K",""))))))</f>
        <v>47.426 M</v>
      </c>
      <c r="F54" s="31" t="str">
        <f>TEXT(IF(ABS(AJ54)&gt;=1E12,AJ54/1E12,IF(ABS(AJ54)&gt;=1E9,AJ54/1E9,IF(ABS(AJ54)&gt;=1E6,AJ54/1E6,IF(ABS(AJ54)&gt;=1E3,AJ54/1E3,AJ54)))),"#,##0.000")&amp;IF((IF(ABS(AJ54)&gt;=1E12,"TB",IF(ABS(AJ54)&gt;=1E9,"GB",IF(ABS(AJ54)&gt;=1E6,"MB",IF(ABS(AJ54)&gt;=1E3,"KB","bytes")))))="",""," "&amp;(IF(ABS(AJ54)&gt;=1E12,"TB",IF(ABS(AJ54)&gt;=1E9,"GB",IF(ABS(AJ54)&gt;=1E6,"MB",IF(ABS(AJ54)&gt;=1E3,"KB","bytes"))))))</f>
        <v>99.527 MB</v>
      </c>
      <c r="G54" s="31" t="str">
        <f>TEXT(IF(ABS(AK54)&gt;=1E12,AK54/1E12,IF(ABS(AK54)&gt;=1E9,AK54/1E9,IF(ABS(AK54)&gt;=1E6,AK54/1E6,IF(ABS(AK54)&gt;=1E3,AK54/1E3,AK54)))),"#,##0.000")&amp;IF((IF(ABS(AK54)&gt;=1E12,"TB",IF(ABS(AK54)&gt;=1E9,"GB",IF(ABS(AK54)&gt;=1E6,"MB",IF(ABS(AK54)&gt;=1E3,"KB","bytes")))))="",""," "&amp;(IF(ABS(AK54)&gt;=1E12,"TB",IF(ABS(AK54)&gt;=1E9,"GB",IF(ABS(AK54)&gt;=1E6,"MB",IF(ABS(AK54)&gt;=1E3,"KB","bytes"))))))</f>
        <v>99.527 MB</v>
      </c>
      <c r="H54" s="4" t="s">
        <v>388</v>
      </c>
      <c r="AG54" s="32">
        <f>TotalLayers*RoutedExperts*HiddenSize+(TotalLayers-ActiveHashLayers)*RoutedExperts+ActiveHashLayers*VocabSize*ActivatedExperts</f>
        <v>47426048</v>
      </c>
      <c r="AH54" s="32">
        <f>TotalLayers*RoutedExperts*HiddenSize+(TotalLayers-ActiveHashLayers)*RoutedExperts+ActiveHashLayers*VocabSize*ActivatedExperts</f>
        <v>47426048</v>
      </c>
      <c r="AI54" s="32">
        <f>TotalLayers*RoutedExperts*HiddenSize+(TotalLayers-ActiveHashLayers)*RoutedExperts+ActiveHashLayers*VocabSize*ActivatedExperts</f>
        <v>47426048</v>
      </c>
      <c r="AJ54" s="32">
        <f>TotalLayers*RoutedExperts*HiddenSize*BF16Bytes+(TotalLayers-ActiveHashLayers)*RoutedExperts*FP32Bytes+ActiveHashLayers*VocabSize*ActivatedExperts*INT32Bytes</f>
        <v>99526656</v>
      </c>
      <c r="AK54" s="32">
        <f>TotalLayers*RoutedExperts*HiddenSize*BF16Bytes+(TotalLayers-ActiveHashLayers)*RoutedExperts*FP32Bytes+ActiveHashLayers*VocabSize*ActivatedExperts*INT32Bytes</f>
        <v>99526656</v>
      </c>
    </row>
    <row r="55" spans="1:41">
      <c r="A55" s="4" t="s">
        <v>254</v>
      </c>
      <c r="B55" s="4" t="s">
        <v>389</v>
      </c>
      <c r="C55" s="31" t="str">
        <f>TEXT(IF(ABS(AG55)&gt;=1E12,AG55/1E12,IF(ABS(AG55)&gt;=1E9,AG55/1E9,IF(ABS(AG55)&gt;=1E6,AG55/1E6,IF(ABS(AG55)&gt;=1E3,AG55/1E3,AG55)))),"#,##0.000")&amp;IF((IF(ABS(AG55)&gt;=1E12,"T",IF(ABS(AG55)&gt;=1E9,"G",IF(ABS(AG55)&gt;=1E6,"M",IF(ABS(AG55)&gt;=1E3,"K","")))))="",""," "&amp;(IF(ABS(AG55)&gt;=1E12,"T",IF(ABS(AG55)&gt;=1E9,"G",IF(ABS(AG55)&gt;=1E6,"M",IF(ABS(AG55)&gt;=1E3,"K",""))))))</f>
        <v>529.531 M</v>
      </c>
      <c r="D55" s="31" t="str">
        <f>TEXT(IF(ABS(AH55)&gt;=1E12,AH55/1E12,IF(ABS(AH55)&gt;=1E9,AH55/1E9,IF(ABS(AH55)&gt;=1E6,AH55/1E6,IF(ABS(AH55)&gt;=1E3,AH55/1E3,AH55)))),"#,##0.000")&amp;IF((IF(ABS(AH55)&gt;=1E12,"T",IF(ABS(AH55)&gt;=1E9,"G",IF(ABS(AH55)&gt;=1E6,"M",IF(ABS(AH55)&gt;=1E3,"K","")))))="",""," "&amp;(IF(ABS(AH55)&gt;=1E12,"T",IF(ABS(AH55)&gt;=1E9,"G",IF(ABS(AH55)&gt;=1E6,"M",IF(ABS(AH55)&gt;=1E3,"K",""))))))</f>
        <v>529.531 M</v>
      </c>
      <c r="E55" s="31" t="str">
        <f>TEXT(IF(ABS(AI55)&gt;=1E12,AI55/1E12,IF(ABS(AI55)&gt;=1E9,AI55/1E9,IF(ABS(AI55)&gt;=1E6,AI55/1E6,IF(ABS(AI55)&gt;=1E3,AI55/1E3,AI55)))),"#,##0.000")&amp;IF((IF(ABS(AI55)&gt;=1E12,"T",IF(ABS(AI55)&gt;=1E9,"G",IF(ABS(AI55)&gt;=1E6,"M",IF(ABS(AI55)&gt;=1E3,"K","")))))="",""," "&amp;(IF(ABS(AI55)&gt;=1E12,"T",IF(ABS(AI55)&gt;=1E9,"G",IF(ABS(AI55)&gt;=1E6,"M",IF(ABS(AI55)&gt;=1E3,"K",""))))))</f>
        <v>66.191 M</v>
      </c>
      <c r="F55" s="31" t="str">
        <f>TEXT(IF(ABS(AJ55)&gt;=1E12,AJ55/1E12,IF(ABS(AJ55)&gt;=1E9,AJ55/1E9,IF(ABS(AJ55)&gt;=1E6,AJ55/1E6,IF(ABS(AJ55)&gt;=1E3,AJ55/1E3,AJ55)))),"#,##0.000")&amp;IF((IF(ABS(AJ55)&gt;=1E12,"TB",IF(ABS(AJ55)&gt;=1E9,"GB",IF(ABS(AJ55)&gt;=1E6,"MB",IF(ABS(AJ55)&gt;=1E3,"KB","bytes")))))="",""," "&amp;(IF(ABS(AJ55)&gt;=1E12,"TB",IF(ABS(AJ55)&gt;=1E9,"GB",IF(ABS(AJ55)&gt;=1E6,"MB",IF(ABS(AJ55)&gt;=1E3,"KB","bytes"))))))</f>
        <v>1.059 GB</v>
      </c>
      <c r="G55" s="31" t="str">
        <f>TEXT(IF(ABS(AK55)&gt;=1E12,AK55/1E12,IF(ABS(AK55)&gt;=1E9,AK55/1E9,IF(ABS(AK55)&gt;=1E6,AK55/1E6,IF(ABS(AK55)&gt;=1E3,AK55/1E3,AK55)))),"#,##0.000")&amp;IF((IF(ABS(AK55)&gt;=1E12,"TB",IF(ABS(AK55)&gt;=1E9,"GB",IF(ABS(AK55)&gt;=1E6,"MB",IF(ABS(AK55)&gt;=1E3,"KB","bytes")))))="",""," "&amp;(IF(ABS(AK55)&gt;=1E12,"TB",IF(ABS(AK55)&gt;=1E9,"GB",IF(ABS(AK55)&gt;=1E6,"MB",IF(ABS(AK55)&gt;=1E3,"KB","bytes"))))))</f>
        <v>132.383 MB</v>
      </c>
      <c r="H55" s="4" t="s">
        <v>390</v>
      </c>
      <c r="AG55" s="32">
        <f>VocabSize*HiddenSize</f>
        <v>529530880</v>
      </c>
      <c r="AH55" s="32">
        <f>TP1LocalVocab*HiddenSize</f>
        <v>529530880.0</v>
      </c>
      <c r="AI55" s="32">
        <f>TP8LocalVocab*HiddenSize</f>
        <v>66191360.0</v>
      </c>
      <c r="AJ55" s="32">
        <f>TP1LocalVocab*HiddenSize*BF16Bytes</f>
        <v>1059061760.0</v>
      </c>
      <c r="AK55" s="32">
        <f>TP8LocalVocab*HiddenSize*BF16Bytes</f>
        <v>132382720.0</v>
      </c>
    </row>
    <row r="56" spans="1:41">
      <c r="A56" s="4" t="s">
        <v>254</v>
      </c>
      <c r="B56" s="4" t="s">
        <v>258</v>
      </c>
      <c r="C56" s="31" t="str">
        <f>TEXT(IF(ABS(AG56)&gt;=1E12,AG56/1E12,IF(ABS(AG56)&gt;=1E9,AG56/1E9,IF(ABS(AG56)&gt;=1E6,AG56/1E6,IF(ABS(AG56)&gt;=1E3,AG56/1E3,AG56)))),"#,##0.000")&amp;IF((IF(ABS(AG56)&gt;=1E12,"T",IF(ABS(AG56)&gt;=1E9,"G",IF(ABS(AG56)&gt;=1E6,"M",IF(ABS(AG56)&gt;=1E3,"K","")))))="",""," "&amp;(IF(ABS(AG56)&gt;=1E12,"T",IF(ABS(AG56)&gt;=1E9,"G",IF(ABS(AG56)&gt;=1E6,"M",IF(ABS(AG56)&gt;=1E3,"K",""))))))</f>
        <v>529.531 M</v>
      </c>
      <c r="D56" s="31" t="str">
        <f>TEXT(IF(ABS(AH56)&gt;=1E12,AH56/1E12,IF(ABS(AH56)&gt;=1E9,AH56/1E9,IF(ABS(AH56)&gt;=1E6,AH56/1E6,IF(ABS(AH56)&gt;=1E3,AH56/1E3,AH56)))),"#,##0.000")&amp;IF((IF(ABS(AH56)&gt;=1E12,"T",IF(ABS(AH56)&gt;=1E9,"G",IF(ABS(AH56)&gt;=1E6,"M",IF(ABS(AH56)&gt;=1E3,"K","")))))="",""," "&amp;(IF(ABS(AH56)&gt;=1E12,"T",IF(ABS(AH56)&gt;=1E9,"G",IF(ABS(AH56)&gt;=1E6,"M",IF(ABS(AH56)&gt;=1E3,"K",""))))))</f>
        <v>529.531 M</v>
      </c>
      <c r="E56" s="31" t="str">
        <f>TEXT(IF(ABS(AI56)&gt;=1E12,AI56/1E12,IF(ABS(AI56)&gt;=1E9,AI56/1E9,IF(ABS(AI56)&gt;=1E6,AI56/1E6,IF(ABS(AI56)&gt;=1E3,AI56/1E3,AI56)))),"#,##0.000")&amp;IF((IF(ABS(AI56)&gt;=1E12,"T",IF(ABS(AI56)&gt;=1E9,"G",IF(ABS(AI56)&gt;=1E6,"M",IF(ABS(AI56)&gt;=1E3,"K","")))))="",""," "&amp;(IF(ABS(AI56)&gt;=1E12,"T",IF(ABS(AI56)&gt;=1E9,"G",IF(ABS(AI56)&gt;=1E6,"M",IF(ABS(AI56)&gt;=1E3,"K",""))))))</f>
        <v>66.191 M</v>
      </c>
      <c r="F56" s="31" t="str">
        <f>TEXT(IF(ABS(AJ56)&gt;=1E12,AJ56/1E12,IF(ABS(AJ56)&gt;=1E9,AJ56/1E9,IF(ABS(AJ56)&gt;=1E6,AJ56/1E6,IF(ABS(AJ56)&gt;=1E3,AJ56/1E3,AJ56)))),"#,##0.000")&amp;IF((IF(ABS(AJ56)&gt;=1E12,"TB",IF(ABS(AJ56)&gt;=1E9,"GB",IF(ABS(AJ56)&gt;=1E6,"MB",IF(ABS(AJ56)&gt;=1E3,"KB","bytes")))))="",""," "&amp;(IF(ABS(AJ56)&gt;=1E12,"TB",IF(ABS(AJ56)&gt;=1E9,"GB",IF(ABS(AJ56)&gt;=1E6,"MB",IF(ABS(AJ56)&gt;=1E3,"KB","bytes"))))))</f>
        <v>2.118 GB</v>
      </c>
      <c r="G56" s="31" t="str">
        <f>TEXT(IF(ABS(AK56)&gt;=1E12,AK56/1E12,IF(ABS(AK56)&gt;=1E9,AK56/1E9,IF(ABS(AK56)&gt;=1E6,AK56/1E6,IF(ABS(AK56)&gt;=1E3,AK56/1E3,AK56)))),"#,##0.000")&amp;IF((IF(ABS(AK56)&gt;=1E12,"TB",IF(ABS(AK56)&gt;=1E9,"GB",IF(ABS(AK56)&gt;=1E6,"MB",IF(ABS(AK56)&gt;=1E3,"KB","bytes")))))="",""," "&amp;(IF(ABS(AK56)&gt;=1E12,"TB",IF(ABS(AK56)&gt;=1E9,"GB",IF(ABS(AK56)&gt;=1E6,"MB",IF(ABS(AK56)&gt;=1E3,"KB","bytes"))))))</f>
        <v>264.765 MB</v>
      </c>
      <c r="H56" s="4" t="s">
        <v>391</v>
      </c>
      <c r="AG56" s="32">
        <f>VocabSize*HiddenSize</f>
        <v>529530880</v>
      </c>
      <c r="AH56" s="32">
        <f>TP1LocalVocab*HiddenSize</f>
        <v>529530880.0</v>
      </c>
      <c r="AI56" s="32">
        <f>TP8LocalVocab*HiddenSize</f>
        <v>66191360.0</v>
      </c>
      <c r="AJ56" s="32">
        <f>TP1LocalVocab*HiddenSize*FP32Bytes</f>
        <v>2118123520.0</v>
      </c>
      <c r="AK56" s="32">
        <f>TP8LocalVocab*HiddenSize*FP32Bytes</f>
        <v>264765440.0</v>
      </c>
    </row>
    <row r="57" spans="1:41">
      <c r="A57" s="4" t="s">
        <v>254</v>
      </c>
      <c r="B57" s="4" t="s">
        <v>392</v>
      </c>
      <c r="C57" s="31" t="str">
        <f>TEXT(IF(ABS(AG57)&gt;=1E12,AG57/1E12,IF(ABS(AG57)&gt;=1E9,AG57/1E9,IF(ABS(AG57)&gt;=1E6,AG57/1E6,IF(ABS(AG57)&gt;=1E3,AG57/1E3,AG57)))),"#,##0.000")&amp;IF((IF(ABS(AG57)&gt;=1E12,"T",IF(ABS(AG57)&gt;=1E9,"G",IF(ABS(AG57)&gt;=1E6,"M",IF(ABS(AG57)&gt;=1E3,"K","")))))="",""," "&amp;(IF(ABS(AG57)&gt;=1E12,"T",IF(ABS(AG57)&gt;=1E9,"G",IF(ABS(AG57)&gt;=1E6,"M",IF(ABS(AG57)&gt;=1E3,"K",""))))))</f>
        <v>33.819 M</v>
      </c>
      <c r="D57" s="31" t="str">
        <f>TEXT(IF(ABS(AH57)&gt;=1E12,AH57/1E12,IF(ABS(AH57)&gt;=1E9,AH57/1E9,IF(ABS(AH57)&gt;=1E6,AH57/1E6,IF(ABS(AH57)&gt;=1E3,AH57/1E3,AH57)))),"#,##0.000")&amp;IF((IF(ABS(AH57)&gt;=1E12,"T",IF(ABS(AH57)&gt;=1E9,"G",IF(ABS(AH57)&gt;=1E6,"M",IF(ABS(AH57)&gt;=1E3,"K","")))))="",""," "&amp;(IF(ABS(AH57)&gt;=1E12,"T",IF(ABS(AH57)&gt;=1E9,"G",IF(ABS(AH57)&gt;=1E6,"M",IF(ABS(AH57)&gt;=1E3,"K",""))))))</f>
        <v>33.819 M</v>
      </c>
      <c r="E57" s="31" t="str">
        <f>TEXT(IF(ABS(AI57)&gt;=1E12,AI57/1E12,IF(ABS(AI57)&gt;=1E9,AI57/1E9,IF(ABS(AI57)&gt;=1E6,AI57/1E6,IF(ABS(AI57)&gt;=1E3,AI57/1E3,AI57)))),"#,##0.000")&amp;IF((IF(ABS(AI57)&gt;=1E12,"T",IF(ABS(AI57)&gt;=1E9,"G",IF(ABS(AI57)&gt;=1E6,"M",IF(ABS(AI57)&gt;=1E3,"K","")))))="",""," "&amp;(IF(ABS(AI57)&gt;=1E12,"T",IF(ABS(AI57)&gt;=1E9,"G",IF(ABS(AI57)&gt;=1E6,"M",IF(ABS(AI57)&gt;=1E3,"K",""))))))</f>
        <v>33.819 M</v>
      </c>
      <c r="F57" s="31" t="str">
        <f>TEXT(IF(ABS(AJ57)&gt;=1E12,AJ57/1E12,IF(ABS(AJ57)&gt;=1E9,AJ57/1E9,IF(ABS(AJ57)&gt;=1E6,AJ57/1E6,IF(ABS(AJ57)&gt;=1E3,AJ57/1E3,AJ57)))),"#,##0.000")&amp;IF((IF(ABS(AJ57)&gt;=1E12,"TB",IF(ABS(AJ57)&gt;=1E9,"GB",IF(ABS(AJ57)&gt;=1E6,"MB",IF(ABS(AJ57)&gt;=1E3,"KB","bytes")))))="",""," "&amp;(IF(ABS(AJ57)&gt;=1E12,"TB",IF(ABS(AJ57)&gt;=1E9,"GB",IF(ABS(AJ57)&gt;=1E6,"MB",IF(ABS(AJ57)&gt;=1E3,"KB","bytes"))))))</f>
        <v>135.276 MB</v>
      </c>
      <c r="G57" s="31" t="str">
        <f>TEXT(IF(ABS(AK57)&gt;=1E12,AK57/1E12,IF(ABS(AK57)&gt;=1E9,AK57/1E9,IF(ABS(AK57)&gt;=1E6,AK57/1E6,IF(ABS(AK57)&gt;=1E3,AK57/1E3,AK57)))),"#,##0.000")&amp;IF((IF(ABS(AK57)&gt;=1E12,"TB",IF(ABS(AK57)&gt;=1E9,"GB",IF(ABS(AK57)&gt;=1E6,"MB",IF(ABS(AK57)&gt;=1E3,"KB","bytes")))))="",""," "&amp;(IF(ABS(AK57)&gt;=1E12,"TB",IF(ABS(AK57)&gt;=1E9,"GB",IF(ABS(AK57)&gt;=1E6,"MB",IF(ABS(AK57)&gt;=1E3,"KB","bytes"))))))</f>
        <v>135.276 MB</v>
      </c>
      <c r="H57" s="4" t="s">
        <v>393</v>
      </c>
      <c r="AG57" s="32">
        <f>TotalLayers*2*(((2+HCSlots)*HCSlots)*HCSlots*HiddenSize+((2+HCSlots)*HCSlots)+3)</f>
        <v>33818898</v>
      </c>
      <c r="AH57" s="32">
        <f>TotalLayers*2*(((2+HCSlots)*HCSlots)*HCSlots*HiddenSize+((2+HCSlots)*HCSlots)+3)</f>
        <v>33818898</v>
      </c>
      <c r="AI57" s="32">
        <f>TotalLayers*2*(((2+HCSlots)*HCSlots)*HCSlots*HiddenSize+((2+HCSlots)*HCSlots)+3)</f>
        <v>33818898</v>
      </c>
      <c r="AJ57" s="32">
        <f>(TotalLayers*2*(((2+HCSlots)*HCSlots)*HCSlots*HiddenSize+((2+HCSlots)*HCSlots)+3))*FP32Bytes</f>
        <v>135275592</v>
      </c>
      <c r="AK57" s="32">
        <f>(TotalLayers*2*(((2+HCSlots)*HCSlots)*HCSlots*HiddenSize+((2+HCSlots)*HCSlots)+3))*FP32Bytes</f>
        <v>135275592</v>
      </c>
    </row>
    <row r="58" spans="1:41">
      <c r="A58" s="4" t="s">
        <v>254</v>
      </c>
      <c r="B58" s="4" t="s">
        <v>394</v>
      </c>
      <c r="C58" s="31" t="str">
        <f>TEXT(IF(ABS(AG58)&gt;=1E12,AG58/1E12,IF(ABS(AG58)&gt;=1E9,AG58/1E9,IF(ABS(AG58)&gt;=1E6,AG58/1E6,IF(ABS(AG58)&gt;=1E3,AG58/1E3,AG58)))),"#,##0.000")&amp;IF((IF(ABS(AG58)&gt;=1E12,"T",IF(ABS(AG58)&gt;=1E9,"G",IF(ABS(AG58)&gt;=1E6,"M",IF(ABS(AG58)&gt;=1E3,"K","")))))="",""," "&amp;(IF(ABS(AG58)&gt;=1E12,"T",IF(ABS(AG58)&gt;=1E9,"G",IF(ABS(AG58)&gt;=1E6,"M",IF(ABS(AG58)&gt;=1E3,"K",""))))))</f>
        <v>421.056 K</v>
      </c>
      <c r="D58" s="31" t="str">
        <f>TEXT(IF(ABS(AH58)&gt;=1E12,AH58/1E12,IF(ABS(AH58)&gt;=1E9,AH58/1E9,IF(ABS(AH58)&gt;=1E6,AH58/1E6,IF(ABS(AH58)&gt;=1E3,AH58/1E3,AH58)))),"#,##0.000")&amp;IF((IF(ABS(AH58)&gt;=1E12,"T",IF(ABS(AH58)&gt;=1E9,"G",IF(ABS(AH58)&gt;=1E6,"M",IF(ABS(AH58)&gt;=1E3,"K","")))))="",""," "&amp;(IF(ABS(AH58)&gt;=1E12,"T",IF(ABS(AH58)&gt;=1E9,"G",IF(ABS(AH58)&gt;=1E6,"M",IF(ABS(AH58)&gt;=1E3,"K",""))))))</f>
        <v>421.056 K</v>
      </c>
      <c r="E58" s="31" t="str">
        <f>TEXT(IF(ABS(AI58)&gt;=1E12,AI58/1E12,IF(ABS(AI58)&gt;=1E9,AI58/1E9,IF(ABS(AI58)&gt;=1E6,AI58/1E6,IF(ABS(AI58)&gt;=1E3,AI58/1E3,AI58)))),"#,##0.000")&amp;IF((IF(ABS(AI58)&gt;=1E12,"T",IF(ABS(AI58)&gt;=1E9,"G",IF(ABS(AI58)&gt;=1E6,"M",IF(ABS(AI58)&gt;=1E3,"K","")))))="",""," "&amp;(IF(ABS(AI58)&gt;=1E12,"T",IF(ABS(AI58)&gt;=1E9,"G",IF(ABS(AI58)&gt;=1E6,"M",IF(ABS(AI58)&gt;=1E3,"K",""))))))</f>
        <v>418.648 K</v>
      </c>
      <c r="F58" s="31" t="str">
        <f>TEXT(IF(ABS(AJ58)&gt;=1E12,AJ58/1E12,IF(ABS(AJ58)&gt;=1E9,AJ58/1E9,IF(ABS(AJ58)&gt;=1E6,AJ58/1E6,IF(ABS(AJ58)&gt;=1E3,AJ58/1E3,AJ58)))),"#,##0.000")&amp;IF((IF(ABS(AJ58)&gt;=1E12,"TB",IF(ABS(AJ58)&gt;=1E9,"GB",IF(ABS(AJ58)&gt;=1E6,"MB",IF(ABS(AJ58)&gt;=1E3,"KB","bytes")))))="",""," "&amp;(IF(ABS(AJ58)&gt;=1E12,"TB",IF(ABS(AJ58)&gt;=1E9,"GB",IF(ABS(AJ58)&gt;=1E6,"MB",IF(ABS(AJ58)&gt;=1E3,"KB","bytes"))))))</f>
        <v>1.684 MB</v>
      </c>
      <c r="G58" s="31" t="str">
        <f>TEXT(IF(ABS(AK58)&gt;=1E12,AK58/1E12,IF(ABS(AK58)&gt;=1E9,AK58/1E9,IF(ABS(AK58)&gt;=1E6,AK58/1E6,IF(ABS(AK58)&gt;=1E3,AK58/1E3,AK58)))),"#,##0.000")&amp;IF((IF(ABS(AK58)&gt;=1E12,"TB",IF(ABS(AK58)&gt;=1E9,"GB",IF(ABS(AK58)&gt;=1E6,"MB",IF(ABS(AK58)&gt;=1E3,"KB","bytes")))))="",""," "&amp;(IF(ABS(AK58)&gt;=1E12,"TB",IF(ABS(AK58)&gt;=1E9,"GB",IF(ABS(AK58)&gt;=1E6,"MB",IF(ABS(AK58)&gt;=1E3,"KB","bytes"))))))</f>
        <v>1.675 MB</v>
      </c>
      <c r="H58" s="4" t="s">
        <v>395</v>
      </c>
      <c r="AG58" s="32">
        <f>TotalLayers*(2*HiddenSize+QLoraRank+HeadDim+NumHeads)</f>
        <v>421056</v>
      </c>
      <c r="AH58" s="32">
        <f>TotalLayers*(2*HiddenSize+QLoraRank+HeadDim+TP1LocalHeads)</f>
        <v>421056.0</v>
      </c>
      <c r="AI58" s="32">
        <f>TotalLayers*(2*HiddenSize+QLoraRank+HeadDim+TP8LocalHeads)</f>
        <v>418648.0</v>
      </c>
      <c r="AJ58" s="32">
        <f>(TotalLayers*(2*HiddenSize+QLoraRank+HeadDim+TP1LocalHeads))*FP32Bytes</f>
        <v>1684224</v>
      </c>
      <c r="AK58" s="32">
        <f>(TotalLayers*(2*HiddenSize+QLoraRank+HeadDim+TP8LocalHeads))*FP32Bytes</f>
        <v>1674592</v>
      </c>
    </row>
    <row r="59" spans="1:41">
      <c r="A59" s="4" t="s">
        <v>254</v>
      </c>
      <c r="B59" s="4" t="s">
        <v>396</v>
      </c>
      <c r="C59" s="31" t="str">
        <f>TEXT(IF(ABS(AG59)&gt;=1E12,AG59/1E12,IF(ABS(AG59)&gt;=1E9,AG59/1E9,IF(ABS(AG59)&gt;=1E6,AG59/1E6,IF(ABS(AG59)&gt;=1E3,AG59/1E3,AG59)))),"#,##0.000")&amp;IF((IF(ABS(AG59)&gt;=1E12,"T",IF(ABS(AG59)&gt;=1E9,"G",IF(ABS(AG59)&gt;=1E6,"M",IF(ABS(AG59)&gt;=1E3,"K","")))))="",""," "&amp;(IF(ABS(AG59)&gt;=1E12,"T",IF(ABS(AG59)&gt;=1E9,"G",IF(ABS(AG59)&gt;=1E6,"M",IF(ABS(AG59)&gt;=1E3,"K",""))))))</f>
        <v>69.637 K</v>
      </c>
      <c r="D59" s="31" t="str">
        <f>TEXT(IF(ABS(AH59)&gt;=1E12,AH59/1E12,IF(ABS(AH59)&gt;=1E9,AH59/1E9,IF(ABS(AH59)&gt;=1E6,AH59/1E6,IF(ABS(AH59)&gt;=1E3,AH59/1E3,AH59)))),"#,##0.000")&amp;IF((IF(ABS(AH59)&gt;=1E12,"T",IF(ABS(AH59)&gt;=1E9,"G",IF(ABS(AH59)&gt;=1E6,"M",IF(ABS(AH59)&gt;=1E3,"K","")))))="",""," "&amp;(IF(ABS(AH59)&gt;=1E12,"T",IF(ABS(AH59)&gt;=1E9,"G",IF(ABS(AH59)&gt;=1E6,"M",IF(ABS(AH59)&gt;=1E3,"K",""))))))</f>
        <v>69.637 K</v>
      </c>
      <c r="E59" s="31" t="str">
        <f>TEXT(IF(ABS(AI59)&gt;=1E12,AI59/1E12,IF(ABS(AI59)&gt;=1E9,AI59/1E9,IF(ABS(AI59)&gt;=1E6,AI59/1E6,IF(ABS(AI59)&gt;=1E3,AI59/1E3,AI59)))),"#,##0.000")&amp;IF((IF(ABS(AI59)&gt;=1E12,"T",IF(ABS(AI59)&gt;=1E9,"G",IF(ABS(AI59)&gt;=1E6,"M",IF(ABS(AI59)&gt;=1E3,"K","")))))="",""," "&amp;(IF(ABS(AI59)&gt;=1E12,"T",IF(ABS(AI59)&gt;=1E9,"G",IF(ABS(AI59)&gt;=1E6,"M",IF(ABS(AI59)&gt;=1E3,"K",""))))))</f>
        <v>69.637 K</v>
      </c>
      <c r="F59" s="31" t="str">
        <f>TEXT(IF(ABS(AJ59)&gt;=1E12,AJ59/1E12,IF(ABS(AJ59)&gt;=1E9,AJ59/1E9,IF(ABS(AJ59)&gt;=1E6,AJ59/1E6,IF(ABS(AJ59)&gt;=1E3,AJ59/1E3,AJ59)))),"#,##0.000")&amp;IF((IF(ABS(AJ59)&gt;=1E12,"TB",IF(ABS(AJ59)&gt;=1E9,"GB",IF(ABS(AJ59)&gt;=1E6,"MB",IF(ABS(AJ59)&gt;=1E3,"KB","bytes")))))="",""," "&amp;(IF(ABS(AJ59)&gt;=1E12,"TB",IF(ABS(AJ59)&gt;=1E9,"GB",IF(ABS(AJ59)&gt;=1E6,"MB",IF(ABS(AJ59)&gt;=1E3,"KB","bytes"))))))</f>
        <v>278.548 KB</v>
      </c>
      <c r="G59" s="31" t="str">
        <f>TEXT(IF(ABS(AK59)&gt;=1E12,AK59/1E12,IF(ABS(AK59)&gt;=1E9,AK59/1E9,IF(ABS(AK59)&gt;=1E6,AK59/1E6,IF(ABS(AK59)&gt;=1E3,AK59/1E3,AK59)))),"#,##0.000")&amp;IF((IF(ABS(AK59)&gt;=1E12,"TB",IF(ABS(AK59)&gt;=1E9,"GB",IF(ABS(AK59)&gt;=1E6,"MB",IF(ABS(AK59)&gt;=1E3,"KB","bytes")))))="",""," "&amp;(IF(ABS(AK59)&gt;=1E12,"TB",IF(ABS(AK59)&gt;=1E9,"GB",IF(ABS(AK59)&gt;=1E6,"MB",IF(ABS(AK59)&gt;=1E3,"KB","bytes"))))))</f>
        <v>278.548 KB</v>
      </c>
      <c r="H59" s="4" t="s">
        <v>397</v>
      </c>
      <c r="AG59" s="32">
        <f>HCSlots*HCSlots*HiddenSize+HCSlots+1+HiddenSize</f>
        <v>69637</v>
      </c>
      <c r="AH59" s="32">
        <f>HCSlots*HCSlots*HiddenSize+HCSlots+1+HiddenSize</f>
        <v>69637</v>
      </c>
      <c r="AI59" s="32">
        <f>HCSlots*HCSlots*HiddenSize+HCSlots+1+HiddenSize</f>
        <v>69637</v>
      </c>
      <c r="AJ59" s="32">
        <f>(HCSlots*HCSlots*HiddenSize+HCSlots+1+HiddenSize)*FP32Bytes</f>
        <v>278548</v>
      </c>
      <c r="AK59" s="32">
        <f>(HCSlots*HCSlots*HiddenSize+HCSlots+1+HiddenSize)*FP32Bytes</f>
        <v>278548</v>
      </c>
    </row>
    <row r="61" spans="1:41">
      <c r="A61" s="30" t="s">
        <v>398</v>
      </c>
      <c r="B61" s="30"/>
      <c r="C61" s="30"/>
      <c r="D61" s="30"/>
      <c r="E61" s="30"/>
    </row>
    <row r="62" spans="1:41">
      <c r="A62" t="s">
        <v>372</v>
      </c>
      <c r="B62" t="s">
        <v>375</v>
      </c>
      <c r="C62" t="s">
        <v>376</v>
      </c>
      <c r="D62" t="s">
        <v>377</v>
      </c>
      <c r="E62" t="s">
        <v>378</v>
      </c>
    </row>
    <row r="63" spans="1:41">
      <c r="A63" s="4" t="s">
        <v>40</v>
      </c>
      <c r="B63" s="31" t="str">
        <f>TEXT(IF(ABS(AL63)&gt;=1E12,AL63/1E12,IF(ABS(AL63)&gt;=1E9,AL63/1E9,IF(ABS(AL63)&gt;=1E6,AL63/1E6,IF(ABS(AL63)&gt;=1E3,AL63/1E3,AL63)))),"#,##0.000")&amp;IF((IF(ABS(AL63)&gt;=1E12,"T",IF(ABS(AL63)&gt;=1E9,"G",IF(ABS(AL63)&gt;=1E6,"M",IF(ABS(AL63)&gt;=1E3,"K","")))))="",""," "&amp;(IF(ABS(AL63)&gt;=1E12,"T",IF(ABS(AL63)&gt;=1E9,"G",IF(ABS(AL63)&gt;=1E6,"M",IF(ABS(AL63)&gt;=1E3,"K",""))))))</f>
        <v>5.086 G</v>
      </c>
      <c r="C63" s="31" t="str">
        <f>TEXT(IF(ABS(AM63)&gt;=1E12,AM63/1E12,IF(ABS(AM63)&gt;=1E9,AM63/1E9,IF(ABS(AM63)&gt;=1E6,AM63/1E6,IF(ABS(AM63)&gt;=1E3,AM63/1E3,AM63)))),"#,##0.000")&amp;IF((IF(ABS(AM63)&gt;=1E12,"T",IF(ABS(AM63)&gt;=1E9,"G",IF(ABS(AM63)&gt;=1E6,"M",IF(ABS(AM63)&gt;=1E3,"K","")))))="",""," "&amp;(IF(ABS(AM63)&gt;=1E12,"T",IF(ABS(AM63)&gt;=1E9,"G",IF(ABS(AM63)&gt;=1E6,"M",IF(ABS(AM63)&gt;=1E3,"K",""))))))</f>
        <v>1.140 G</v>
      </c>
      <c r="D63" s="31" t="str">
        <f>TEXT(IF(ABS(AN63)&gt;=1E12,AN63/1E12,IF(ABS(AN63)&gt;=1E9,AN63/1E9,IF(ABS(AN63)&gt;=1E6,AN63/1E6,IF(ABS(AN63)&gt;=1E3,AN63/1E3,AN63)))),"#,##0.000")&amp;IF((IF(ABS(AN63)&gt;=1E12,"TB",IF(ABS(AN63)&gt;=1E9,"GB",IF(ABS(AN63)&gt;=1E6,"MB",IF(ABS(AN63)&gt;=1E3,"KB","bytes")))))="",""," "&amp;(IF(ABS(AN63)&gt;=1E12,"TB",IF(ABS(AN63)&gt;=1E9,"GB",IF(ABS(AN63)&gt;=1E6,"MB",IF(ABS(AN63)&gt;=1E3,"KB","bytes"))))))</f>
        <v>7.451 GB</v>
      </c>
      <c r="E63" s="31" t="str">
        <f>TEXT(IF(ABS(AO63)&gt;=1E12,AO63/1E12,IF(ABS(AO63)&gt;=1E9,AO63/1E9,IF(ABS(AO63)&gt;=1E6,AO63/1E6,IF(ABS(AO63)&gt;=1E3,AO63/1E3,AO63)))),"#,##0.000")&amp;IF((IF(ABS(AO63)&gt;=1E12,"TB",IF(ABS(AO63)&gt;=1E9,"GB",IF(ABS(AO63)&gt;=1E6,"MB",IF(ABS(AO63)&gt;=1E3,"KB","bytes")))))="",""," "&amp;(IF(ABS(AO63)&gt;=1E12,"TB",IF(ABS(AO63)&gt;=1E9,"GB",IF(ABS(AO63)&gt;=1E6,"MB",IF(ABS(AO63)&gt;=1E3,"KB","bytes"))))))</f>
        <v>2.238 GB</v>
      </c>
      <c r="AL63" s="32">
        <f>SUMIF($A$49:$A$59,"注意力",$AH$49:$AH$59)</f>
        <v>5086249088.0</v>
      </c>
      <c r="AM63" s="32">
        <f>SUMIF($A$49:$A$59,"注意力",$AI$49:$AI$59)</f>
        <v>1139835008.0</v>
      </c>
      <c r="AN63" s="32">
        <f>SUMIF($A$49:$A$59,"注意力",$AJ$49:$AJ$59)</f>
        <v>7451384960</v>
      </c>
      <c r="AO63" s="32">
        <f>SUMIF($A$49:$A$59,"注意力",$AK$49:$AK$59)</f>
        <v>2237504960</v>
      </c>
    </row>
    <row r="64" spans="1:41">
      <c r="A64" s="4" t="s">
        <v>59</v>
      </c>
      <c r="B64" s="31" t="str">
        <f>TEXT(IF(ABS(AL64)&gt;=1E12,AL64/1E12,IF(ABS(AL64)&gt;=1E9,AL64/1E9,IF(ABS(AL64)&gt;=1E6,AL64/1E6,IF(ABS(AL64)&gt;=1E3,AL64/1E3,AL64)))),"#,##0.000")&amp;IF((IF(ABS(AL64)&gt;=1E12,"T",IF(ABS(AL64)&gt;=1E9,"G",IF(ABS(AL64)&gt;=1E6,"M",IF(ABS(AL64)&gt;=1E3,"K","")))))="",""," "&amp;(IF(ABS(AL64)&gt;=1E12,"T",IF(ABS(AL64)&gt;=1E9,"G",IF(ABS(AL64)&gt;=1E6,"M",IF(ABS(AL64)&gt;=1E3,"K",""))))))</f>
        <v>278.155 G</v>
      </c>
      <c r="C64" s="31" t="str">
        <f>TEXT(IF(ABS(AM64)&gt;=1E12,AM64/1E12,IF(ABS(AM64)&gt;=1E9,AM64/1E9,IF(ABS(AM64)&gt;=1E6,AM64/1E6,IF(ABS(AM64)&gt;=1E3,AM64/1E3,AM64)))),"#,##0.000")&amp;IF((IF(ABS(AM64)&gt;=1E12,"T",IF(ABS(AM64)&gt;=1E9,"G",IF(ABS(AM64)&gt;=1E6,"M",IF(ABS(AM64)&gt;=1E3,"K","")))))="",""," "&amp;(IF(ABS(AM64)&gt;=1E12,"T",IF(ABS(AM64)&gt;=1E9,"G",IF(ABS(AM64)&gt;=1E6,"M",IF(ABS(AM64)&gt;=1E3,"K",""))))))</f>
        <v>35.758 G</v>
      </c>
      <c r="D64" s="31" t="str">
        <f>TEXT(IF(ABS(AN64)&gt;=1E12,AN64/1E12,IF(ABS(AN64)&gt;=1E9,AN64/1E9,IF(ABS(AN64)&gt;=1E6,AN64/1E6,IF(ABS(AN64)&gt;=1E3,AN64/1E3,AN64)))),"#,##0.000")&amp;IF((IF(ABS(AN64)&gt;=1E12,"TB",IF(ABS(AN64)&gt;=1E9,"GB",IF(ABS(AN64)&gt;=1E6,"MB",IF(ABS(AN64)&gt;=1E3,"KB","bytes")))))="",""," "&amp;(IF(ABS(AN64)&gt;=1E12,"TB",IF(ABS(AN64)&gt;=1E9,"GB",IF(ABS(AN64)&gt;=1E6,"MB",IF(ABS(AN64)&gt;=1E3,"KB","bytes"))))))</f>
        <v>148.351 GB</v>
      </c>
      <c r="E64" s="31" t="str">
        <f>TEXT(IF(ABS(AO64)&gt;=1E12,AO64/1E12,IF(ABS(AO64)&gt;=1E9,AO64/1E9,IF(ABS(AO64)&gt;=1E6,AO64/1E6,IF(ABS(AO64)&gt;=1E3,AO64/1E3,AO64)))),"#,##0.000")&amp;IF((IF(ABS(AO64)&gt;=1E12,"TB",IF(ABS(AO64)&gt;=1E9,"GB",IF(ABS(AO64)&gt;=1E6,"MB",IF(ABS(AO64)&gt;=1E3,"KB","bytes")))))="",""," "&amp;(IF(ABS(AO64)&gt;=1E12,"TB",IF(ABS(AO64)&gt;=1E9,"GB",IF(ABS(AO64)&gt;=1E6,"MB",IF(ABS(AO64)&gt;=1E3,"KB","bytes"))))))</f>
        <v>19.578 GB</v>
      </c>
      <c r="AL64" s="32">
        <f>SUMIF($A$49:$A$59,"混合专家",$AH$49:$AH$59)</f>
        <v>278154947072.0</v>
      </c>
      <c r="AM64" s="32">
        <f>SUMIF($A$49:$A$59,"混合专家",$AI$49:$AI$59)</f>
        <v>35757730304.0</v>
      </c>
      <c r="AN64" s="32">
        <f>SUMIF($A$49:$A$59,"混合专家",$AJ$49:$AJ$59)</f>
        <v>148351461888.0</v>
      </c>
      <c r="AO64" s="32">
        <f>SUMIF($A$49:$A$59,"混合专家",$AK$49:$AK$59)</f>
        <v>19577940480.0</v>
      </c>
    </row>
    <row r="65" spans="1:43">
      <c r="A65" s="4" t="s">
        <v>254</v>
      </c>
      <c r="B65" s="31" t="str">
        <f>TEXT(IF(ABS(AL65)&gt;=1E12,AL65/1E12,IF(ABS(AL65)&gt;=1E9,AL65/1E9,IF(ABS(AL65)&gt;=1E6,AL65/1E6,IF(ABS(AL65)&gt;=1E3,AL65/1E3,AL65)))),"#,##0.000")&amp;IF((IF(ABS(AL65)&gt;=1E12,"T",IF(ABS(AL65)&gt;=1E9,"G",IF(ABS(AL65)&gt;=1E6,"M",IF(ABS(AL65)&gt;=1E3,"K","")))))="",""," "&amp;(IF(ABS(AL65)&gt;=1E12,"T",IF(ABS(AL65)&gt;=1E9,"G",IF(ABS(AL65)&gt;=1E6,"M",IF(ABS(AL65)&gt;=1E3,"K",""))))))</f>
        <v>1.093 G</v>
      </c>
      <c r="C65" s="31" t="str">
        <f>TEXT(IF(ABS(AM65)&gt;=1E12,AM65/1E12,IF(ABS(AM65)&gt;=1E9,AM65/1E9,IF(ABS(AM65)&gt;=1E6,AM65/1E6,IF(ABS(AM65)&gt;=1E3,AM65/1E3,AM65)))),"#,##0.000")&amp;IF((IF(ABS(AM65)&gt;=1E12,"T",IF(ABS(AM65)&gt;=1E9,"G",IF(ABS(AM65)&gt;=1E6,"M",IF(ABS(AM65)&gt;=1E3,"K","")))))="",""," "&amp;(IF(ABS(AM65)&gt;=1E12,"T",IF(ABS(AM65)&gt;=1E9,"G",IF(ABS(AM65)&gt;=1E6,"M",IF(ABS(AM65)&gt;=1E3,"K",""))))))</f>
        <v>166.690 M</v>
      </c>
      <c r="D65" s="31" t="str">
        <f>TEXT(IF(ABS(AN65)&gt;=1E12,AN65/1E12,IF(ABS(AN65)&gt;=1E9,AN65/1E9,IF(ABS(AN65)&gt;=1E6,AN65/1E6,IF(ABS(AN65)&gt;=1E3,AN65/1E3,AN65)))),"#,##0.000")&amp;IF((IF(ABS(AN65)&gt;=1E12,"TB",IF(ABS(AN65)&gt;=1E9,"GB",IF(ABS(AN65)&gt;=1E6,"MB",IF(ABS(AN65)&gt;=1E3,"KB","bytes")))))="",""," "&amp;(IF(ABS(AN65)&gt;=1E12,"TB",IF(ABS(AN65)&gt;=1E9,"GB",IF(ABS(AN65)&gt;=1E6,"MB",IF(ABS(AN65)&gt;=1E3,"KB","bytes"))))))</f>
        <v>3.314 GB</v>
      </c>
      <c r="E65" s="31" t="str">
        <f>TEXT(IF(ABS(AO65)&gt;=1E12,AO65/1E12,IF(ABS(AO65)&gt;=1E9,AO65/1E9,IF(ABS(AO65)&gt;=1E6,AO65/1E6,IF(ABS(AO65)&gt;=1E3,AO65/1E3,AO65)))),"#,##0.000")&amp;IF((IF(ABS(AO65)&gt;=1E12,"TB",IF(ABS(AO65)&gt;=1E9,"GB",IF(ABS(AO65)&gt;=1E6,"MB",IF(ABS(AO65)&gt;=1E3,"KB","bytes")))))="",""," "&amp;(IF(ABS(AO65)&gt;=1E12,"TB",IF(ABS(AO65)&gt;=1E9,"GB",IF(ABS(AO65)&gt;=1E6,"MB",IF(ABS(AO65)&gt;=1E3,"KB","bytes"))))))</f>
        <v>534.377 MB</v>
      </c>
      <c r="AL65" s="32">
        <f>SUMIF($A$49:$A$59,"其他",$AH$49:$AH$59)</f>
        <v>1093371351.0</v>
      </c>
      <c r="AM65" s="32">
        <f>SUMIF($A$49:$A$59,"其他",$AI$49:$AI$59)</f>
        <v>166689903.0</v>
      </c>
      <c r="AN65" s="32">
        <f>SUMIF($A$49:$A$59,"其他",$AJ$49:$AJ$59)</f>
        <v>3314423644.0</v>
      </c>
      <c r="AO65" s="32">
        <f>SUMIF($A$49:$A$59,"其他",$AK$49:$AK$59)</f>
        <v>534376892.0</v>
      </c>
    </row>
    <row r="66" spans="1:43">
      <c r="A66" s="33" t="s">
        <v>399</v>
      </c>
      <c r="B66" s="33" t="str">
        <f>TEXT(IF(ABS(AL66)&gt;=1E12,AL66/1E12,IF(ABS(AL66)&gt;=1E9,AL66/1E9,IF(ABS(AL66)&gt;=1E6,AL66/1E6,IF(ABS(AL66)&gt;=1E3,AL66/1E3,AL66)))),"#,##0.000")&amp;IF((IF(ABS(AL66)&gt;=1E12,"T",IF(ABS(AL66)&gt;=1E9,"G",IF(ABS(AL66)&gt;=1E6,"M",IF(ABS(AL66)&gt;=1E3,"K","")))))="",""," "&amp;(IF(ABS(AL66)&gt;=1E12,"T",IF(ABS(AL66)&gt;=1E9,"G",IF(ABS(AL66)&gt;=1E6,"M",IF(ABS(AL66)&gt;=1E3,"K",""))))))</f>
        <v>284.335 G</v>
      </c>
      <c r="C66" s="33" t="str">
        <f>TEXT(IF(ABS(AM66)&gt;=1E12,AM66/1E12,IF(ABS(AM66)&gt;=1E9,AM66/1E9,IF(ABS(AM66)&gt;=1E6,AM66/1E6,IF(ABS(AM66)&gt;=1E3,AM66/1E3,AM66)))),"#,##0.000")&amp;IF((IF(ABS(AM66)&gt;=1E12,"T",IF(ABS(AM66)&gt;=1E9,"G",IF(ABS(AM66)&gt;=1E6,"M",IF(ABS(AM66)&gt;=1E3,"K","")))))="",""," "&amp;(IF(ABS(AM66)&gt;=1E12,"T",IF(ABS(AM66)&gt;=1E9,"G",IF(ABS(AM66)&gt;=1E6,"M",IF(ABS(AM66)&gt;=1E3,"K",""))))))</f>
        <v>37.064 G</v>
      </c>
      <c r="D66" s="33" t="str">
        <f>TEXT(IF(ABS(AN66)&gt;=1E12,AN66/1E12,IF(ABS(AN66)&gt;=1E9,AN66/1E9,IF(ABS(AN66)&gt;=1E6,AN66/1E6,IF(ABS(AN66)&gt;=1E3,AN66/1E3,AN66)))),"#,##0.000")&amp;IF((IF(ABS(AN66)&gt;=1E12,"TB",IF(ABS(AN66)&gt;=1E9,"GB",IF(ABS(AN66)&gt;=1E6,"MB",IF(ABS(AN66)&gt;=1E3,"KB","bytes")))))="",""," "&amp;(IF(ABS(AN66)&gt;=1E12,"TB",IF(ABS(AN66)&gt;=1E9,"GB",IF(ABS(AN66)&gt;=1E6,"MB",IF(ABS(AN66)&gt;=1E3,"KB","bytes"))))))</f>
        <v>159.117 GB</v>
      </c>
      <c r="E66" s="33" t="str">
        <f>TEXT(IF(ABS(AO66)&gt;=1E12,AO66/1E12,IF(ABS(AO66)&gt;=1E9,AO66/1E9,IF(ABS(AO66)&gt;=1E6,AO66/1E6,IF(ABS(AO66)&gt;=1E3,AO66/1E3,AO66)))),"#,##0.000")&amp;IF((IF(ABS(AO66)&gt;=1E12,"TB",IF(ABS(AO66)&gt;=1E9,"GB",IF(ABS(AO66)&gt;=1E6,"MB",IF(ABS(AO66)&gt;=1E3,"KB","bytes")))))="",""," "&amp;(IF(ABS(AO66)&gt;=1E12,"TB",IF(ABS(AO66)&gt;=1E9,"GB",IF(ABS(AO66)&gt;=1E6,"MB",IF(ABS(AO66)&gt;=1E3,"KB","bytes"))))))</f>
        <v>22.350 GB</v>
      </c>
      <c r="AL66" s="32">
        <f>SUM($AH$49:$AH$59)</f>
        <v>284334567511.0</v>
      </c>
      <c r="AM66" s="32">
        <f>SUM($AI$49:$AI$59)</f>
        <v>37064255215.0</v>
      </c>
      <c r="AN66" s="32">
        <f>SUM($AJ$49:$AJ$59)</f>
        <v>159117270492.0</v>
      </c>
      <c r="AO66" s="32">
        <f>SUM($AK$49:$AK$59)</f>
        <v>22349822332.0</v>
      </c>
    </row>
    <row r="68" spans="1:43">
      <c r="A68" s="30" t="s">
        <v>400</v>
      </c>
      <c r="B68" s="30"/>
      <c r="C68" s="30"/>
      <c r="D68" s="30"/>
    </row>
    <row r="69" spans="1:43">
      <c r="A69" t="s">
        <v>401</v>
      </c>
      <c r="B69" t="s">
        <v>402</v>
      </c>
      <c r="C69" t="s">
        <v>403</v>
      </c>
      <c r="D69" t="s">
        <v>6</v>
      </c>
    </row>
    <row r="70" spans="1:43">
      <c r="A70" s="4" t="s">
        <v>428</v>
      </c>
      <c r="B70" s="31" t="str">
        <f>TEXT(IF(ABS(AP70)&gt;=1E12,AP70/1E12,IF(ABS(AP70)&gt;=1E9,AP70/1E9,IF(ABS(AP70)&gt;=1E6,AP70/1E6,IF(ABS(AP70)&gt;=1E3,AP70/1E3,AP70)))),"#,##0.000")&amp;IF((IF(ABS(AP70)&gt;=1E12,"TB",IF(ABS(AP70)&gt;=1E9,"GB",IF(ABS(AP70)&gt;=1E6,"MB",IF(ABS(AP70)&gt;=1E3,"KB","bytes")))))="",""," "&amp;(IF(ABS(AP70)&gt;=1E12,"TB",IF(ABS(AP70)&gt;=1E9,"GB",IF(ABS(AP70)&gt;=1E6,"MB",IF(ABS(AP70)&gt;=1E3,"KB","bytes"))))))</f>
        <v>5.811 GB</v>
      </c>
      <c r="C70" s="31" t="str">
        <f>TEXT(IF(ABS(AQ70)&gt;=1E12,AQ70/1E12,IF(ABS(AQ70)&gt;=1E9,AQ70/1E9,IF(ABS(AQ70)&gt;=1E6,AQ70/1E6,IF(ABS(AQ70)&gt;=1E3,AQ70/1E3,AQ70)))),"#,##0.000")&amp;IF((IF(ABS(AQ70)&gt;=1E12,"TB",IF(ABS(AQ70)&gt;=1E9,"GB",IF(ABS(AQ70)&gt;=1E6,"MB",IF(ABS(AQ70)&gt;=1E3,"KB","bytes")))))="",""," "&amp;(IF(ABS(AQ70)&gt;=1E12,"TB",IF(ABS(AQ70)&gt;=1E9,"GB",IF(ABS(AQ70)&gt;=1E6,"MB",IF(ABS(AQ70)&gt;=1E3,"KB","bytes"))))))</f>
        <v>5.811 GB</v>
      </c>
      <c r="D70" s="4" t="s">
        <v>429</v>
      </c>
      <c r="AP70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AQ70" s="32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71" spans="1:43">
      <c r="A71" s="4" t="s">
        <v>430</v>
      </c>
      <c r="B71" s="31" t="str">
        <f>TEXT(IF(ABS(AP71)&gt;=1E12,AP71/1E12,IF(ABS(AP71)&gt;=1E9,AP71/1E9,IF(ABS(AP71)&gt;=1E6,AP71/1E6,IF(ABS(AP71)&gt;=1E3,AP71/1E3,AP71)))),"#,##0.000")&amp;IF((IF(ABS(AP71)&gt;=1E12,"TB",IF(ABS(AP71)&gt;=1E9,"GB",IF(ABS(AP71)&gt;=1E6,"MB",IF(ABS(AP71)&gt;=1E3,"KB","bytes")))))="",""," "&amp;(IF(ABS(AP71)&gt;=1E12,"TB",IF(ABS(AP71)&gt;=1E9,"GB",IF(ABS(AP71)&gt;=1E6,"MB",IF(ABS(AP71)&gt;=1E3,"KB","bytes"))))))</f>
        <v>1.409 GB</v>
      </c>
      <c r="C71" s="31" t="str">
        <f>TEXT(IF(ABS(AQ71)&gt;=1E12,AQ71/1E12,IF(ABS(AQ71)&gt;=1E9,AQ71/1E9,IF(ABS(AQ71)&gt;=1E6,AQ71/1E6,IF(ABS(AQ71)&gt;=1E3,AQ71/1E3,AQ71)))),"#,##0.000")&amp;IF((IF(ABS(AQ71)&gt;=1E12,"TB",IF(ABS(AQ71)&gt;=1E9,"GB",IF(ABS(AQ71)&gt;=1E6,"MB",IF(ABS(AQ71)&gt;=1E3,"KB","bytes")))))="",""," "&amp;(IF(ABS(AQ71)&gt;=1E12,"TB",IF(ABS(AQ71)&gt;=1E9,"GB",IF(ABS(AQ71)&gt;=1E6,"MB",IF(ABS(AQ71)&gt;=1E3,"KB","bytes"))))))</f>
        <v>1.409 GB</v>
      </c>
      <c r="D71" s="4" t="s">
        <v>431</v>
      </c>
      <c r="AP71" s="32">
        <f>DecodeBatch*ShortLayers*INT(DecodeContext/ShortRatio)*IndexHeadDim*BF16Bytes</f>
        <v>1409286144</v>
      </c>
      <c r="AQ71" s="32">
        <f>DecodeBatch*ShortLayers*INT(DecodeContext/ShortRatio)*IndexHeadDim*BF16Bytes</f>
        <v>1409286144</v>
      </c>
    </row>
    <row r="72" spans="1:43">
      <c r="A72" s="4" t="s">
        <v>432</v>
      </c>
      <c r="B72" s="31" t="str">
        <f>TEXT(IF(ABS(AP72)&gt;=1E12,AP72/1E12,IF(ABS(AP72)&gt;=1E9,AP72/1E9,IF(ABS(AP72)&gt;=1E6,AP72/1E6,IF(ABS(AP72)&gt;=1E3,AP72/1E3,AP72)))),"#,##0.000")&amp;IF((IF(ABS(AP72)&gt;=1E12,"TB",IF(ABS(AP72)&gt;=1E9,"GB",IF(ABS(AP72)&gt;=1E6,"MB",IF(ABS(AP72)&gt;=1E3,"KB","bytes")))))="",""," "&amp;(IF(ABS(AP72)&gt;=1E12,"TB",IF(ABS(AP72)&gt;=1E9,"GB",IF(ABS(AP72)&gt;=1E6,"MB",IF(ABS(AP72)&gt;=1E3,"KB","bytes"))))))</f>
        <v>12.206 MB</v>
      </c>
      <c r="C72" s="31" t="str">
        <f>TEXT(IF(ABS(AQ72)&gt;=1E12,AQ72/1E12,IF(ABS(AQ72)&gt;=1E9,AQ72/1E9,IF(ABS(AQ72)&gt;=1E6,AQ72/1E6,IF(ABS(AQ72)&gt;=1E3,AQ72/1E3,AQ72)))),"#,##0.000")&amp;IF((IF(ABS(AQ72)&gt;=1E12,"TB",IF(ABS(AQ72)&gt;=1E9,"GB",IF(ABS(AQ72)&gt;=1E6,"MB",IF(ABS(AQ72)&gt;=1E3,"KB","bytes")))))="",""," "&amp;(IF(ABS(AQ72)&gt;=1E12,"TB",IF(ABS(AQ72)&gt;=1E9,"GB",IF(ABS(AQ72)&gt;=1E6,"MB",IF(ABS(AQ72)&gt;=1E3,"KB","bytes"))))))</f>
        <v>12.206 MB</v>
      </c>
      <c r="D72" s="4" t="s">
        <v>433</v>
      </c>
      <c r="AP72" s="32">
        <f>DecodeBatch*FP32Bytes*(ShortLayers*2*(2*ShortRatio)*(2*HeadDim)+LongLayers*2*LongRatio*HeadDim+ShortLayers*2*(2*ShortRatio)*(2*IndexHeadDim))</f>
        <v>12206080</v>
      </c>
      <c r="AQ72" s="32">
        <f>DecodeBatch*FP32Bytes*(ShortLayers*2*(2*ShortRatio)*(2*HeadDim)+LongLayers*2*LongRatio*HeadDim+ShortLayers*2*(2*ShortRatio)*(2*IndexHeadDim))</f>
        <v>12206080</v>
      </c>
    </row>
    <row r="73" spans="1:43">
      <c r="A73" s="4" t="s">
        <v>434</v>
      </c>
      <c r="B73" s="31" t="str">
        <f>TEXT(IF(ABS(AP73)&gt;=1E12,AP73/1E12,IF(ABS(AP73)&gt;=1E9,AP73/1E9,IF(ABS(AP73)&gt;=1E6,AP73/1E6,IF(ABS(AP73)&gt;=1E3,AP73/1E3,AP73)))),"#,##0.000")&amp;IF((IF(ABS(AP73)&gt;=1E12,"TB",IF(ABS(AP73)&gt;=1E9,"GB",IF(ABS(AP73)&gt;=1E6,"MB",IF(ABS(AP73)&gt;=1E3,"KB","bytes")))))="",""," "&amp;(IF(ABS(AP73)&gt;=1E12,"TB",IF(ABS(AP73)&gt;=1E9,"GB",IF(ABS(AP73)&gt;=1E6,"MB",IF(ABS(AP73)&gt;=1E3,"KB","bytes"))))))</f>
        <v>7.232 GB</v>
      </c>
      <c r="C73" s="31" t="str">
        <f>TEXT(IF(ABS(AQ73)&gt;=1E12,AQ73/1E12,IF(ABS(AQ73)&gt;=1E9,AQ73/1E9,IF(ABS(AQ73)&gt;=1E6,AQ73/1E6,IF(ABS(AQ73)&gt;=1E3,AQ73/1E3,AQ73)))),"#,##0.000")&amp;IF((IF(ABS(AQ73)&gt;=1E12,"TB",IF(ABS(AQ73)&gt;=1E9,"GB",IF(ABS(AQ73)&gt;=1E6,"MB",IF(ABS(AQ73)&gt;=1E3,"KB","bytes")))))="",""," "&amp;(IF(ABS(AQ73)&gt;=1E12,"TB",IF(ABS(AQ73)&gt;=1E9,"GB",IF(ABS(AQ73)&gt;=1E6,"MB",IF(ABS(AQ73)&gt;=1E3,"KB","bytes"))))))</f>
        <v>7.232 GB</v>
      </c>
      <c r="D73" s="4" t="s">
        <v>435</v>
      </c>
      <c r="AP73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AQ73" s="32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76" spans="1:43">
      <c r="A76" s="30" t="s">
        <v>412</v>
      </c>
      <c r="B76" s="30"/>
      <c r="C76" s="30"/>
      <c r="D76" s="30"/>
      <c r="E76" s="30"/>
      <c r="F76" s="30"/>
      <c r="G76" s="30"/>
      <c r="H76" s="30"/>
      <c r="I76" s="30"/>
      <c r="J76" s="30"/>
    </row>
    <row r="77" spans="1:43">
      <c r="A77" t="s">
        <v>413</v>
      </c>
      <c r="B77" t="s">
        <v>414</v>
      </c>
      <c r="C77" t="s">
        <v>415</v>
      </c>
      <c r="D77" t="s">
        <v>416</v>
      </c>
      <c r="E77" t="s">
        <v>417</v>
      </c>
      <c r="F77" t="s">
        <v>418</v>
      </c>
      <c r="G77" t="s">
        <v>419</v>
      </c>
      <c r="H77" t="s">
        <v>420</v>
      </c>
      <c r="I77" t="s">
        <v>421</v>
      </c>
      <c r="J77" t="s">
        <v>422</v>
      </c>
    </row>
    <row r="78" spans="1:43">
      <c r="A78" s="4" t="s">
        <v>267</v>
      </c>
      <c r="B78" s="4" t="s">
        <v>423</v>
      </c>
      <c r="C78" s="34">
        <f>'Decode_1M'!$AN$63/1E9</f>
        <v>7.45138496</v>
      </c>
      <c r="D78" s="34">
        <f>'Decode_1M'!$AN$64/1E9</f>
        <v>148.351461888</v>
      </c>
      <c r="E78" s="34">
        <f>'Decode_1M'!$AN$65/1E9</f>
        <v>3.314423644</v>
      </c>
      <c r="F78" s="34">
        <f>'Decode_1M'!$AN$66/1E9</f>
        <v>159.117270492</v>
      </c>
      <c r="G78" s="34">
        <f>'Decode_1M'!$AP$73/1E9</f>
        <v>7.232045056</v>
      </c>
      <c r="H78" s="34">
        <f>F78+G78</f>
        <v>166.349315548</v>
      </c>
      <c r="I78" s="35">
        <f>'Decode_1M'!$AL$66/1E9</f>
        <v>284.334567511</v>
      </c>
      <c r="J78" s="4" t="s">
        <v>424</v>
      </c>
    </row>
    <row r="79" spans="1:43">
      <c r="A79" s="4" t="s">
        <v>425</v>
      </c>
      <c r="B79" s="4" t="s">
        <v>423</v>
      </c>
      <c r="C79" s="34">
        <f>'Decode_1M'!$AO$63/1E9</f>
        <v>2.23750496</v>
      </c>
      <c r="D79" s="34">
        <f>'Decode_1M'!$AO$64/1E9</f>
        <v>19.57794048</v>
      </c>
      <c r="E79" s="34">
        <f>'Decode_1M'!$AO$65/1E9</f>
        <v>0.534376892</v>
      </c>
      <c r="F79" s="34">
        <f>'Decode_1M'!$AO$66/1E9</f>
        <v>22.349822332</v>
      </c>
      <c r="G79" s="34">
        <f>'Decode_1M'!$AQ$73/1E9</f>
        <v>7.232045056</v>
      </c>
      <c r="H79" s="34">
        <f>F79+G79</f>
        <v>29.581867388</v>
      </c>
      <c r="I79" s="35">
        <f>'Decode_1M'!$AM$66/1E9</f>
        <v>37.064255215</v>
      </c>
      <c r="J79" s="4" t="s">
        <v>426</v>
      </c>
    </row>
  </sheetData>
  <mergeCells count="6">
    <mergeCell ref="A31:K31"/>
    <mergeCell ref="A11:C11"/>
    <mergeCell ref="A47:H47"/>
    <mergeCell ref="A61:E61"/>
    <mergeCell ref="A68:D68"/>
    <mergeCell ref="A76:J76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I6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</cols>
  <sheetData>
    <row r="1" spans="1:5">
      <c r="A1" s="1" t="s">
        <v>290</v>
      </c>
    </row>
    <row r="2" spans="1:5">
      <c r="A2" s="2" t="s">
        <v>291</v>
      </c>
    </row>
    <row r="4" spans="1:5">
      <c r="A4" s="30" t="s">
        <v>292</v>
      </c>
      <c r="B4" s="30"/>
      <c r="C4" s="30"/>
      <c r="D4" s="30"/>
      <c r="E4" s="30"/>
    </row>
    <row r="5" spans="1:5">
      <c r="A5" t="s">
        <v>293</v>
      </c>
      <c r="B5" t="s">
        <v>294</v>
      </c>
      <c r="C5" t="s">
        <v>295</v>
      </c>
      <c r="D5" t="s">
        <v>296</v>
      </c>
      <c r="E5" t="s">
        <v>6</v>
      </c>
    </row>
    <row r="6" spans="1:5">
      <c r="A6" s="4" t="s">
        <v>297</v>
      </c>
      <c r="B6" s="4" t="s">
        <v>298</v>
      </c>
      <c r="C6" s="4" t="s">
        <v>299</v>
      </c>
      <c r="D6" s="4" t="s">
        <v>299</v>
      </c>
      <c r="E6" s="4" t="s">
        <v>300</v>
      </c>
    </row>
    <row r="7" spans="1:5">
      <c r="A7" s="4" t="s">
        <v>297</v>
      </c>
      <c r="B7" s="4" t="s">
        <v>301</v>
      </c>
      <c r="C7" s="4" t="s">
        <v>302</v>
      </c>
      <c r="D7" s="4" t="s">
        <v>303</v>
      </c>
      <c r="E7" s="4" t="s">
        <v>304</v>
      </c>
    </row>
    <row r="8" spans="1:5">
      <c r="A8" s="4" t="s">
        <v>305</v>
      </c>
      <c r="B8" s="4" t="s">
        <v>306</v>
      </c>
      <c r="C8" s="4" t="s">
        <v>302</v>
      </c>
      <c r="D8" s="4" t="s">
        <v>307</v>
      </c>
      <c r="E8" s="4" t="s">
        <v>308</v>
      </c>
    </row>
    <row r="9" spans="1:5">
      <c r="A9" s="4" t="s">
        <v>305</v>
      </c>
      <c r="B9" s="4" t="s">
        <v>309</v>
      </c>
      <c r="C9" s="4" t="s">
        <v>299</v>
      </c>
      <c r="D9" s="4" t="s">
        <v>310</v>
      </c>
      <c r="E9" s="4" t="s">
        <v>311</v>
      </c>
    </row>
    <row r="10" spans="1:5">
      <c r="A10" s="4" t="s">
        <v>305</v>
      </c>
      <c r="B10" s="4" t="s">
        <v>312</v>
      </c>
      <c r="C10" s="4" t="s">
        <v>313</v>
      </c>
      <c r="D10" s="4" t="s">
        <v>314</v>
      </c>
      <c r="E10" s="4" t="s">
        <v>315</v>
      </c>
    </row>
    <row r="11" spans="1:5">
      <c r="A11" s="4" t="s">
        <v>316</v>
      </c>
      <c r="B11" s="4" t="s">
        <v>317</v>
      </c>
      <c r="C11" s="4" t="s">
        <v>318</v>
      </c>
      <c r="D11" s="4" t="s">
        <v>319</v>
      </c>
      <c r="E11" s="4" t="s">
        <v>320</v>
      </c>
    </row>
    <row r="12" spans="1:5">
      <c r="A12" s="4" t="s">
        <v>321</v>
      </c>
      <c r="B12" s="4" t="s">
        <v>322</v>
      </c>
      <c r="C12" s="4" t="s">
        <v>323</v>
      </c>
      <c r="D12" s="4" t="s">
        <v>324</v>
      </c>
      <c r="E12" s="4" t="s">
        <v>325</v>
      </c>
    </row>
    <row r="13" spans="1:5">
      <c r="A13" s="4" t="s">
        <v>305</v>
      </c>
      <c r="B13" s="4" t="s">
        <v>326</v>
      </c>
      <c r="C13" s="4" t="s">
        <v>327</v>
      </c>
      <c r="D13" s="4" t="s">
        <v>328</v>
      </c>
      <c r="E13" s="4" t="s">
        <v>329</v>
      </c>
    </row>
    <row r="14" spans="1:5">
      <c r="A14" s="4" t="s">
        <v>305</v>
      </c>
      <c r="B14" s="4" t="s">
        <v>330</v>
      </c>
      <c r="C14" s="4" t="s">
        <v>302</v>
      </c>
      <c r="D14" s="4" t="s">
        <v>331</v>
      </c>
      <c r="E14" s="4" t="s">
        <v>332</v>
      </c>
    </row>
    <row r="15" spans="1:5">
      <c r="A15" s="4" t="s">
        <v>305</v>
      </c>
      <c r="B15" s="4" t="s">
        <v>333</v>
      </c>
      <c r="C15" s="4" t="s">
        <v>334</v>
      </c>
      <c r="D15" s="4" t="s">
        <v>335</v>
      </c>
      <c r="E15" s="4" t="s">
        <v>336</v>
      </c>
    </row>
    <row r="16" spans="1:5">
      <c r="A16" s="4" t="s">
        <v>337</v>
      </c>
      <c r="B16" s="4" t="s">
        <v>338</v>
      </c>
      <c r="C16" s="4" t="s">
        <v>339</v>
      </c>
      <c r="D16" s="4" t="s">
        <v>340</v>
      </c>
      <c r="E16" s="4" t="s">
        <v>341</v>
      </c>
    </row>
    <row r="17" spans="1:9">
      <c r="A17" s="4" t="s">
        <v>305</v>
      </c>
      <c r="B17" s="4" t="s">
        <v>342</v>
      </c>
      <c r="C17" s="4" t="s">
        <v>335</v>
      </c>
      <c r="D17" s="4" t="s">
        <v>335</v>
      </c>
      <c r="E17" s="4" t="s">
        <v>343</v>
      </c>
    </row>
    <row r="18" spans="1:9">
      <c r="A18" s="4" t="s">
        <v>305</v>
      </c>
      <c r="B18" s="4" t="s">
        <v>344</v>
      </c>
      <c r="C18" s="4" t="s">
        <v>299</v>
      </c>
      <c r="D18" s="4" t="s">
        <v>345</v>
      </c>
      <c r="E18" s="4" t="s">
        <v>346</v>
      </c>
    </row>
    <row r="19" spans="1:9">
      <c r="A19" s="4" t="s">
        <v>259</v>
      </c>
      <c r="B19" s="4" t="s">
        <v>347</v>
      </c>
      <c r="C19" s="4" t="s">
        <v>348</v>
      </c>
      <c r="D19" s="4" t="s">
        <v>314</v>
      </c>
      <c r="E19" s="4" t="s">
        <v>349</v>
      </c>
    </row>
    <row r="20" spans="1:9">
      <c r="A20" s="4" t="s">
        <v>259</v>
      </c>
      <c r="B20" s="4" t="s">
        <v>350</v>
      </c>
      <c r="C20" s="4" t="s">
        <v>351</v>
      </c>
      <c r="D20" s="4" t="s">
        <v>352</v>
      </c>
      <c r="E20" s="4" t="s">
        <v>353</v>
      </c>
    </row>
    <row r="22" spans="1:9">
      <c r="A22" s="30" t="s">
        <v>354</v>
      </c>
      <c r="B22" s="30"/>
      <c r="C22" s="30"/>
      <c r="D22" s="30"/>
      <c r="E22" s="30"/>
      <c r="F22" s="30"/>
      <c r="G22" s="30"/>
      <c r="H22" s="30"/>
      <c r="I22" s="30"/>
    </row>
    <row r="23" spans="1:9">
      <c r="A23" t="s">
        <v>355</v>
      </c>
      <c r="B23" t="s">
        <v>356</v>
      </c>
      <c r="C23" t="s">
        <v>357</v>
      </c>
      <c r="D23" t="s">
        <v>358</v>
      </c>
      <c r="E23" t="s">
        <v>359</v>
      </c>
      <c r="F23" t="s">
        <v>360</v>
      </c>
      <c r="G23" t="s">
        <v>361</v>
      </c>
      <c r="H23" t="s">
        <v>252</v>
      </c>
      <c r="I23" t="s">
        <v>362</v>
      </c>
    </row>
    <row r="24" spans="1:9">
      <c r="A24" s="4">
        <v>0</v>
      </c>
      <c r="B24" s="4" t="s">
        <v>363</v>
      </c>
      <c r="C24" s="4">
        <v>0</v>
      </c>
      <c r="D24" s="4" t="s">
        <v>364</v>
      </c>
      <c r="E24" s="4" t="s">
        <v>299</v>
      </c>
      <c r="F24" s="4" t="s">
        <v>365</v>
      </c>
      <c r="G24" s="4" t="s">
        <v>366</v>
      </c>
      <c r="H24" s="4" t="s">
        <v>367</v>
      </c>
      <c r="I24" s="4" t="s">
        <v>335</v>
      </c>
    </row>
    <row r="25" spans="1:9">
      <c r="A25" s="4">
        <v>1</v>
      </c>
      <c r="B25" s="4" t="s">
        <v>363</v>
      </c>
      <c r="C25" s="4">
        <v>0</v>
      </c>
      <c r="D25" s="4" t="s">
        <v>364</v>
      </c>
      <c r="E25" s="4" t="s">
        <v>299</v>
      </c>
      <c r="F25" s="4" t="s">
        <v>365</v>
      </c>
      <c r="G25" s="4" t="s">
        <v>366</v>
      </c>
      <c r="H25" s="4" t="s">
        <v>367</v>
      </c>
      <c r="I25" s="4" t="s">
        <v>335</v>
      </c>
    </row>
    <row r="26" spans="1:9">
      <c r="A26" s="4">
        <v>2</v>
      </c>
      <c r="B26" s="4" t="s">
        <v>368</v>
      </c>
      <c r="C26" s="4">
        <v>4</v>
      </c>
      <c r="D26" s="4" t="s">
        <v>364</v>
      </c>
      <c r="E26" s="4" t="s">
        <v>299</v>
      </c>
      <c r="F26" s="4" t="s">
        <v>365</v>
      </c>
      <c r="G26" s="4" t="s">
        <v>366</v>
      </c>
      <c r="H26" s="4" t="s">
        <v>367</v>
      </c>
      <c r="I26" s="4" t="s">
        <v>335</v>
      </c>
    </row>
    <row r="27" spans="1:9">
      <c r="A27" s="4">
        <v>3</v>
      </c>
      <c r="B27" s="4" t="s">
        <v>369</v>
      </c>
      <c r="C27" s="4">
        <v>128</v>
      </c>
      <c r="D27" s="4" t="s">
        <v>370</v>
      </c>
      <c r="E27" s="4" t="s">
        <v>299</v>
      </c>
      <c r="F27" s="4" t="s">
        <v>365</v>
      </c>
      <c r="G27" s="4" t="s">
        <v>366</v>
      </c>
      <c r="H27" s="4" t="s">
        <v>367</v>
      </c>
      <c r="I27" s="4" t="s">
        <v>335</v>
      </c>
    </row>
    <row r="28" spans="1:9">
      <c r="A28" s="4">
        <v>4</v>
      </c>
      <c r="B28" s="4" t="s">
        <v>368</v>
      </c>
      <c r="C28" s="4">
        <v>4</v>
      </c>
      <c r="D28" s="4" t="s">
        <v>370</v>
      </c>
      <c r="E28" s="4" t="s">
        <v>299</v>
      </c>
      <c r="F28" s="4" t="s">
        <v>365</v>
      </c>
      <c r="G28" s="4" t="s">
        <v>366</v>
      </c>
      <c r="H28" s="4" t="s">
        <v>367</v>
      </c>
      <c r="I28" s="4" t="s">
        <v>335</v>
      </c>
    </row>
    <row r="29" spans="1:9">
      <c r="A29" s="4">
        <v>5</v>
      </c>
      <c r="B29" s="4" t="s">
        <v>369</v>
      </c>
      <c r="C29" s="4">
        <v>128</v>
      </c>
      <c r="D29" s="4" t="s">
        <v>370</v>
      </c>
      <c r="E29" s="4" t="s">
        <v>299</v>
      </c>
      <c r="F29" s="4" t="s">
        <v>365</v>
      </c>
      <c r="G29" s="4" t="s">
        <v>366</v>
      </c>
      <c r="H29" s="4" t="s">
        <v>367</v>
      </c>
      <c r="I29" s="4" t="s">
        <v>335</v>
      </c>
    </row>
    <row r="30" spans="1:9">
      <c r="A30" s="4">
        <v>6</v>
      </c>
      <c r="B30" s="4" t="s">
        <v>368</v>
      </c>
      <c r="C30" s="4">
        <v>4</v>
      </c>
      <c r="D30" s="4" t="s">
        <v>370</v>
      </c>
      <c r="E30" s="4" t="s">
        <v>299</v>
      </c>
      <c r="F30" s="4" t="s">
        <v>365</v>
      </c>
      <c r="G30" s="4" t="s">
        <v>366</v>
      </c>
      <c r="H30" s="4" t="s">
        <v>367</v>
      </c>
      <c r="I30" s="4" t="s">
        <v>335</v>
      </c>
    </row>
    <row r="31" spans="1:9">
      <c r="A31" s="4">
        <v>7</v>
      </c>
      <c r="B31" s="4" t="s">
        <v>369</v>
      </c>
      <c r="C31" s="4">
        <v>128</v>
      </c>
      <c r="D31" s="4" t="s">
        <v>370</v>
      </c>
      <c r="E31" s="4" t="s">
        <v>299</v>
      </c>
      <c r="F31" s="4" t="s">
        <v>365</v>
      </c>
      <c r="G31" s="4" t="s">
        <v>366</v>
      </c>
      <c r="H31" s="4" t="s">
        <v>367</v>
      </c>
      <c r="I31" s="4" t="s">
        <v>335</v>
      </c>
    </row>
    <row r="32" spans="1:9">
      <c r="A32" s="4">
        <v>8</v>
      </c>
      <c r="B32" s="4" t="s">
        <v>368</v>
      </c>
      <c r="C32" s="4">
        <v>4</v>
      </c>
      <c r="D32" s="4" t="s">
        <v>370</v>
      </c>
      <c r="E32" s="4" t="s">
        <v>299</v>
      </c>
      <c r="F32" s="4" t="s">
        <v>365</v>
      </c>
      <c r="G32" s="4" t="s">
        <v>366</v>
      </c>
      <c r="H32" s="4" t="s">
        <v>367</v>
      </c>
      <c r="I32" s="4" t="s">
        <v>335</v>
      </c>
    </row>
    <row r="33" spans="1:9">
      <c r="A33" s="4">
        <v>9</v>
      </c>
      <c r="B33" s="4" t="s">
        <v>369</v>
      </c>
      <c r="C33" s="4">
        <v>128</v>
      </c>
      <c r="D33" s="4" t="s">
        <v>370</v>
      </c>
      <c r="E33" s="4" t="s">
        <v>299</v>
      </c>
      <c r="F33" s="4" t="s">
        <v>365</v>
      </c>
      <c r="G33" s="4" t="s">
        <v>366</v>
      </c>
      <c r="H33" s="4" t="s">
        <v>367</v>
      </c>
      <c r="I33" s="4" t="s">
        <v>335</v>
      </c>
    </row>
    <row r="34" spans="1:9">
      <c r="A34" s="4">
        <v>10</v>
      </c>
      <c r="B34" s="4" t="s">
        <v>368</v>
      </c>
      <c r="C34" s="4">
        <v>4</v>
      </c>
      <c r="D34" s="4" t="s">
        <v>370</v>
      </c>
      <c r="E34" s="4" t="s">
        <v>299</v>
      </c>
      <c r="F34" s="4" t="s">
        <v>365</v>
      </c>
      <c r="G34" s="4" t="s">
        <v>366</v>
      </c>
      <c r="H34" s="4" t="s">
        <v>367</v>
      </c>
      <c r="I34" s="4" t="s">
        <v>335</v>
      </c>
    </row>
    <row r="35" spans="1:9">
      <c r="A35" s="4">
        <v>11</v>
      </c>
      <c r="B35" s="4" t="s">
        <v>369</v>
      </c>
      <c r="C35" s="4">
        <v>128</v>
      </c>
      <c r="D35" s="4" t="s">
        <v>370</v>
      </c>
      <c r="E35" s="4" t="s">
        <v>299</v>
      </c>
      <c r="F35" s="4" t="s">
        <v>365</v>
      </c>
      <c r="G35" s="4" t="s">
        <v>366</v>
      </c>
      <c r="H35" s="4" t="s">
        <v>367</v>
      </c>
      <c r="I35" s="4" t="s">
        <v>335</v>
      </c>
    </row>
    <row r="36" spans="1:9">
      <c r="A36" s="4">
        <v>12</v>
      </c>
      <c r="B36" s="4" t="s">
        <v>368</v>
      </c>
      <c r="C36" s="4">
        <v>4</v>
      </c>
      <c r="D36" s="4" t="s">
        <v>370</v>
      </c>
      <c r="E36" s="4" t="s">
        <v>299</v>
      </c>
      <c r="F36" s="4" t="s">
        <v>365</v>
      </c>
      <c r="G36" s="4" t="s">
        <v>366</v>
      </c>
      <c r="H36" s="4" t="s">
        <v>367</v>
      </c>
      <c r="I36" s="4" t="s">
        <v>335</v>
      </c>
    </row>
    <row r="37" spans="1:9">
      <c r="A37" s="4">
        <v>13</v>
      </c>
      <c r="B37" s="4" t="s">
        <v>369</v>
      </c>
      <c r="C37" s="4">
        <v>128</v>
      </c>
      <c r="D37" s="4" t="s">
        <v>370</v>
      </c>
      <c r="E37" s="4" t="s">
        <v>299</v>
      </c>
      <c r="F37" s="4" t="s">
        <v>365</v>
      </c>
      <c r="G37" s="4" t="s">
        <v>366</v>
      </c>
      <c r="H37" s="4" t="s">
        <v>367</v>
      </c>
      <c r="I37" s="4" t="s">
        <v>335</v>
      </c>
    </row>
    <row r="38" spans="1:9">
      <c r="A38" s="4">
        <v>14</v>
      </c>
      <c r="B38" s="4" t="s">
        <v>368</v>
      </c>
      <c r="C38" s="4">
        <v>4</v>
      </c>
      <c r="D38" s="4" t="s">
        <v>370</v>
      </c>
      <c r="E38" s="4" t="s">
        <v>299</v>
      </c>
      <c r="F38" s="4" t="s">
        <v>365</v>
      </c>
      <c r="G38" s="4" t="s">
        <v>366</v>
      </c>
      <c r="H38" s="4" t="s">
        <v>367</v>
      </c>
      <c r="I38" s="4" t="s">
        <v>335</v>
      </c>
    </row>
    <row r="39" spans="1:9">
      <c r="A39" s="4">
        <v>15</v>
      </c>
      <c r="B39" s="4" t="s">
        <v>369</v>
      </c>
      <c r="C39" s="4">
        <v>128</v>
      </c>
      <c r="D39" s="4" t="s">
        <v>370</v>
      </c>
      <c r="E39" s="4" t="s">
        <v>299</v>
      </c>
      <c r="F39" s="4" t="s">
        <v>365</v>
      </c>
      <c r="G39" s="4" t="s">
        <v>366</v>
      </c>
      <c r="H39" s="4" t="s">
        <v>367</v>
      </c>
      <c r="I39" s="4" t="s">
        <v>335</v>
      </c>
    </row>
    <row r="40" spans="1:9">
      <c r="A40" s="4">
        <v>16</v>
      </c>
      <c r="B40" s="4" t="s">
        <v>368</v>
      </c>
      <c r="C40" s="4">
        <v>4</v>
      </c>
      <c r="D40" s="4" t="s">
        <v>370</v>
      </c>
      <c r="E40" s="4" t="s">
        <v>299</v>
      </c>
      <c r="F40" s="4" t="s">
        <v>365</v>
      </c>
      <c r="G40" s="4" t="s">
        <v>366</v>
      </c>
      <c r="H40" s="4" t="s">
        <v>367</v>
      </c>
      <c r="I40" s="4" t="s">
        <v>335</v>
      </c>
    </row>
    <row r="41" spans="1:9">
      <c r="A41" s="4">
        <v>17</v>
      </c>
      <c r="B41" s="4" t="s">
        <v>369</v>
      </c>
      <c r="C41" s="4">
        <v>128</v>
      </c>
      <c r="D41" s="4" t="s">
        <v>370</v>
      </c>
      <c r="E41" s="4" t="s">
        <v>299</v>
      </c>
      <c r="F41" s="4" t="s">
        <v>365</v>
      </c>
      <c r="G41" s="4" t="s">
        <v>366</v>
      </c>
      <c r="H41" s="4" t="s">
        <v>367</v>
      </c>
      <c r="I41" s="4" t="s">
        <v>335</v>
      </c>
    </row>
    <row r="42" spans="1:9">
      <c r="A42" s="4">
        <v>18</v>
      </c>
      <c r="B42" s="4" t="s">
        <v>368</v>
      </c>
      <c r="C42" s="4">
        <v>4</v>
      </c>
      <c r="D42" s="4" t="s">
        <v>370</v>
      </c>
      <c r="E42" s="4" t="s">
        <v>299</v>
      </c>
      <c r="F42" s="4" t="s">
        <v>365</v>
      </c>
      <c r="G42" s="4" t="s">
        <v>366</v>
      </c>
      <c r="H42" s="4" t="s">
        <v>367</v>
      </c>
      <c r="I42" s="4" t="s">
        <v>335</v>
      </c>
    </row>
    <row r="43" spans="1:9">
      <c r="A43" s="4">
        <v>19</v>
      </c>
      <c r="B43" s="4" t="s">
        <v>369</v>
      </c>
      <c r="C43" s="4">
        <v>128</v>
      </c>
      <c r="D43" s="4" t="s">
        <v>370</v>
      </c>
      <c r="E43" s="4" t="s">
        <v>299</v>
      </c>
      <c r="F43" s="4" t="s">
        <v>365</v>
      </c>
      <c r="G43" s="4" t="s">
        <v>366</v>
      </c>
      <c r="H43" s="4" t="s">
        <v>367</v>
      </c>
      <c r="I43" s="4" t="s">
        <v>335</v>
      </c>
    </row>
    <row r="44" spans="1:9">
      <c r="A44" s="4">
        <v>20</v>
      </c>
      <c r="B44" s="4" t="s">
        <v>368</v>
      </c>
      <c r="C44" s="4">
        <v>4</v>
      </c>
      <c r="D44" s="4" t="s">
        <v>370</v>
      </c>
      <c r="E44" s="4" t="s">
        <v>299</v>
      </c>
      <c r="F44" s="4" t="s">
        <v>365</v>
      </c>
      <c r="G44" s="4" t="s">
        <v>366</v>
      </c>
      <c r="H44" s="4" t="s">
        <v>367</v>
      </c>
      <c r="I44" s="4" t="s">
        <v>335</v>
      </c>
    </row>
    <row r="45" spans="1:9">
      <c r="A45" s="4">
        <v>21</v>
      </c>
      <c r="B45" s="4" t="s">
        <v>369</v>
      </c>
      <c r="C45" s="4">
        <v>128</v>
      </c>
      <c r="D45" s="4" t="s">
        <v>370</v>
      </c>
      <c r="E45" s="4" t="s">
        <v>299</v>
      </c>
      <c r="F45" s="4" t="s">
        <v>365</v>
      </c>
      <c r="G45" s="4" t="s">
        <v>366</v>
      </c>
      <c r="H45" s="4" t="s">
        <v>367</v>
      </c>
      <c r="I45" s="4" t="s">
        <v>335</v>
      </c>
    </row>
    <row r="46" spans="1:9">
      <c r="A46" s="4">
        <v>22</v>
      </c>
      <c r="B46" s="4" t="s">
        <v>368</v>
      </c>
      <c r="C46" s="4">
        <v>4</v>
      </c>
      <c r="D46" s="4" t="s">
        <v>370</v>
      </c>
      <c r="E46" s="4" t="s">
        <v>299</v>
      </c>
      <c r="F46" s="4" t="s">
        <v>365</v>
      </c>
      <c r="G46" s="4" t="s">
        <v>366</v>
      </c>
      <c r="H46" s="4" t="s">
        <v>367</v>
      </c>
      <c r="I46" s="4" t="s">
        <v>335</v>
      </c>
    </row>
    <row r="47" spans="1:9">
      <c r="A47" s="4">
        <v>23</v>
      </c>
      <c r="B47" s="4" t="s">
        <v>369</v>
      </c>
      <c r="C47" s="4">
        <v>128</v>
      </c>
      <c r="D47" s="4" t="s">
        <v>370</v>
      </c>
      <c r="E47" s="4" t="s">
        <v>299</v>
      </c>
      <c r="F47" s="4" t="s">
        <v>365</v>
      </c>
      <c r="G47" s="4" t="s">
        <v>366</v>
      </c>
      <c r="H47" s="4" t="s">
        <v>367</v>
      </c>
      <c r="I47" s="4" t="s">
        <v>335</v>
      </c>
    </row>
    <row r="48" spans="1:9">
      <c r="A48" s="4">
        <v>24</v>
      </c>
      <c r="B48" s="4" t="s">
        <v>368</v>
      </c>
      <c r="C48" s="4">
        <v>4</v>
      </c>
      <c r="D48" s="4" t="s">
        <v>370</v>
      </c>
      <c r="E48" s="4" t="s">
        <v>299</v>
      </c>
      <c r="F48" s="4" t="s">
        <v>365</v>
      </c>
      <c r="G48" s="4" t="s">
        <v>366</v>
      </c>
      <c r="H48" s="4" t="s">
        <v>367</v>
      </c>
      <c r="I48" s="4" t="s">
        <v>335</v>
      </c>
    </row>
    <row r="49" spans="1:9">
      <c r="A49" s="4">
        <v>25</v>
      </c>
      <c r="B49" s="4" t="s">
        <v>369</v>
      </c>
      <c r="C49" s="4">
        <v>128</v>
      </c>
      <c r="D49" s="4" t="s">
        <v>370</v>
      </c>
      <c r="E49" s="4" t="s">
        <v>299</v>
      </c>
      <c r="F49" s="4" t="s">
        <v>365</v>
      </c>
      <c r="G49" s="4" t="s">
        <v>366</v>
      </c>
      <c r="H49" s="4" t="s">
        <v>367</v>
      </c>
      <c r="I49" s="4" t="s">
        <v>335</v>
      </c>
    </row>
    <row r="50" spans="1:9">
      <c r="A50" s="4">
        <v>26</v>
      </c>
      <c r="B50" s="4" t="s">
        <v>368</v>
      </c>
      <c r="C50" s="4">
        <v>4</v>
      </c>
      <c r="D50" s="4" t="s">
        <v>370</v>
      </c>
      <c r="E50" s="4" t="s">
        <v>299</v>
      </c>
      <c r="F50" s="4" t="s">
        <v>365</v>
      </c>
      <c r="G50" s="4" t="s">
        <v>366</v>
      </c>
      <c r="H50" s="4" t="s">
        <v>367</v>
      </c>
      <c r="I50" s="4" t="s">
        <v>335</v>
      </c>
    </row>
    <row r="51" spans="1:9">
      <c r="A51" s="4">
        <v>27</v>
      </c>
      <c r="B51" s="4" t="s">
        <v>369</v>
      </c>
      <c r="C51" s="4">
        <v>128</v>
      </c>
      <c r="D51" s="4" t="s">
        <v>370</v>
      </c>
      <c r="E51" s="4" t="s">
        <v>299</v>
      </c>
      <c r="F51" s="4" t="s">
        <v>365</v>
      </c>
      <c r="G51" s="4" t="s">
        <v>366</v>
      </c>
      <c r="H51" s="4" t="s">
        <v>367</v>
      </c>
      <c r="I51" s="4" t="s">
        <v>335</v>
      </c>
    </row>
    <row r="52" spans="1:9">
      <c r="A52" s="4">
        <v>28</v>
      </c>
      <c r="B52" s="4" t="s">
        <v>368</v>
      </c>
      <c r="C52" s="4">
        <v>4</v>
      </c>
      <c r="D52" s="4" t="s">
        <v>370</v>
      </c>
      <c r="E52" s="4" t="s">
        <v>299</v>
      </c>
      <c r="F52" s="4" t="s">
        <v>365</v>
      </c>
      <c r="G52" s="4" t="s">
        <v>366</v>
      </c>
      <c r="H52" s="4" t="s">
        <v>367</v>
      </c>
      <c r="I52" s="4" t="s">
        <v>335</v>
      </c>
    </row>
    <row r="53" spans="1:9">
      <c r="A53" s="4">
        <v>29</v>
      </c>
      <c r="B53" s="4" t="s">
        <v>369</v>
      </c>
      <c r="C53" s="4">
        <v>128</v>
      </c>
      <c r="D53" s="4" t="s">
        <v>370</v>
      </c>
      <c r="E53" s="4" t="s">
        <v>299</v>
      </c>
      <c r="F53" s="4" t="s">
        <v>365</v>
      </c>
      <c r="G53" s="4" t="s">
        <v>366</v>
      </c>
      <c r="H53" s="4" t="s">
        <v>367</v>
      </c>
      <c r="I53" s="4" t="s">
        <v>335</v>
      </c>
    </row>
    <row r="54" spans="1:9">
      <c r="A54" s="4">
        <v>30</v>
      </c>
      <c r="B54" s="4" t="s">
        <v>368</v>
      </c>
      <c r="C54" s="4">
        <v>4</v>
      </c>
      <c r="D54" s="4" t="s">
        <v>370</v>
      </c>
      <c r="E54" s="4" t="s">
        <v>299</v>
      </c>
      <c r="F54" s="4" t="s">
        <v>365</v>
      </c>
      <c r="G54" s="4" t="s">
        <v>366</v>
      </c>
      <c r="H54" s="4" t="s">
        <v>367</v>
      </c>
      <c r="I54" s="4" t="s">
        <v>335</v>
      </c>
    </row>
    <row r="55" spans="1:9">
      <c r="A55" s="4">
        <v>31</v>
      </c>
      <c r="B55" s="4" t="s">
        <v>369</v>
      </c>
      <c r="C55" s="4">
        <v>128</v>
      </c>
      <c r="D55" s="4" t="s">
        <v>370</v>
      </c>
      <c r="E55" s="4" t="s">
        <v>299</v>
      </c>
      <c r="F55" s="4" t="s">
        <v>365</v>
      </c>
      <c r="G55" s="4" t="s">
        <v>366</v>
      </c>
      <c r="H55" s="4" t="s">
        <v>367</v>
      </c>
      <c r="I55" s="4" t="s">
        <v>335</v>
      </c>
    </row>
    <row r="56" spans="1:9">
      <c r="A56" s="4">
        <v>32</v>
      </c>
      <c r="B56" s="4" t="s">
        <v>368</v>
      </c>
      <c r="C56" s="4">
        <v>4</v>
      </c>
      <c r="D56" s="4" t="s">
        <v>370</v>
      </c>
      <c r="E56" s="4" t="s">
        <v>299</v>
      </c>
      <c r="F56" s="4" t="s">
        <v>365</v>
      </c>
      <c r="G56" s="4" t="s">
        <v>366</v>
      </c>
      <c r="H56" s="4" t="s">
        <v>367</v>
      </c>
      <c r="I56" s="4" t="s">
        <v>335</v>
      </c>
    </row>
    <row r="57" spans="1:9">
      <c r="A57" s="4">
        <v>33</v>
      </c>
      <c r="B57" s="4" t="s">
        <v>369</v>
      </c>
      <c r="C57" s="4">
        <v>128</v>
      </c>
      <c r="D57" s="4" t="s">
        <v>370</v>
      </c>
      <c r="E57" s="4" t="s">
        <v>299</v>
      </c>
      <c r="F57" s="4" t="s">
        <v>365</v>
      </c>
      <c r="G57" s="4" t="s">
        <v>366</v>
      </c>
      <c r="H57" s="4" t="s">
        <v>367</v>
      </c>
      <c r="I57" s="4" t="s">
        <v>335</v>
      </c>
    </row>
    <row r="58" spans="1:9">
      <c r="A58" s="4">
        <v>34</v>
      </c>
      <c r="B58" s="4" t="s">
        <v>368</v>
      </c>
      <c r="C58" s="4">
        <v>4</v>
      </c>
      <c r="D58" s="4" t="s">
        <v>370</v>
      </c>
      <c r="E58" s="4" t="s">
        <v>299</v>
      </c>
      <c r="F58" s="4" t="s">
        <v>365</v>
      </c>
      <c r="G58" s="4" t="s">
        <v>366</v>
      </c>
      <c r="H58" s="4" t="s">
        <v>367</v>
      </c>
      <c r="I58" s="4" t="s">
        <v>335</v>
      </c>
    </row>
    <row r="59" spans="1:9">
      <c r="A59" s="4">
        <v>35</v>
      </c>
      <c r="B59" s="4" t="s">
        <v>369</v>
      </c>
      <c r="C59" s="4">
        <v>128</v>
      </c>
      <c r="D59" s="4" t="s">
        <v>370</v>
      </c>
      <c r="E59" s="4" t="s">
        <v>299</v>
      </c>
      <c r="F59" s="4" t="s">
        <v>365</v>
      </c>
      <c r="G59" s="4" t="s">
        <v>366</v>
      </c>
      <c r="H59" s="4" t="s">
        <v>367</v>
      </c>
      <c r="I59" s="4" t="s">
        <v>335</v>
      </c>
    </row>
    <row r="60" spans="1:9">
      <c r="A60" s="4">
        <v>36</v>
      </c>
      <c r="B60" s="4" t="s">
        <v>368</v>
      </c>
      <c r="C60" s="4">
        <v>4</v>
      </c>
      <c r="D60" s="4" t="s">
        <v>370</v>
      </c>
      <c r="E60" s="4" t="s">
        <v>299</v>
      </c>
      <c r="F60" s="4" t="s">
        <v>365</v>
      </c>
      <c r="G60" s="4" t="s">
        <v>366</v>
      </c>
      <c r="H60" s="4" t="s">
        <v>367</v>
      </c>
      <c r="I60" s="4" t="s">
        <v>335</v>
      </c>
    </row>
    <row r="61" spans="1:9">
      <c r="A61" s="4">
        <v>37</v>
      </c>
      <c r="B61" s="4" t="s">
        <v>369</v>
      </c>
      <c r="C61" s="4">
        <v>128</v>
      </c>
      <c r="D61" s="4" t="s">
        <v>370</v>
      </c>
      <c r="E61" s="4" t="s">
        <v>299</v>
      </c>
      <c r="F61" s="4" t="s">
        <v>365</v>
      </c>
      <c r="G61" s="4" t="s">
        <v>366</v>
      </c>
      <c r="H61" s="4" t="s">
        <v>367</v>
      </c>
      <c r="I61" s="4" t="s">
        <v>335</v>
      </c>
    </row>
    <row r="62" spans="1:9">
      <c r="A62" s="4">
        <v>38</v>
      </c>
      <c r="B62" s="4" t="s">
        <v>368</v>
      </c>
      <c r="C62" s="4">
        <v>4</v>
      </c>
      <c r="D62" s="4" t="s">
        <v>370</v>
      </c>
      <c r="E62" s="4" t="s">
        <v>299</v>
      </c>
      <c r="F62" s="4" t="s">
        <v>365</v>
      </c>
      <c r="G62" s="4" t="s">
        <v>366</v>
      </c>
      <c r="H62" s="4" t="s">
        <v>367</v>
      </c>
      <c r="I62" s="4" t="s">
        <v>335</v>
      </c>
    </row>
    <row r="63" spans="1:9">
      <c r="A63" s="4">
        <v>39</v>
      </c>
      <c r="B63" s="4" t="s">
        <v>369</v>
      </c>
      <c r="C63" s="4">
        <v>128</v>
      </c>
      <c r="D63" s="4" t="s">
        <v>370</v>
      </c>
      <c r="E63" s="4" t="s">
        <v>299</v>
      </c>
      <c r="F63" s="4" t="s">
        <v>365</v>
      </c>
      <c r="G63" s="4" t="s">
        <v>366</v>
      </c>
      <c r="H63" s="4" t="s">
        <v>367</v>
      </c>
      <c r="I63" s="4" t="s">
        <v>335</v>
      </c>
    </row>
    <row r="64" spans="1:9">
      <c r="A64" s="4">
        <v>40</v>
      </c>
      <c r="B64" s="4" t="s">
        <v>368</v>
      </c>
      <c r="C64" s="4">
        <v>4</v>
      </c>
      <c r="D64" s="4" t="s">
        <v>370</v>
      </c>
      <c r="E64" s="4" t="s">
        <v>299</v>
      </c>
      <c r="F64" s="4" t="s">
        <v>365</v>
      </c>
      <c r="G64" s="4" t="s">
        <v>366</v>
      </c>
      <c r="H64" s="4" t="s">
        <v>367</v>
      </c>
      <c r="I64" s="4" t="s">
        <v>335</v>
      </c>
    </row>
    <row r="65" spans="1:9">
      <c r="A65" s="4">
        <v>41</v>
      </c>
      <c r="B65" s="4" t="s">
        <v>369</v>
      </c>
      <c r="C65" s="4">
        <v>128</v>
      </c>
      <c r="D65" s="4" t="s">
        <v>370</v>
      </c>
      <c r="E65" s="4" t="s">
        <v>299</v>
      </c>
      <c r="F65" s="4" t="s">
        <v>365</v>
      </c>
      <c r="G65" s="4" t="s">
        <v>366</v>
      </c>
      <c r="H65" s="4" t="s">
        <v>367</v>
      </c>
      <c r="I65" s="4" t="s">
        <v>335</v>
      </c>
    </row>
    <row r="66" spans="1:9">
      <c r="A66" s="4">
        <v>42</v>
      </c>
      <c r="B66" s="4" t="s">
        <v>368</v>
      </c>
      <c r="C66" s="4">
        <v>4</v>
      </c>
      <c r="D66" s="4" t="s">
        <v>370</v>
      </c>
      <c r="E66" s="4" t="s">
        <v>299</v>
      </c>
      <c r="F66" s="4" t="s">
        <v>365</v>
      </c>
      <c r="G66" s="4" t="s">
        <v>366</v>
      </c>
      <c r="H66" s="4" t="s">
        <v>367</v>
      </c>
      <c r="I66" s="4" t="s">
        <v>335</v>
      </c>
    </row>
  </sheetData>
  <mergeCells count="2">
    <mergeCell ref="A4:E4"/>
    <mergeCell ref="A22:I2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79"/>
  <sheetViews>
    <sheetView showGridLines="0" workbookViewId="0"/>
  </sheetViews>
  <sheetFormatPr defaultRowHeight="15"/>
  <cols>
    <col min="1" max="1" width="30.7109375" customWidth="1"/>
    <col min="2" max="5" width="20.7109375" customWidth="1"/>
    <col min="6" max="6" width="72.7109375" customWidth="1"/>
    <col min="7" max="10" width="0" hidden="1" customWidth="1"/>
    <col min="19" max="21" width="0" hidden="1" customWidth="1"/>
  </cols>
  <sheetData>
    <row r="1" spans="1:10">
      <c r="A1" s="1" t="s">
        <v>436</v>
      </c>
    </row>
    <row r="2" spans="1:10">
      <c r="A2" s="2" t="s">
        <v>437</v>
      </c>
    </row>
    <row r="4" spans="1:10">
      <c r="A4" t="s">
        <v>438</v>
      </c>
      <c r="B4" t="s">
        <v>439</v>
      </c>
      <c r="C4" t="s">
        <v>440</v>
      </c>
      <c r="D4" t="s">
        <v>441</v>
      </c>
      <c r="E4" t="s">
        <v>442</v>
      </c>
      <c r="F4" t="s">
        <v>6</v>
      </c>
    </row>
    <row r="5" spans="1:10">
      <c r="A5" s="4" t="s">
        <v>443</v>
      </c>
      <c r="B5" s="31" t="str">
        <f>TEXT(IF(ABS(G5)&gt;=1E15,G5/1E15,IF(ABS(G5)&gt;=1E12,G5/1E12,IF(ABS(G5)&gt;=1E9,G5/1E9,IF(ABS(G5)&gt;=1E6,G5/1E6,G5)))),"#,##0.000")&amp;IF((IF(ABS(G5)&gt;=1E15,"PFLOPs",IF(ABS(G5)&gt;=1E12,"TFLOPs",IF(ABS(G5)&gt;=1E9,"GFLOPs",IF(ABS(G5)&gt;=1E6,"MFLOPs","flops")))))="",""," "&amp;(IF(ABS(G5)&gt;=1E15,"PFLOPs",IF(ABS(G5)&gt;=1E12,"TFLOPs",IF(ABS(G5)&gt;=1E9,"GFLOPs",IF(ABS(G5)&gt;=1E6,"MFLOPs","flops"))))))</f>
        <v>102.836 TFLOPs</v>
      </c>
      <c r="C5" s="31" t="str">
        <f>TEXT(IF(ABS(H5)&gt;=1E15,H5/1E15,IF(ABS(H5)&gt;=1E12,H5/1E12,IF(ABS(H5)&gt;=1E9,H5/1E9,IF(ABS(H5)&gt;=1E6,H5/1E6,H5)))),"#,##0.000")&amp;IF((IF(ABS(H5)&gt;=1E15,"PFLOPs",IF(ABS(H5)&gt;=1E12,"TFLOPs",IF(ABS(H5)&gt;=1E9,"GFLOPs",IF(ABS(H5)&gt;=1E6,"MFLOPs","flops")))))="",""," "&amp;(IF(ABS(H5)&gt;=1E15,"PFLOPs",IF(ABS(H5)&gt;=1E12,"TFLOPs",IF(ABS(H5)&gt;=1E9,"GFLOPs",IF(ABS(H5)&gt;=1E6,"MFLOPs","flops"))))))</f>
        <v>23.172 TFLOPs</v>
      </c>
      <c r="D5" s="31" t="str">
        <f>TEXT(IF(ABS(I5)&gt;=1E15,I5/1E15,IF(ABS(I5)&gt;=1E12,I5/1E12,IF(ABS(I5)&gt;=1E9,I5/1E9,IF(ABS(I5)&gt;=1E6,I5/1E6,I5)))),"#,##0.000")&amp;IF((IF(ABS(I5)&gt;=1E15,"PFLOPs",IF(ABS(I5)&gt;=1E12,"TFLOPs",IF(ABS(I5)&gt;=1E9,"GFLOPs",IF(ABS(I5)&gt;=1E6,"MFLOPs","flops")))))="",""," "&amp;(IF(ABS(I5)&gt;=1E15,"PFLOPs",IF(ABS(I5)&gt;=1E12,"TFLOPs",IF(ABS(I5)&gt;=1E9,"GFLOPs",IF(ABS(I5)&gt;=1E6,"MFLOPs","flops"))))))</f>
        <v>123.969 GFLOPs</v>
      </c>
      <c r="E5" s="31" t="str">
        <f>TEXT(IF(ABS(J5)&gt;=1E15,J5/1E15,IF(ABS(J5)&gt;=1E12,J5/1E12,IF(ABS(J5)&gt;=1E9,J5/1E9,IF(ABS(J5)&gt;=1E6,J5/1E6,J5)))),"#,##0.000")&amp;IF((IF(ABS(J5)&gt;=1E15,"PFLOPs",IF(ABS(J5)&gt;=1E12,"TFLOPs",IF(ABS(J5)&gt;=1E9,"GFLOPs",IF(ABS(J5)&gt;=1E6,"MFLOPs","flops")))))="",""," "&amp;(IF(ABS(J5)&gt;=1E15,"PFLOPs",IF(ABS(J5)&gt;=1E12,"TFLOPs",IF(ABS(J5)&gt;=1E9,"GFLOPs",IF(ABS(J5)&gt;=1E6,"MFLOPs","flops"))))))</f>
        <v>19.452 GFLOPs</v>
      </c>
      <c r="F5" s="4" t="s">
        <v>444</v>
      </c>
      <c r="G5" s="32">
        <f>'Prefill_8K'!$AE$13</f>
        <v>102836037746688.0</v>
      </c>
      <c r="H5" s="32">
        <f>'Prefill_8K'!$AF$13</f>
        <v>23172382457856.0</v>
      </c>
      <c r="I5" s="32">
        <f>'Decode_1M'!$AE$13</f>
        <v>123969470464.0</v>
      </c>
      <c r="J5" s="32">
        <f>'Decode_1M'!$AF$13</f>
        <v>19452461056.0</v>
      </c>
    </row>
    <row r="6" spans="1:10">
      <c r="A6" s="4" t="s">
        <v>445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124.846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31.766 TFLOPs</v>
      </c>
      <c r="D6" s="31" t="str">
        <f>TEXT(IF(ABS(I6)&gt;=1E15,I6/1E15,IF(ABS(I6)&gt;=1E12,I6/1E12,IF(ABS(I6)&gt;=1E9,I6/1E9,IF(ABS(I6)&gt;=1E6,I6/1E6,I6)))),"#,##0.000")&amp;IF((IF(ABS(I6)&gt;=1E15,"PFLOPs",IF(ABS(I6)&gt;=1E12,"TFLOPs",IF(ABS(I6)&gt;=1E9,"GFLOPs",IF(ABS(I6)&gt;=1E6,"MFLOPs","flops")))))="",""," "&amp;(IF(ABS(I6)&gt;=1E15,"PFLOPs",IF(ABS(I6)&gt;=1E12,"TFLOPs",IF(ABS(I6)&gt;=1E9,"GFLOPs",IF(ABS(I6)&gt;=1E6,"MFLOPs","flops"))))))</f>
        <v>15.240 GFLOPs</v>
      </c>
      <c r="E6" s="31" t="str">
        <f>TEXT(IF(ABS(J6)&gt;=1E15,J6/1E15,IF(ABS(J6)&gt;=1E12,J6/1E12,IF(ABS(J6)&gt;=1E9,J6/1E9,IF(ABS(J6)&gt;=1E6,J6/1E6,J6)))),"#,##0.000")&amp;IF((IF(ABS(J6)&gt;=1E15,"PFLOPs",IF(ABS(J6)&gt;=1E12,"TFLOPs",IF(ABS(J6)&gt;=1E9,"GFLOPs",IF(ABS(J6)&gt;=1E6,"MFLOPs","flops")))))="",""," "&amp;(IF(ABS(J6)&gt;=1E15,"PFLOPs",IF(ABS(J6)&gt;=1E12,"TFLOPs",IF(ABS(J6)&gt;=1E9,"GFLOPs",IF(ABS(J6)&gt;=1E6,"MFLOPs","flops"))))))</f>
        <v>3.878 GFLOPs</v>
      </c>
      <c r="F6" s="4" t="s">
        <v>444</v>
      </c>
      <c r="G6" s="32">
        <f>'Prefill_8K'!$AE$14</f>
        <v>124846109360128.0</v>
      </c>
      <c r="H6" s="32">
        <f>'Prefill_8K'!$AF$14</f>
        <v>31765578121216.0</v>
      </c>
      <c r="I6" s="32">
        <f>'Decode_1M'!$AE$14</f>
        <v>15240003584.0</v>
      </c>
      <c r="J6" s="32">
        <f>'Decode_1M'!$AF$14</f>
        <v>3877634048.0</v>
      </c>
    </row>
    <row r="7" spans="1:10">
      <c r="A7" s="4" t="s">
        <v>446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702.280 GFLOPs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701.354 GFLOPs</v>
      </c>
      <c r="D7" s="31" t="str">
        <f>TEXT(IF(ABS(I7)&gt;=1E15,I7/1E15,IF(ABS(I7)&gt;=1E12,I7/1E12,IF(ABS(I7)&gt;=1E9,I7/1E9,IF(ABS(I7)&gt;=1E6,I7/1E6,I7)))),"#,##0.000")&amp;IF((IF(ABS(I7)&gt;=1E15,"PFLOPs",IF(ABS(I7)&gt;=1E12,"TFLOPs",IF(ABS(I7)&gt;=1E9,"GFLOPs",IF(ABS(I7)&gt;=1E6,"MFLOPs","flops")))))="",""," "&amp;(IF(ABS(I7)&gt;=1E15,"PFLOPs",IF(ABS(I7)&gt;=1E12,"TFLOPs",IF(ABS(I7)&gt;=1E9,"GFLOPs",IF(ABS(I7)&gt;=1E6,"MFLOPs","flops"))))))</f>
        <v>1.145 GFLOPs</v>
      </c>
      <c r="E7" s="31" t="str">
        <f>TEXT(IF(ABS(J7)&gt;=1E15,J7/1E15,IF(ABS(J7)&gt;=1E12,J7/1E12,IF(ABS(J7)&gt;=1E9,J7/1E9,IF(ABS(J7)&gt;=1E6,J7/1E6,J7)))),"#,##0.000")&amp;IF((IF(ABS(J7)&gt;=1E15,"PFLOPs",IF(ABS(J7)&gt;=1E12,"TFLOPs",IF(ABS(J7)&gt;=1E9,"GFLOPs",IF(ABS(J7)&gt;=1E6,"MFLOPs","flops")))))="",""," "&amp;(IF(ABS(J7)&gt;=1E15,"PFLOPs",IF(ABS(J7)&gt;=1E12,"TFLOPs",IF(ABS(J7)&gt;=1E9,"GFLOPs",IF(ABS(J7)&gt;=1E6,"MFLOPs","flops"))))))</f>
        <v>217.981 MFLOPs</v>
      </c>
      <c r="F7" s="4" t="s">
        <v>444</v>
      </c>
      <c r="G7" s="32">
        <f>'Prefill_8K'!$AE$15</f>
        <v>702280286208.0</v>
      </c>
      <c r="H7" s="32">
        <f>'Prefill_8K'!$AF$15</f>
        <v>701353607168.0</v>
      </c>
      <c r="I7" s="32">
        <f>'Decode_1M'!$AE$15</f>
        <v>1144660054.0</v>
      </c>
      <c r="J7" s="32">
        <f>'Decode_1M'!$AF$15</f>
        <v>217981014.0</v>
      </c>
    </row>
    <row r="8" spans="1:10">
      <c r="A8" s="33" t="s">
        <v>447</v>
      </c>
      <c r="B8" s="33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228.384 TFLOPs</v>
      </c>
      <c r="C8" s="33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55.639 TFLOPs</v>
      </c>
      <c r="D8" s="33" t="str">
        <f>TEXT(IF(ABS(I8)&gt;=1E15,I8/1E15,IF(ABS(I8)&gt;=1E12,I8/1E12,IF(ABS(I8)&gt;=1E9,I8/1E9,IF(ABS(I8)&gt;=1E6,I8/1E6,I8)))),"#,##0.000")&amp;IF((IF(ABS(I8)&gt;=1E15,"PFLOPs",IF(ABS(I8)&gt;=1E12,"TFLOPs",IF(ABS(I8)&gt;=1E9,"GFLOPs",IF(ABS(I8)&gt;=1E6,"MFLOPs","flops")))))="",""," "&amp;(IF(ABS(I8)&gt;=1E15,"PFLOPs",IF(ABS(I8)&gt;=1E12,"TFLOPs",IF(ABS(I8)&gt;=1E9,"GFLOPs",IF(ABS(I8)&gt;=1E6,"MFLOPs","flops"))))))</f>
        <v>140.354 GFLOPs</v>
      </c>
      <c r="E8" s="33" t="str">
        <f>TEXT(IF(ABS(J8)&gt;=1E15,J8/1E15,IF(ABS(J8)&gt;=1E12,J8/1E12,IF(ABS(J8)&gt;=1E9,J8/1E9,IF(ABS(J8)&gt;=1E6,J8/1E6,J8)))),"#,##0.000")&amp;IF((IF(ABS(J8)&gt;=1E15,"PFLOPs",IF(ABS(J8)&gt;=1E12,"TFLOPs",IF(ABS(J8)&gt;=1E9,"GFLOPs",IF(ABS(J8)&gt;=1E6,"MFLOPs","flops")))))="",""," "&amp;(IF(ABS(J8)&gt;=1E15,"PFLOPs",IF(ABS(J8)&gt;=1E12,"TFLOPs",IF(ABS(J8)&gt;=1E9,"GFLOPs",IF(ABS(J8)&gt;=1E6,"MFLOPs","flops"))))))</f>
        <v>23.548 GFLOPs</v>
      </c>
      <c r="F8" s="4" t="s">
        <v>444</v>
      </c>
      <c r="G8" s="32">
        <f>'Prefill_8K'!$AE$16</f>
        <v>228384427393024.0</v>
      </c>
      <c r="H8" s="32">
        <f>'Prefill_8K'!$AF$16</f>
        <v>55639314186240.0</v>
      </c>
      <c r="I8" s="32">
        <f>'Decode_1M'!$AE$16</f>
        <v>140354134102.0</v>
      </c>
      <c r="J8" s="32">
        <f>'Decode_1M'!$AF$16</f>
        <v>23548076118.0</v>
      </c>
    </row>
    <row r="9" spans="1:10">
      <c r="A9" s="4" t="s">
        <v>273</v>
      </c>
      <c r="B9" s="31" t="str">
        <f>TEXT(IF(ABS(G9)&gt;=1E12,G9/1E12,IF(ABS(G9)&gt;=1E9,G9/1E9,IF(ABS(G9)&gt;=1E6,G9/1E6,IF(ABS(G9)&gt;=1E3,G9/1E3,G9)))),"#,##0.000")&amp;IF((IF(ABS(G9)&gt;=1E12,"TB",IF(ABS(G9)&gt;=1E9,"GB",IF(ABS(G9)&gt;=1E6,"MB",IF(ABS(G9)&gt;=1E3,"KB","bytes")))))="",""," "&amp;(IF(ABS(G9)&gt;=1E12,"TB",IF(ABS(G9)&gt;=1E9,"GB",IF(ABS(G9)&gt;=1E6,"MB",IF(ABS(G9)&gt;=1E3,"KB","bytes"))))))</f>
        <v>358.038 GB</v>
      </c>
      <c r="C9" s="31" t="str">
        <f>TEXT(IF(ABS(H9)&gt;=1E12,H9/1E12,IF(ABS(H9)&gt;=1E9,H9/1E9,IF(ABS(H9)&gt;=1E6,H9/1E6,IF(ABS(H9)&gt;=1E3,H9/1E3,H9)))),"#,##0.000")&amp;IF((IF(ABS(H9)&gt;=1E12,"TB",IF(ABS(H9)&gt;=1E9,"GB",IF(ABS(H9)&gt;=1E6,"MB",IF(ABS(H9)&gt;=1E3,"KB","bytes")))))="",""," "&amp;(IF(ABS(H9)&gt;=1E12,"TB",IF(ABS(H9)&gt;=1E9,"GB",IF(ABS(H9)&gt;=1E6,"MB",IF(ABS(H9)&gt;=1E3,"KB","bytes"))))))</f>
        <v>231.532 GB</v>
      </c>
      <c r="D9" s="31" t="str">
        <f>TEXT(IF(ABS(I9)&gt;=1E12,I9/1E12,IF(ABS(I9)&gt;=1E9,I9/1E9,IF(ABS(I9)&gt;=1E6,I9/1E6,IF(ABS(I9)&gt;=1E3,I9/1E3,I9)))),"#,##0.000")&amp;IF((IF(ABS(I9)&gt;=1E12,"TB",IF(ABS(I9)&gt;=1E9,"GB",IF(ABS(I9)&gt;=1E6,"MB",IF(ABS(I9)&gt;=1E3,"KB","bytes")))))="",""," "&amp;(IF(ABS(I9)&gt;=1E12,"TB",IF(ABS(I9)&gt;=1E9,"GB",IF(ABS(I9)&gt;=1E6,"MB",IF(ABS(I9)&gt;=1E3,"KB","bytes"))))))</f>
        <v>10.492 GB</v>
      </c>
      <c r="E9" s="31" t="str">
        <f>TEXT(IF(ABS(J9)&gt;=1E12,J9/1E12,IF(ABS(J9)&gt;=1E9,J9/1E9,IF(ABS(J9)&gt;=1E6,J9/1E6,IF(ABS(J9)&gt;=1E3,J9/1E3,J9)))),"#,##0.000")&amp;IF((IF(ABS(J9)&gt;=1E12,"TB",IF(ABS(J9)&gt;=1E9,"GB",IF(ABS(J9)&gt;=1E6,"MB",IF(ABS(J9)&gt;=1E3,"KB","bytes")))))="",""," "&amp;(IF(ABS(J9)&gt;=1E12,"TB",IF(ABS(J9)&gt;=1E9,"GB",IF(ABS(J9)&gt;=1E6,"MB",IF(ABS(J9)&gt;=1E3,"KB","bytes"))))))</f>
        <v>4.035 GB</v>
      </c>
      <c r="F9" s="4" t="s">
        <v>448</v>
      </c>
      <c r="G9" s="32">
        <f>'Prefill_8K'!$AE$17</f>
        <v>358037814400.0</v>
      </c>
      <c r="H9" s="32">
        <f>'Prefill_8K'!$AF$17</f>
        <v>231531806144.0</v>
      </c>
      <c r="I9" s="32">
        <f>'Decode_1M'!$AE$17</f>
        <v>10492228352.0</v>
      </c>
      <c r="J9" s="32">
        <f>'Decode_1M'!$AF$17</f>
        <v>4035232528.0</v>
      </c>
    </row>
    <row r="10" spans="1:10">
      <c r="A10" s="4" t="s">
        <v>274</v>
      </c>
      <c r="B10" s="31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191.989 GB</v>
      </c>
      <c r="C10" s="31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32.915 GB</v>
      </c>
      <c r="D10" s="31" t="str">
        <f>TEXT(IF(ABS(I10)&gt;=1E12,I10/1E12,IF(ABS(I10)&gt;=1E9,I10/1E9,IF(ABS(I10)&gt;=1E6,I10/1E6,IF(ABS(I10)&gt;=1E3,I10/1E3,I10)))),"#,##0.000")&amp;IF((IF(ABS(I10)&gt;=1E12,"TB",IF(ABS(I10)&gt;=1E9,"GB",IF(ABS(I10)&gt;=1E6,"MB",IF(ABS(I10)&gt;=1E3,"KB","bytes")))))="",""," "&amp;(IF(ABS(I10)&gt;=1E12,"TB",IF(ABS(I10)&gt;=1E9,"GB",IF(ABS(I10)&gt;=1E6,"MB",IF(ABS(I10)&gt;=1E3,"KB","bytes"))))))</f>
        <v>4.627 GB</v>
      </c>
      <c r="E10" s="31" t="str">
        <f>TEXT(IF(ABS(J10)&gt;=1E12,J10/1E12,IF(ABS(J10)&gt;=1E9,J10/1E9,IF(ABS(J10)&gt;=1E6,J10/1E6,IF(ABS(J10)&gt;=1E3,J10/1E3,J10)))),"#,##0.000")&amp;IF((IF(ABS(J10)&gt;=1E12,"TB",IF(ABS(J10)&gt;=1E9,"GB",IF(ABS(J10)&gt;=1E6,"MB",IF(ABS(J10)&gt;=1E3,"KB","bytes")))))="",""," "&amp;(IF(ABS(J10)&gt;=1E12,"TB",IF(ABS(J10)&gt;=1E9,"GB",IF(ABS(J10)&gt;=1E6,"MB",IF(ABS(J10)&gt;=1E3,"KB","bytes"))))))</f>
        <v>1.605 GB</v>
      </c>
      <c r="F10" s="4" t="s">
        <v>448</v>
      </c>
      <c r="G10" s="32">
        <f>'Prefill_8K'!$AE$18</f>
        <v>191988670976.0</v>
      </c>
      <c r="H10" s="32">
        <f>'Prefill_8K'!$AF$18</f>
        <v>32915497472.0</v>
      </c>
      <c r="I10" s="32">
        <f>'Decode_1M'!$AE$18</f>
        <v>4627033672.0</v>
      </c>
      <c r="J10" s="32">
        <f>'Decode_1M'!$AF$18</f>
        <v>1605205576.0</v>
      </c>
    </row>
    <row r="11" spans="1:10">
      <c r="A11" s="4" t="s">
        <v>275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94.596 GB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92.742 GB</v>
      </c>
      <c r="D11" s="31" t="str">
        <f>TEXT(IF(ABS(I11)&gt;=1E12,I11/1E12,IF(ABS(I11)&gt;=1E9,I11/1E9,IF(ABS(I11)&gt;=1E6,I11/1E6,IF(ABS(I11)&gt;=1E3,I11/1E3,I11)))),"#,##0.000")&amp;IF((IF(ABS(I11)&gt;=1E12,"TB",IF(ABS(I11)&gt;=1E9,"GB",IF(ABS(I11)&gt;=1E6,"MB",IF(ABS(I11)&gt;=1E3,"KB","bytes")))))="",""," "&amp;(IF(ABS(I11)&gt;=1E12,"TB",IF(ABS(I11)&gt;=1E9,"GB",IF(ABS(I11)&gt;=1E6,"MB",IF(ABS(I11)&gt;=1E3,"KB","bytes"))))))</f>
        <v>2.265 GB</v>
      </c>
      <c r="E11" s="31" t="str">
        <f>TEXT(IF(ABS(J11)&gt;=1E12,J11/1E12,IF(ABS(J11)&gt;=1E9,J11/1E9,IF(ABS(J11)&gt;=1E6,J11/1E6,IF(ABS(J11)&gt;=1E3,J11/1E3,J11)))),"#,##0.000")&amp;IF((IF(ABS(J11)&gt;=1E12,"TB",IF(ABS(J11)&gt;=1E9,"GB",IF(ABS(J11)&gt;=1E6,"MB",IF(ABS(J11)&gt;=1E3,"KB","bytes")))))="",""," "&amp;(IF(ABS(J11)&gt;=1E12,"TB",IF(ABS(J11)&gt;=1E9,"GB",IF(ABS(J11)&gt;=1E6,"MB",IF(ABS(J11)&gt;=1E3,"KB","bytes"))))))</f>
        <v>411.394 MB</v>
      </c>
      <c r="F11" s="4" t="s">
        <v>448</v>
      </c>
      <c r="G11" s="32">
        <f>'Prefill_8K'!$AE$19</f>
        <v>94595729480.0</v>
      </c>
      <c r="H11" s="32">
        <f>'Prefill_8K'!$AF$19</f>
        <v>92741918920.0</v>
      </c>
      <c r="I11" s="32">
        <f>'Decode_1M'!$AE$19</f>
        <v>2265204808.0</v>
      </c>
      <c r="J11" s="32">
        <f>'Decode_1M'!$AF$19</f>
        <v>411394248.0</v>
      </c>
    </row>
    <row r="12" spans="1:10">
      <c r="A12" s="33" t="s">
        <v>276</v>
      </c>
      <c r="B12" s="33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644.622 GB</v>
      </c>
      <c r="C12" s="33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357.189 GB</v>
      </c>
      <c r="D12" s="33" t="str">
        <f>TEXT(IF(ABS(I12)&gt;=1E12,I12/1E12,IF(ABS(I12)&gt;=1E9,I12/1E9,IF(ABS(I12)&gt;=1E6,I12/1E6,IF(ABS(I12)&gt;=1E3,I12/1E3,I12)))),"#,##0.000")&amp;IF((IF(ABS(I12)&gt;=1E12,"TB",IF(ABS(I12)&gt;=1E9,"GB",IF(ABS(I12)&gt;=1E6,"MB",IF(ABS(I12)&gt;=1E3,"KB","bytes")))))="",""," "&amp;(IF(ABS(I12)&gt;=1E12,"TB",IF(ABS(I12)&gt;=1E9,"GB",IF(ABS(I12)&gt;=1E6,"MB",IF(ABS(I12)&gt;=1E3,"KB","bytes"))))))</f>
        <v>17.384 GB</v>
      </c>
      <c r="E12" s="33" t="str">
        <f>TEXT(IF(ABS(J12)&gt;=1E12,J12/1E12,IF(ABS(J12)&gt;=1E9,J12/1E9,IF(ABS(J12)&gt;=1E6,J12/1E6,IF(ABS(J12)&gt;=1E3,J12/1E3,J12)))),"#,##0.000")&amp;IF((IF(ABS(J12)&gt;=1E12,"TB",IF(ABS(J12)&gt;=1E9,"GB",IF(ABS(J12)&gt;=1E6,"MB",IF(ABS(J12)&gt;=1E3,"KB","bytes")))))="",""," "&amp;(IF(ABS(J12)&gt;=1E12,"TB",IF(ABS(J12)&gt;=1E9,"GB",IF(ABS(J12)&gt;=1E6,"MB",IF(ABS(J12)&gt;=1E3,"KB","bytes"))))))</f>
        <v>6.052 GB</v>
      </c>
      <c r="F12" s="4" t="s">
        <v>448</v>
      </c>
      <c r="G12" s="32">
        <f>'Prefill_8K'!$AE$20</f>
        <v>644622214856.0</v>
      </c>
      <c r="H12" s="32">
        <f>'Prefill_8K'!$AF$20</f>
        <v>357189222536.0</v>
      </c>
      <c r="I12" s="32">
        <f>'Decode_1M'!$AE$20</f>
        <v>17384466832.0</v>
      </c>
      <c r="J12" s="32">
        <f>'Decode_1M'!$AF$20</f>
        <v>6051832352.0</v>
      </c>
    </row>
    <row r="13" spans="1:10">
      <c r="A13" s="4" t="s">
        <v>449</v>
      </c>
      <c r="B13" s="31" t="str">
        <f>TEXT(G13,"#,##0.000")&amp;" GB/s"</f>
        <v>358.038 GB/s</v>
      </c>
      <c r="C13" s="31" t="str">
        <f>TEXT(H13,"#,##0.000")&amp;" GB/s"</f>
        <v>231.532 GB/s</v>
      </c>
      <c r="D13" s="31" t="str">
        <f>TEXT(I13,"#,##0.000")&amp;" GB/s"</f>
        <v>1,049.223 GB/s</v>
      </c>
      <c r="E13" s="31" t="str">
        <f>TEXT(J13,"#,##0.000")&amp;" GB/s"</f>
        <v>403.523 GB/s</v>
      </c>
      <c r="F13" s="4" t="s">
        <v>450</v>
      </c>
      <c r="G13" s="32">
        <f>'Prefill_8K'!$AE$17/(PrefillTargetMs/1000)/1E9</f>
        <v>358.0378144</v>
      </c>
      <c r="H13" s="32">
        <f>'Prefill_8K'!$AF$17/(PrefillTargetMs/1000)/1E9</f>
        <v>231.531806144</v>
      </c>
      <c r="I13" s="32">
        <f>'Decode_1M'!$AE$17/(DecodeTargetMs/1000)/1E9</f>
        <v>1049.2228352</v>
      </c>
      <c r="J13" s="32">
        <f>'Decode_1M'!$AF$17/(DecodeTargetMs/1000)/1E9</f>
        <v>403.5232528</v>
      </c>
    </row>
    <row r="14" spans="1:10">
      <c r="A14" s="4" t="s">
        <v>451</v>
      </c>
      <c r="B14" s="31" t="str">
        <f>TEXT(G14,"#,##0.000")&amp;" GB/s"</f>
        <v>191.989 GB/s</v>
      </c>
      <c r="C14" s="31" t="str">
        <f>TEXT(H14,"#,##0.000")&amp;" GB/s"</f>
        <v>32.915 GB/s</v>
      </c>
      <c r="D14" s="31" t="str">
        <f>TEXT(I14,"#,##0.000")&amp;" GB/s"</f>
        <v>462.703 GB/s</v>
      </c>
      <c r="E14" s="31" t="str">
        <f>TEXT(J14,"#,##0.000")&amp;" GB/s"</f>
        <v>160.521 GB/s</v>
      </c>
      <c r="F14" s="4" t="s">
        <v>450</v>
      </c>
      <c r="G14" s="32">
        <f>'Prefill_8K'!$AE$18/(PrefillTargetMs/1000)/1E9</f>
        <v>191.988670976</v>
      </c>
      <c r="H14" s="32">
        <f>'Prefill_8K'!$AF$18/(PrefillTargetMs/1000)/1E9</f>
        <v>32.915497472</v>
      </c>
      <c r="I14" s="32">
        <f>'Decode_1M'!$AE$18/(DecodeTargetMs/1000)/1E9</f>
        <v>462.7033672</v>
      </c>
      <c r="J14" s="32">
        <f>'Decode_1M'!$AF$18/(DecodeTargetMs/1000)/1E9</f>
        <v>160.5205576</v>
      </c>
    </row>
    <row r="15" spans="1:10">
      <c r="A15" s="4" t="s">
        <v>452</v>
      </c>
      <c r="B15" s="31" t="str">
        <f>TEXT(G15,"#,##0.000")&amp;" GB/s"</f>
        <v>94.596 GB/s</v>
      </c>
      <c r="C15" s="31" t="str">
        <f>TEXT(H15,"#,##0.000")&amp;" GB/s"</f>
        <v>92.742 GB/s</v>
      </c>
      <c r="D15" s="31" t="str">
        <f>TEXT(I15,"#,##0.000")&amp;" GB/s"</f>
        <v>226.520 GB/s</v>
      </c>
      <c r="E15" s="31" t="str">
        <f>TEXT(J15,"#,##0.000")&amp;" GB/s"</f>
        <v>41.139 GB/s</v>
      </c>
      <c r="F15" s="4" t="s">
        <v>450</v>
      </c>
      <c r="G15" s="32">
        <f>'Prefill_8K'!$AE$19/(PrefillTargetMs/1000)/1E9</f>
        <v>94.59572948</v>
      </c>
      <c r="H15" s="32">
        <f>'Prefill_8K'!$AF$19/(PrefillTargetMs/1000)/1E9</f>
        <v>92.74191892</v>
      </c>
      <c r="I15" s="32">
        <f>'Decode_1M'!$AE$19/(DecodeTargetMs/1000)/1E9</f>
        <v>226.5204808</v>
      </c>
      <c r="J15" s="32">
        <f>'Decode_1M'!$AF$19/(DecodeTargetMs/1000)/1E9</f>
        <v>41.1394248</v>
      </c>
    </row>
    <row r="16" spans="1:10">
      <c r="A16" s="4" t="s">
        <v>453</v>
      </c>
      <c r="B16" s="31" t="str">
        <f>TEXT(G16,"#,##0.000")&amp;" TFLOP/s"</f>
        <v>228.384 TFLOP/s</v>
      </c>
      <c r="C16" s="31" t="str">
        <f>TEXT(H16,"#,##0.000")&amp;" TFLOP/s"</f>
        <v>55.639 TFLOP/s</v>
      </c>
      <c r="D16" s="31" t="str">
        <f>TEXT(I16,"#,##0.000")&amp;" TFLOP/s"</f>
        <v>14.035 TFLOP/s</v>
      </c>
      <c r="E16" s="31" t="str">
        <f>TEXT(J16,"#,##0.000")&amp;" TFLOP/s"</f>
        <v>2.355 TFLOP/s</v>
      </c>
      <c r="F16" s="4" t="s">
        <v>454</v>
      </c>
      <c r="G16" s="32">
        <f>'Prefill_8K'!$AE$16/(PrefillTargetMs/1000)/1E12</f>
        <v>228.384427393024</v>
      </c>
      <c r="H16" s="32">
        <f>'Prefill_8K'!$AF$16/(PrefillTargetMs/1000)/1E12</f>
        <v>55.63931418624</v>
      </c>
      <c r="I16" s="32">
        <f>'Decode_1M'!$AE$16/(DecodeTargetMs/1000)/1E12</f>
        <v>14.0354134102</v>
      </c>
      <c r="J16" s="32">
        <f>'Decode_1M'!$AF$16/(DecodeTargetMs/1000)/1E12</f>
        <v>2.3548076118</v>
      </c>
    </row>
    <row r="17" spans="1:10">
      <c r="A17" s="4" t="s">
        <v>277</v>
      </c>
      <c r="B17" s="31" t="str">
        <f>TEXT(IF(ABS(G17)&gt;=1E12,G17/1E12,IF(ABS(G17)&gt;=1E9,G17/1E9,IF(ABS(G17)&gt;=1E6,G17/1E6,IF(ABS(G17)&gt;=1E3,G17/1E3,G17)))),"#,##0.000")&amp;IF((IF(ABS(G17)&gt;=1E12,"TB",IF(ABS(G17)&gt;=1E9,"GB",IF(ABS(G17)&gt;=1E6,"MB",IF(ABS(G17)&gt;=1E3,"KB","bytes")))))="",""," "&amp;(IF(ABS(G17)&gt;=1E12,"TB",IF(ABS(G17)&gt;=1E9,"GB",IF(ABS(G17)&gt;=1E6,"MB",IF(ABS(G17)&gt;=1E3,"KB","bytes"))))))</f>
        <v>0.000 B</v>
      </c>
      <c r="C17" s="31" t="str">
        <f>TEXT(IF(ABS(H17)&gt;=1E12,H17/1E12,IF(ABS(H17)&gt;=1E9,H17/1E9,IF(ABS(H17)&gt;=1E6,H17/1E6,IF(ABS(H17)&gt;=1E3,H17/1E3,H17)))),"#,##0.000")&amp;IF((IF(ABS(H17)&gt;=1E12,"TB",IF(ABS(H17)&gt;=1E9,"GB",IF(ABS(H17)&gt;=1E6,"MB",IF(ABS(H17)&gt;=1E3,"KB","bytes")))))="",""," "&amp;(IF(ABS(H17)&gt;=1E12,"TB",IF(ABS(H17)&gt;=1E9,"GB",IF(ABS(H17)&gt;=1E6,"MB",IF(ABS(H17)&gt;=1E3,"KB","bytes"))))))</f>
        <v>40.635 GB</v>
      </c>
      <c r="D17" s="31" t="str">
        <f>TEXT(IF(ABS(I17)&gt;=1E12,I17/1E12,IF(ABS(I17)&gt;=1E9,I17/1E9,IF(ABS(I17)&gt;=1E6,I17/1E6,IF(ABS(I17)&gt;=1E3,I17/1E3,I17)))),"#,##0.000")&amp;IF((IF(ABS(I17)&gt;=1E12,"TB",IF(ABS(I17)&gt;=1E9,"GB",IF(ABS(I17)&gt;=1E6,"MB",IF(ABS(I17)&gt;=1E3,"KB","bytes")))))="",""," "&amp;(IF(ABS(I17)&gt;=1E12,"TB",IF(ABS(I17)&gt;=1E9,"GB",IF(ABS(I17)&gt;=1E6,"MB",IF(ABS(I17)&gt;=1E3,"KB","bytes"))))))</f>
        <v>0.000 B</v>
      </c>
      <c r="E17" s="31" t="str">
        <f>TEXT(IF(ABS(J17)&gt;=1E12,J17/1E12,IF(ABS(J17)&gt;=1E9,J17/1E9,IF(ABS(J17)&gt;=1E6,J17/1E6,IF(ABS(J17)&gt;=1E3,J17/1E3,J17)))),"#,##0.000")&amp;IF((IF(ABS(J17)&gt;=1E12,"TB",IF(ABS(J17)&gt;=1E9,"GB",IF(ABS(J17)&gt;=1E6,"MB",IF(ABS(J17)&gt;=1E3,"KB","bytes")))))="",""," "&amp;(IF(ABS(J17)&gt;=1E12,"TB",IF(ABS(J17)&gt;=1E9,"GB",IF(ABS(J17)&gt;=1E6,"MB",IF(ABS(J17)&gt;=1E3,"KB","bytes"))))))</f>
        <v>5.865 MB</v>
      </c>
      <c r="F17" s="4" t="s">
        <v>455</v>
      </c>
      <c r="G17" s="32">
        <f>'Prefill_8K'!$AE$21</f>
        <v>0.0</v>
      </c>
      <c r="H17" s="32">
        <f>'Prefill_8K'!$AF$21</f>
        <v>40635322112.0</v>
      </c>
      <c r="I17" s="32">
        <f>'Decode_1M'!$AE$21</f>
        <v>0.0</v>
      </c>
      <c r="J17" s="32">
        <f>'Decode_1M'!$AF$21</f>
        <v>5865216.0</v>
      </c>
    </row>
    <row r="18" spans="1:10">
      <c r="A18" s="4" t="s">
        <v>456</v>
      </c>
      <c r="B18" s="31" t="str">
        <f>TEXT(G18,"#,##0.000")&amp;" GB/s"</f>
        <v>0.000 GB/s</v>
      </c>
      <c r="C18" s="31" t="str">
        <f>TEXT(H18,"#,##0.000")&amp;" GB/s"</f>
        <v>40.635 GB/s</v>
      </c>
      <c r="D18" s="31" t="str">
        <f>TEXT(I18,"#,##0.000")&amp;" GB/s"</f>
        <v>0.000 GB/s</v>
      </c>
      <c r="E18" s="31" t="str">
        <f>TEXT(J18,"#,##0.000")&amp;" GB/s"</f>
        <v>0.587 GB/s</v>
      </c>
      <c r="F18" s="4" t="s">
        <v>457</v>
      </c>
      <c r="G18" s="32">
        <f>'Prefill_8K'!$AE$21/(PrefillTargetMs/1000)/1E9</f>
        <v>0.0</v>
      </c>
      <c r="H18" s="32">
        <f>'Prefill_8K'!$AF$21/(PrefillTargetMs/1000)/1E9</f>
        <v>40.635322112</v>
      </c>
      <c r="I18" s="32">
        <f>'Decode_1M'!$AE$21/(DecodeTargetMs/1000)/1E9</f>
        <v>0.0</v>
      </c>
      <c r="J18" s="32">
        <f>'Decode_1M'!$AF$21/(DecodeTargetMs/1000)/1E9</f>
        <v>0.5865216</v>
      </c>
    </row>
    <row r="19" spans="1:10">
      <c r="A19" s="4" t="s">
        <v>458</v>
      </c>
      <c r="B19" s="31" t="str">
        <f>TEXT(IF(ABS(G19)&gt;=1E12,G19/1E12,IF(ABS(G19)&gt;=1E9,G19/1E9,IF(ABS(G19)&gt;=1E6,G19/1E6,IF(ABS(G19)&gt;=1E3,G19/1E3,G19)))),"#,##0.000")&amp;IF((IF(ABS(G19)&gt;=1E12,"T",IF(ABS(G19)&gt;=1E9,"G",IF(ABS(G19)&gt;=1E6,"M",IF(ABS(G19)&gt;=1E3,"K","")))))="",""," "&amp;(IF(ABS(G19)&gt;=1E12,"T",IF(ABS(G19)&gt;=1E9,"G",IF(ABS(G19)&gt;=1E6,"M",IF(ABS(G19)&gt;=1E3,"K",""))))))</f>
        <v>5.086 G</v>
      </c>
      <c r="C19" s="31" t="str">
        <f>TEXT(IF(ABS(H19)&gt;=1E12,H19/1E12,IF(ABS(H19)&gt;=1E9,H19/1E9,IF(ABS(H19)&gt;=1E6,H19/1E6,IF(ABS(H19)&gt;=1E3,H19/1E3,H19)))),"#,##0.000")&amp;IF((IF(ABS(H19)&gt;=1E12,"T",IF(ABS(H19)&gt;=1E9,"G",IF(ABS(H19)&gt;=1E6,"M",IF(ABS(H19)&gt;=1E3,"K","")))))="",""," "&amp;(IF(ABS(H19)&gt;=1E12,"T",IF(ABS(H19)&gt;=1E9,"G",IF(ABS(H19)&gt;=1E6,"M",IF(ABS(H19)&gt;=1E3,"K",""))))))</f>
        <v>1.140 G</v>
      </c>
      <c r="D19" s="31" t="str">
        <f>TEXT(IF(ABS(I19)&gt;=1E12,I19/1E12,IF(ABS(I19)&gt;=1E9,I19/1E9,IF(ABS(I19)&gt;=1E6,I19/1E6,IF(ABS(I19)&gt;=1E3,I19/1E3,I19)))),"#,##0.000")&amp;IF((IF(ABS(I19)&gt;=1E12,"T",IF(ABS(I19)&gt;=1E9,"G",IF(ABS(I19)&gt;=1E6,"M",IF(ABS(I19)&gt;=1E3,"K","")))))="",""," "&amp;(IF(ABS(I19)&gt;=1E12,"T",IF(ABS(I19)&gt;=1E9,"G",IF(ABS(I19)&gt;=1E6,"M",IF(ABS(I19)&gt;=1E3,"K",""))))))</f>
        <v>5.086 G</v>
      </c>
      <c r="E19" s="31" t="str">
        <f>TEXT(IF(ABS(J19)&gt;=1E12,J19/1E12,IF(ABS(J19)&gt;=1E9,J19/1E9,IF(ABS(J19)&gt;=1E6,J19/1E6,IF(ABS(J19)&gt;=1E3,J19/1E3,J19)))),"#,##0.000")&amp;IF((IF(ABS(J19)&gt;=1E12,"T",IF(ABS(J19)&gt;=1E9,"G",IF(ABS(J19)&gt;=1E6,"M",IF(ABS(J19)&gt;=1E3,"K","")))))="",""," "&amp;(IF(ABS(J19)&gt;=1E12,"T",IF(ABS(J19)&gt;=1E9,"G",IF(ABS(J19)&gt;=1E6,"M",IF(ABS(J19)&gt;=1E3,"K",""))))))</f>
        <v>1.140 G</v>
      </c>
      <c r="F19" s="4" t="s">
        <v>459</v>
      </c>
      <c r="G19" s="32">
        <f>'Prefill_8K'!$AL$63</f>
        <v>5086249088.0</v>
      </c>
      <c r="H19" s="32">
        <f>'Prefill_8K'!$AM$63</f>
        <v>1139835008.0</v>
      </c>
      <c r="I19" s="32">
        <f>'Prefill_8K'!$AL$63</f>
        <v>5086249088.0</v>
      </c>
      <c r="J19" s="32">
        <f>'Prefill_8K'!$AM$63</f>
        <v>1139835008.0</v>
      </c>
    </row>
    <row r="20" spans="1:10">
      <c r="A20" s="4" t="s">
        <v>460</v>
      </c>
      <c r="B20" s="31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278.155 G</v>
      </c>
      <c r="C20" s="31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35.758 G</v>
      </c>
      <c r="D20" s="31" t="str">
        <f>TEXT(IF(ABS(I20)&gt;=1E12,I20/1E12,IF(ABS(I20)&gt;=1E9,I20/1E9,IF(ABS(I20)&gt;=1E6,I20/1E6,IF(ABS(I20)&gt;=1E3,I20/1E3,I20)))),"#,##0.000")&amp;IF((IF(ABS(I20)&gt;=1E12,"T",IF(ABS(I20)&gt;=1E9,"G",IF(ABS(I20)&gt;=1E6,"M",IF(ABS(I20)&gt;=1E3,"K","")))))="",""," "&amp;(IF(ABS(I20)&gt;=1E12,"T",IF(ABS(I20)&gt;=1E9,"G",IF(ABS(I20)&gt;=1E6,"M",IF(ABS(I20)&gt;=1E3,"K",""))))))</f>
        <v>278.155 G</v>
      </c>
      <c r="E20" s="31" t="str">
        <f>TEXT(IF(ABS(J20)&gt;=1E12,J20/1E12,IF(ABS(J20)&gt;=1E9,J20/1E9,IF(ABS(J20)&gt;=1E6,J20/1E6,IF(ABS(J20)&gt;=1E3,J20/1E3,J20)))),"#,##0.000")&amp;IF((IF(ABS(J20)&gt;=1E12,"T",IF(ABS(J20)&gt;=1E9,"G",IF(ABS(J20)&gt;=1E6,"M",IF(ABS(J20)&gt;=1E3,"K","")))))="",""," "&amp;(IF(ABS(J20)&gt;=1E12,"T",IF(ABS(J20)&gt;=1E9,"G",IF(ABS(J20)&gt;=1E6,"M",IF(ABS(J20)&gt;=1E3,"K",""))))))</f>
        <v>35.758 G</v>
      </c>
      <c r="F20" s="4" t="s">
        <v>461</v>
      </c>
      <c r="G20" s="32">
        <f>'Prefill_8K'!$AL$64</f>
        <v>278154947072.0</v>
      </c>
      <c r="H20" s="32">
        <f>'Prefill_8K'!$AM$64</f>
        <v>35757730304.0</v>
      </c>
      <c r="I20" s="32">
        <f>'Prefill_8K'!$AL$64</f>
        <v>278154947072.0</v>
      </c>
      <c r="J20" s="32">
        <f>'Prefill_8K'!$AM$64</f>
        <v>35757730304.0</v>
      </c>
    </row>
    <row r="21" spans="1:10">
      <c r="A21" s="4" t="s">
        <v>462</v>
      </c>
      <c r="B21" s="31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1.093 G</v>
      </c>
      <c r="C21" s="31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166.690 M</v>
      </c>
      <c r="D21" s="31" t="str">
        <f>TEXT(IF(ABS(I21)&gt;=1E12,I21/1E12,IF(ABS(I21)&gt;=1E9,I21/1E9,IF(ABS(I21)&gt;=1E6,I21/1E6,IF(ABS(I21)&gt;=1E3,I21/1E3,I21)))),"#,##0.000")&amp;IF((IF(ABS(I21)&gt;=1E12,"T",IF(ABS(I21)&gt;=1E9,"G",IF(ABS(I21)&gt;=1E6,"M",IF(ABS(I21)&gt;=1E3,"K","")))))="",""," "&amp;(IF(ABS(I21)&gt;=1E12,"T",IF(ABS(I21)&gt;=1E9,"G",IF(ABS(I21)&gt;=1E6,"M",IF(ABS(I21)&gt;=1E3,"K",""))))))</f>
        <v>1.093 G</v>
      </c>
      <c r="E21" s="31" t="str">
        <f>TEXT(IF(ABS(J21)&gt;=1E12,J21/1E12,IF(ABS(J21)&gt;=1E9,J21/1E9,IF(ABS(J21)&gt;=1E6,J21/1E6,IF(ABS(J21)&gt;=1E3,J21/1E3,J21)))),"#,##0.000")&amp;IF((IF(ABS(J21)&gt;=1E12,"T",IF(ABS(J21)&gt;=1E9,"G",IF(ABS(J21)&gt;=1E6,"M",IF(ABS(J21)&gt;=1E3,"K","")))))="",""," "&amp;(IF(ABS(J21)&gt;=1E12,"T",IF(ABS(J21)&gt;=1E9,"G",IF(ABS(J21)&gt;=1E6,"M",IF(ABS(J21)&gt;=1E3,"K",""))))))</f>
        <v>166.690 M</v>
      </c>
      <c r="F21" s="4" t="s">
        <v>463</v>
      </c>
      <c r="G21" s="32">
        <f>'Prefill_8K'!$AL$65</f>
        <v>1093371351.0</v>
      </c>
      <c r="H21" s="32">
        <f>'Prefill_8K'!$AM$65</f>
        <v>166689903.0</v>
      </c>
      <c r="I21" s="32">
        <f>'Prefill_8K'!$AL$65</f>
        <v>1093371351.0</v>
      </c>
      <c r="J21" s="32">
        <f>'Prefill_8K'!$AM$65</f>
        <v>166689903.0</v>
      </c>
    </row>
    <row r="22" spans="1:10">
      <c r="A22" s="33" t="s">
        <v>464</v>
      </c>
      <c r="B22" s="33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284.335 G</v>
      </c>
      <c r="C22" s="33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37.064 G</v>
      </c>
      <c r="D22" s="33" t="str">
        <f>TEXT(IF(ABS(I22)&gt;=1E12,I22/1E12,IF(ABS(I22)&gt;=1E9,I22/1E9,IF(ABS(I22)&gt;=1E6,I22/1E6,IF(ABS(I22)&gt;=1E3,I22/1E3,I22)))),"#,##0.000")&amp;IF((IF(ABS(I22)&gt;=1E12,"T",IF(ABS(I22)&gt;=1E9,"G",IF(ABS(I22)&gt;=1E6,"M",IF(ABS(I22)&gt;=1E3,"K","")))))="",""," "&amp;(IF(ABS(I22)&gt;=1E12,"T",IF(ABS(I22)&gt;=1E9,"G",IF(ABS(I22)&gt;=1E6,"M",IF(ABS(I22)&gt;=1E3,"K",""))))))</f>
        <v>284.335 G</v>
      </c>
      <c r="E22" s="33" t="str">
        <f>TEXT(IF(ABS(J22)&gt;=1E12,J22/1E12,IF(ABS(J22)&gt;=1E9,J22/1E9,IF(ABS(J22)&gt;=1E6,J22/1E6,IF(ABS(J22)&gt;=1E3,J22/1E3,J22)))),"#,##0.000")&amp;IF((IF(ABS(J22)&gt;=1E12,"T",IF(ABS(J22)&gt;=1E9,"G",IF(ABS(J22)&gt;=1E6,"M",IF(ABS(J22)&gt;=1E3,"K","")))))="",""," "&amp;(IF(ABS(J22)&gt;=1E12,"T",IF(ABS(J22)&gt;=1E9,"G",IF(ABS(J22)&gt;=1E6,"M",IF(ABS(J22)&gt;=1E3,"K",""))))))</f>
        <v>37.064 G</v>
      </c>
      <c r="F22" s="4" t="s">
        <v>465</v>
      </c>
      <c r="G22" s="32">
        <f>'Prefill_8K'!$AL$66</f>
        <v>284334567511.0</v>
      </c>
      <c r="H22" s="32">
        <f>'Prefill_8K'!$AM$66</f>
        <v>37064255215.0</v>
      </c>
      <c r="I22" s="32">
        <f>'Prefill_8K'!$AL$66</f>
        <v>284334567511.0</v>
      </c>
      <c r="J22" s="32">
        <f>'Prefill_8K'!$AM$66</f>
        <v>37064255215.0</v>
      </c>
    </row>
    <row r="23" spans="1:10">
      <c r="A23" s="4" t="s">
        <v>466</v>
      </c>
      <c r="B23" s="31" t="str">
        <f>TEXT(IF(ABS(G23)&gt;=1E12,G23/1E12,IF(ABS(G23)&gt;=1E9,G23/1E9,IF(ABS(G23)&gt;=1E6,G23/1E6,IF(ABS(G23)&gt;=1E3,G23/1E3,G23)))),"#,##0.000")&amp;IF((IF(ABS(G23)&gt;=1E12,"TB",IF(ABS(G23)&gt;=1E9,"GB",IF(ABS(G23)&gt;=1E6,"MB",IF(ABS(G23)&gt;=1E3,"KB","bytes")))))="",""," "&amp;(IF(ABS(G23)&gt;=1E12,"TB",IF(ABS(G23)&gt;=1E9,"GB",IF(ABS(G23)&gt;=1E6,"MB",IF(ABS(G23)&gt;=1E3,"KB","bytes"))))))</f>
        <v>7.451 GB</v>
      </c>
      <c r="C23" s="31" t="str">
        <f>TEXT(IF(ABS(H23)&gt;=1E12,H23/1E12,IF(ABS(H23)&gt;=1E9,H23/1E9,IF(ABS(H23)&gt;=1E6,H23/1E6,IF(ABS(H23)&gt;=1E3,H23/1E3,H23)))),"#,##0.000")&amp;IF((IF(ABS(H23)&gt;=1E12,"TB",IF(ABS(H23)&gt;=1E9,"GB",IF(ABS(H23)&gt;=1E6,"MB",IF(ABS(H23)&gt;=1E3,"KB","bytes")))))="",""," "&amp;(IF(ABS(H23)&gt;=1E12,"TB",IF(ABS(H23)&gt;=1E9,"GB",IF(ABS(H23)&gt;=1E6,"MB",IF(ABS(H23)&gt;=1E3,"KB","bytes"))))))</f>
        <v>2.238 GB</v>
      </c>
      <c r="D23" s="31" t="str">
        <f>TEXT(IF(ABS(I23)&gt;=1E12,I23/1E12,IF(ABS(I23)&gt;=1E9,I23/1E9,IF(ABS(I23)&gt;=1E6,I23/1E6,IF(ABS(I23)&gt;=1E3,I23/1E3,I23)))),"#,##0.000")&amp;IF((IF(ABS(I23)&gt;=1E12,"TB",IF(ABS(I23)&gt;=1E9,"GB",IF(ABS(I23)&gt;=1E6,"MB",IF(ABS(I23)&gt;=1E3,"KB","bytes")))))="",""," "&amp;(IF(ABS(I23)&gt;=1E12,"TB",IF(ABS(I23)&gt;=1E9,"GB",IF(ABS(I23)&gt;=1E6,"MB",IF(ABS(I23)&gt;=1E3,"KB","bytes"))))))</f>
        <v>7.451 GB</v>
      </c>
      <c r="E23" s="31" t="str">
        <f>TEXT(IF(ABS(J23)&gt;=1E12,J23/1E12,IF(ABS(J23)&gt;=1E9,J23/1E9,IF(ABS(J23)&gt;=1E6,J23/1E6,IF(ABS(J23)&gt;=1E3,J23/1E3,J23)))),"#,##0.000")&amp;IF((IF(ABS(J23)&gt;=1E12,"TB",IF(ABS(J23)&gt;=1E9,"GB",IF(ABS(J23)&gt;=1E6,"MB",IF(ABS(J23)&gt;=1E3,"KB","bytes")))))="",""," "&amp;(IF(ABS(J23)&gt;=1E12,"TB",IF(ABS(J23)&gt;=1E9,"GB",IF(ABS(J23)&gt;=1E6,"MB",IF(ABS(J23)&gt;=1E3,"KB","bytes"))))))</f>
        <v>2.238 GB</v>
      </c>
      <c r="F23" s="4" t="s">
        <v>467</v>
      </c>
      <c r="G23" s="32">
        <f>'Prefill_8K'!$AN$63</f>
        <v>7451384960</v>
      </c>
      <c r="H23" s="32">
        <f>'Prefill_8K'!$AO$63</f>
        <v>2237504960</v>
      </c>
      <c r="I23" s="32">
        <f>'Prefill_8K'!$AN$63</f>
        <v>7451384960</v>
      </c>
      <c r="J23" s="32">
        <f>'Prefill_8K'!$AO$63</f>
        <v>2237504960</v>
      </c>
    </row>
    <row r="24" spans="1:10">
      <c r="A24" s="4" t="s">
        <v>468</v>
      </c>
      <c r="B24" s="31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148.351 GB</v>
      </c>
      <c r="C24" s="31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19.578 GB</v>
      </c>
      <c r="D24" s="31" t="str">
        <f>TEXT(IF(ABS(I24)&gt;=1E12,I24/1E12,IF(ABS(I24)&gt;=1E9,I24/1E9,IF(ABS(I24)&gt;=1E6,I24/1E6,IF(ABS(I24)&gt;=1E3,I24/1E3,I24)))),"#,##0.000")&amp;IF((IF(ABS(I24)&gt;=1E12,"TB",IF(ABS(I24)&gt;=1E9,"GB",IF(ABS(I24)&gt;=1E6,"MB",IF(ABS(I24)&gt;=1E3,"KB","bytes")))))="",""," "&amp;(IF(ABS(I24)&gt;=1E12,"TB",IF(ABS(I24)&gt;=1E9,"GB",IF(ABS(I24)&gt;=1E6,"MB",IF(ABS(I24)&gt;=1E3,"KB","bytes"))))))</f>
        <v>148.351 GB</v>
      </c>
      <c r="E24" s="31" t="str">
        <f>TEXT(IF(ABS(J24)&gt;=1E12,J24/1E12,IF(ABS(J24)&gt;=1E9,J24/1E9,IF(ABS(J24)&gt;=1E6,J24/1E6,IF(ABS(J24)&gt;=1E3,J24/1E3,J24)))),"#,##0.000")&amp;IF((IF(ABS(J24)&gt;=1E12,"TB",IF(ABS(J24)&gt;=1E9,"GB",IF(ABS(J24)&gt;=1E6,"MB",IF(ABS(J24)&gt;=1E3,"KB","bytes")))))="",""," "&amp;(IF(ABS(J24)&gt;=1E12,"TB",IF(ABS(J24)&gt;=1E9,"GB",IF(ABS(J24)&gt;=1E6,"MB",IF(ABS(J24)&gt;=1E3,"KB","bytes"))))))</f>
        <v>19.578 GB</v>
      </c>
      <c r="F24" s="4" t="s">
        <v>469</v>
      </c>
      <c r="G24" s="32">
        <f>'Prefill_8K'!$AN$64</f>
        <v>148351461888.0</v>
      </c>
      <c r="H24" s="32">
        <f>'Prefill_8K'!$AO$64</f>
        <v>19577940480.0</v>
      </c>
      <c r="I24" s="32">
        <f>'Prefill_8K'!$AN$64</f>
        <v>148351461888.0</v>
      </c>
      <c r="J24" s="32">
        <f>'Prefill_8K'!$AO$64</f>
        <v>19577940480.0</v>
      </c>
    </row>
    <row r="25" spans="1:10">
      <c r="A25" s="4" t="s">
        <v>470</v>
      </c>
      <c r="B25" s="31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3.314 GB</v>
      </c>
      <c r="C25" s="31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534.377 MB</v>
      </c>
      <c r="D25" s="31" t="str">
        <f>TEXT(IF(ABS(I25)&gt;=1E12,I25/1E12,IF(ABS(I25)&gt;=1E9,I25/1E9,IF(ABS(I25)&gt;=1E6,I25/1E6,IF(ABS(I25)&gt;=1E3,I25/1E3,I25)))),"#,##0.000")&amp;IF((IF(ABS(I25)&gt;=1E12,"TB",IF(ABS(I25)&gt;=1E9,"GB",IF(ABS(I25)&gt;=1E6,"MB",IF(ABS(I25)&gt;=1E3,"KB","bytes")))))="",""," "&amp;(IF(ABS(I25)&gt;=1E12,"TB",IF(ABS(I25)&gt;=1E9,"GB",IF(ABS(I25)&gt;=1E6,"MB",IF(ABS(I25)&gt;=1E3,"KB","bytes"))))))</f>
        <v>3.314 GB</v>
      </c>
      <c r="E25" s="31" t="str">
        <f>TEXT(IF(ABS(J25)&gt;=1E12,J25/1E12,IF(ABS(J25)&gt;=1E9,J25/1E9,IF(ABS(J25)&gt;=1E6,J25/1E6,IF(ABS(J25)&gt;=1E3,J25/1E3,J25)))),"#,##0.000")&amp;IF((IF(ABS(J25)&gt;=1E12,"TB",IF(ABS(J25)&gt;=1E9,"GB",IF(ABS(J25)&gt;=1E6,"MB",IF(ABS(J25)&gt;=1E3,"KB","bytes")))))="",""," "&amp;(IF(ABS(J25)&gt;=1E12,"TB",IF(ABS(J25)&gt;=1E9,"GB",IF(ABS(J25)&gt;=1E6,"MB",IF(ABS(J25)&gt;=1E3,"KB","bytes"))))))</f>
        <v>534.377 MB</v>
      </c>
      <c r="F25" s="4" t="s">
        <v>463</v>
      </c>
      <c r="G25" s="32">
        <f>'Prefill_8K'!$AN$65</f>
        <v>3314423644.0</v>
      </c>
      <c r="H25" s="32">
        <f>'Prefill_8K'!$AO$65</f>
        <v>534376892.0</v>
      </c>
      <c r="I25" s="32">
        <f>'Prefill_8K'!$AN$65</f>
        <v>3314423644.0</v>
      </c>
      <c r="J25" s="32">
        <f>'Prefill_8K'!$AO$65</f>
        <v>534376892.0</v>
      </c>
    </row>
    <row r="26" spans="1:10">
      <c r="A26" s="33" t="s">
        <v>471</v>
      </c>
      <c r="B26" s="33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159.117 GB</v>
      </c>
      <c r="C26" s="33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22.350 GB</v>
      </c>
      <c r="D26" s="33" t="str">
        <f>TEXT(IF(ABS(I26)&gt;=1E12,I26/1E12,IF(ABS(I26)&gt;=1E9,I26/1E9,IF(ABS(I26)&gt;=1E6,I26/1E6,IF(ABS(I26)&gt;=1E3,I26/1E3,I26)))),"#,##0.000")&amp;IF((IF(ABS(I26)&gt;=1E12,"TB",IF(ABS(I26)&gt;=1E9,"GB",IF(ABS(I26)&gt;=1E6,"MB",IF(ABS(I26)&gt;=1E3,"KB","bytes")))))="",""," "&amp;(IF(ABS(I26)&gt;=1E12,"TB",IF(ABS(I26)&gt;=1E9,"GB",IF(ABS(I26)&gt;=1E6,"MB",IF(ABS(I26)&gt;=1E3,"KB","bytes"))))))</f>
        <v>159.117 GB</v>
      </c>
      <c r="E26" s="33" t="str">
        <f>TEXT(IF(ABS(J26)&gt;=1E12,J26/1E12,IF(ABS(J26)&gt;=1E9,J26/1E9,IF(ABS(J26)&gt;=1E6,J26/1E6,IF(ABS(J26)&gt;=1E3,J26/1E3,J26)))),"#,##0.000")&amp;IF((IF(ABS(J26)&gt;=1E12,"TB",IF(ABS(J26)&gt;=1E9,"GB",IF(ABS(J26)&gt;=1E6,"MB",IF(ABS(J26)&gt;=1E3,"KB","bytes")))))="",""," "&amp;(IF(ABS(J26)&gt;=1E12,"TB",IF(ABS(J26)&gt;=1E9,"GB",IF(ABS(J26)&gt;=1E6,"MB",IF(ABS(J26)&gt;=1E3,"KB","bytes"))))))</f>
        <v>22.350 GB</v>
      </c>
      <c r="F26" s="4" t="s">
        <v>472</v>
      </c>
      <c r="G26" s="32">
        <f>'Prefill_8K'!$AN$66</f>
        <v>159117270492.0</v>
      </c>
      <c r="H26" s="32">
        <f>'Prefill_8K'!$AO$66</f>
        <v>22349822332.0</v>
      </c>
      <c r="I26" s="32">
        <f>'Prefill_8K'!$AN$66</f>
        <v>159117270492.0</v>
      </c>
      <c r="J26" s="32">
        <f>'Prefill_8K'!$AO$66</f>
        <v>22349822332.0</v>
      </c>
    </row>
    <row r="27" spans="1:10">
      <c r="A27" s="4" t="s">
        <v>473</v>
      </c>
      <c r="B27" s="31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50.987 MB</v>
      </c>
      <c r="C27" s="31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50.987 MB</v>
      </c>
      <c r="D27" s="31" t="str">
        <f>TEXT(IF(ABS(I27)&gt;=1E12,I27/1E12,IF(ABS(I27)&gt;=1E9,I27/1E9,IF(ABS(I27)&gt;=1E6,I27/1E6,IF(ABS(I27)&gt;=1E3,I27/1E3,I27)))),"#,##0.000")&amp;IF((IF(ABS(I27)&gt;=1E12,"TB",IF(ABS(I27)&gt;=1E9,"GB",IF(ABS(I27)&gt;=1E6,"MB",IF(ABS(I27)&gt;=1E3,"KB","bytes")))))="",""," "&amp;(IF(ABS(I27)&gt;=1E12,"TB",IF(ABS(I27)&gt;=1E9,"GB",IF(ABS(I27)&gt;=1E6,"MB",IF(ABS(I27)&gt;=1E3,"KB","bytes"))))))</f>
        <v>5.811 GB</v>
      </c>
      <c r="E27" s="31" t="str">
        <f>TEXT(IF(ABS(J27)&gt;=1E12,J27/1E12,IF(ABS(J27)&gt;=1E9,J27/1E9,IF(ABS(J27)&gt;=1E6,J27/1E6,IF(ABS(J27)&gt;=1E3,J27/1E3,J27)))),"#,##0.000")&amp;IF((IF(ABS(J27)&gt;=1E12,"TB",IF(ABS(J27)&gt;=1E9,"GB",IF(ABS(J27)&gt;=1E6,"MB",IF(ABS(J27)&gt;=1E3,"KB","bytes")))))="",""," "&amp;(IF(ABS(J27)&gt;=1E12,"TB",IF(ABS(J27)&gt;=1E9,"GB",IF(ABS(J27)&gt;=1E6,"MB",IF(ABS(J27)&gt;=1E3,"KB","bytes"))))))</f>
        <v>5.811 GB</v>
      </c>
      <c r="F27" s="4" t="s">
        <v>474</v>
      </c>
      <c r="G27" s="32">
        <f>'Prefill_8K'!$AP$70</f>
        <v>50987008</v>
      </c>
      <c r="H27" s="32">
        <f>'Prefill_8K'!$AQ$70</f>
        <v>50987008</v>
      </c>
      <c r="I27" s="32">
        <f>'Decode_1M'!$AP$70</f>
        <v>5810552832</v>
      </c>
      <c r="J27" s="32">
        <f>'Decode_1M'!$AQ$70</f>
        <v>5810552832</v>
      </c>
    </row>
    <row r="28" spans="1:10">
      <c r="A28" s="4" t="s">
        <v>475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11.010 MB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11.010 MB</v>
      </c>
      <c r="D28" s="31" t="str">
        <f>TEXT(IF(ABS(I28)&gt;=1E12,I28/1E12,IF(ABS(I28)&gt;=1E9,I28/1E9,IF(ABS(I28)&gt;=1E6,I28/1E6,IF(ABS(I28)&gt;=1E3,I28/1E3,I28)))),"#,##0.000")&amp;IF((IF(ABS(I28)&gt;=1E12,"TB",IF(ABS(I28)&gt;=1E9,"GB",IF(ABS(I28)&gt;=1E6,"MB",IF(ABS(I28)&gt;=1E3,"KB","bytes")))))="",""," "&amp;(IF(ABS(I28)&gt;=1E12,"TB",IF(ABS(I28)&gt;=1E9,"GB",IF(ABS(I28)&gt;=1E6,"MB",IF(ABS(I28)&gt;=1E3,"KB","bytes"))))))</f>
        <v>1.409 GB</v>
      </c>
      <c r="E28" s="31" t="str">
        <f>TEXT(IF(ABS(J28)&gt;=1E12,J28/1E12,IF(ABS(J28)&gt;=1E9,J28/1E9,IF(ABS(J28)&gt;=1E6,J28/1E6,IF(ABS(J28)&gt;=1E3,J28/1E3,J28)))),"#,##0.000")&amp;IF((IF(ABS(J28)&gt;=1E12,"TB",IF(ABS(J28)&gt;=1E9,"GB",IF(ABS(J28)&gt;=1E6,"MB",IF(ABS(J28)&gt;=1E3,"KB","bytes")))))="",""," "&amp;(IF(ABS(J28)&gt;=1E12,"TB",IF(ABS(J28)&gt;=1E9,"GB",IF(ABS(J28)&gt;=1E6,"MB",IF(ABS(J28)&gt;=1E3,"KB","bytes"))))))</f>
        <v>1.409 GB</v>
      </c>
      <c r="F28" s="4" t="s">
        <v>474</v>
      </c>
      <c r="G28" s="32">
        <f>'Prefill_8K'!$AP$71</f>
        <v>11010048</v>
      </c>
      <c r="H28" s="32">
        <f>'Prefill_8K'!$AQ$71</f>
        <v>11010048</v>
      </c>
      <c r="I28" s="32">
        <f>'Decode_1M'!$AP$71</f>
        <v>1409286144</v>
      </c>
      <c r="J28" s="32">
        <f>'Decode_1M'!$AQ$71</f>
        <v>1409286144</v>
      </c>
    </row>
    <row r="29" spans="1:10">
      <c r="A29" s="4" t="s">
        <v>476</v>
      </c>
      <c r="B29" s="31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12.206 MB</v>
      </c>
      <c r="C29" s="31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12.206 MB</v>
      </c>
      <c r="D29" s="31" t="str">
        <f>TEXT(IF(ABS(I29)&gt;=1E12,I29/1E12,IF(ABS(I29)&gt;=1E9,I29/1E9,IF(ABS(I29)&gt;=1E6,I29/1E6,IF(ABS(I29)&gt;=1E3,I29/1E3,I29)))),"#,##0.000")&amp;IF((IF(ABS(I29)&gt;=1E12,"TB",IF(ABS(I29)&gt;=1E9,"GB",IF(ABS(I29)&gt;=1E6,"MB",IF(ABS(I29)&gt;=1E3,"KB","bytes")))))="",""," "&amp;(IF(ABS(I29)&gt;=1E12,"TB",IF(ABS(I29)&gt;=1E9,"GB",IF(ABS(I29)&gt;=1E6,"MB",IF(ABS(I29)&gt;=1E3,"KB","bytes"))))))</f>
        <v>12.206 MB</v>
      </c>
      <c r="E29" s="31" t="str">
        <f>TEXT(IF(ABS(J29)&gt;=1E12,J29/1E12,IF(ABS(J29)&gt;=1E9,J29/1E9,IF(ABS(J29)&gt;=1E6,J29/1E6,IF(ABS(J29)&gt;=1E3,J29/1E3,J29)))),"#,##0.000")&amp;IF((IF(ABS(J29)&gt;=1E12,"TB",IF(ABS(J29)&gt;=1E9,"GB",IF(ABS(J29)&gt;=1E6,"MB",IF(ABS(J29)&gt;=1E3,"KB","bytes")))))="",""," "&amp;(IF(ABS(J29)&gt;=1E12,"TB",IF(ABS(J29)&gt;=1E9,"GB",IF(ABS(J29)&gt;=1E6,"MB",IF(ABS(J29)&gt;=1E3,"KB","bytes"))))))</f>
        <v>12.206 MB</v>
      </c>
      <c r="F29" s="4" t="s">
        <v>474</v>
      </c>
      <c r="G29" s="32">
        <f>'Prefill_8K'!$AP$72</f>
        <v>12206080</v>
      </c>
      <c r="H29" s="32">
        <f>'Prefill_8K'!$AQ$72</f>
        <v>12206080</v>
      </c>
      <c r="I29" s="32">
        <f>'Decode_1M'!$AP$72</f>
        <v>12206080</v>
      </c>
      <c r="J29" s="32">
        <f>'Decode_1M'!$AQ$72</f>
        <v>12206080</v>
      </c>
    </row>
    <row r="30" spans="1:10">
      <c r="A30" s="4" t="s">
        <v>477</v>
      </c>
      <c r="B30" s="31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7.232 GB</v>
      </c>
      <c r="C30" s="31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7.232 GB</v>
      </c>
      <c r="D30" s="31" t="str">
        <f>TEXT(IF(ABS(I30)&gt;=1E12,I30/1E12,IF(ABS(I30)&gt;=1E9,I30/1E9,IF(ABS(I30)&gt;=1E6,I30/1E6,IF(ABS(I30)&gt;=1E3,I30/1E3,I30)))),"#,##0.000")&amp;IF((IF(ABS(I30)&gt;=1E12,"TB",IF(ABS(I30)&gt;=1E9,"GB",IF(ABS(I30)&gt;=1E6,"MB",IF(ABS(I30)&gt;=1E3,"KB","bytes")))))="",""," "&amp;(IF(ABS(I30)&gt;=1E12,"TB",IF(ABS(I30)&gt;=1E9,"GB",IF(ABS(I30)&gt;=1E6,"MB",IF(ABS(I30)&gt;=1E3,"KB","bytes"))))))</f>
        <v>7.232 GB</v>
      </c>
      <c r="E30" s="31" t="str">
        <f>TEXT(IF(ABS(J30)&gt;=1E12,J30/1E12,IF(ABS(J30)&gt;=1E9,J30/1E9,IF(ABS(J30)&gt;=1E6,J30/1E6,IF(ABS(J30)&gt;=1E3,J30/1E3,J30)))),"#,##0.000")&amp;IF((IF(ABS(J30)&gt;=1E12,"TB",IF(ABS(J30)&gt;=1E9,"GB",IF(ABS(J30)&gt;=1E6,"MB",IF(ABS(J30)&gt;=1E3,"KB","bytes")))))="",""," "&amp;(IF(ABS(J30)&gt;=1E12,"TB",IF(ABS(J30)&gt;=1E9,"GB",IF(ABS(J30)&gt;=1E6,"MB",IF(ABS(J30)&gt;=1E3,"KB","bytes"))))))</f>
        <v>7.232 GB</v>
      </c>
      <c r="F30" s="4" t="s">
        <v>474</v>
      </c>
      <c r="G30" s="32">
        <f>'Prefill_8K'!$AP$73</f>
        <v>7232045056</v>
      </c>
      <c r="H30" s="32">
        <f>'Prefill_8K'!$AQ$73</f>
        <v>7232045056</v>
      </c>
      <c r="I30" s="32">
        <f>'Decode_1M'!$AP$73</f>
        <v>7232045056</v>
      </c>
      <c r="J30" s="32">
        <f>'Decode_1M'!$AQ$73</f>
        <v>7232045056</v>
      </c>
    </row>
    <row r="31" spans="1:10">
      <c r="A31" s="33" t="s">
        <v>478</v>
      </c>
      <c r="B31" s="33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166.349 GB</v>
      </c>
      <c r="C31" s="33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29.582 GB</v>
      </c>
      <c r="D31" s="33" t="str">
        <f>TEXT(IF(ABS(I31)&gt;=1E12,I31/1E12,IF(ABS(I31)&gt;=1E9,I31/1E9,IF(ABS(I31)&gt;=1E6,I31/1E6,IF(ABS(I31)&gt;=1E3,I31/1E3,I31)))),"#,##0.000")&amp;IF((IF(ABS(I31)&gt;=1E12,"TB",IF(ABS(I31)&gt;=1E9,"GB",IF(ABS(I31)&gt;=1E6,"MB",IF(ABS(I31)&gt;=1E3,"KB","bytes")))))="",""," "&amp;(IF(ABS(I31)&gt;=1E12,"TB",IF(ABS(I31)&gt;=1E9,"GB",IF(ABS(I31)&gt;=1E6,"MB",IF(ABS(I31)&gt;=1E3,"KB","bytes"))))))</f>
        <v>166.349 GB</v>
      </c>
      <c r="E31" s="33" t="str">
        <f>TEXT(IF(ABS(J31)&gt;=1E12,J31/1E12,IF(ABS(J31)&gt;=1E9,J31/1E9,IF(ABS(J31)&gt;=1E6,J31/1E6,IF(ABS(J31)&gt;=1E3,J31/1E3,J31)))),"#,##0.000")&amp;IF((IF(ABS(J31)&gt;=1E12,"TB",IF(ABS(J31)&gt;=1E9,"GB",IF(ABS(J31)&gt;=1E6,"MB",IF(ABS(J31)&gt;=1E3,"KB","bytes")))))="",""," "&amp;(IF(ABS(J31)&gt;=1E12,"TB",IF(ABS(J31)&gt;=1E9,"GB",IF(ABS(J31)&gt;=1E6,"MB",IF(ABS(J31)&gt;=1E3,"KB","bytes"))))))</f>
        <v>29.582 GB</v>
      </c>
      <c r="F31" s="4" t="s">
        <v>479</v>
      </c>
      <c r="G31" s="32">
        <f>'Prefill_8K'!$AN$66+'Prefill_8K'!$AP$73</f>
        <v>166349315548.0</v>
      </c>
      <c r="H31" s="32">
        <f>'Prefill_8K'!$AO$66+'Prefill_8K'!$AQ$73</f>
        <v>29581867388.0</v>
      </c>
      <c r="I31" s="32">
        <f>'Prefill_8K'!$AN$66+'Decode_1M'!$AP$73</f>
        <v>166349315548.0</v>
      </c>
      <c r="J31" s="32">
        <f>'Prefill_8K'!$AO$66+'Decode_1M'!$AQ$73</f>
        <v>29581867388.0</v>
      </c>
    </row>
    <row r="32" spans="1:10">
      <c r="A32" s="33" t="s">
        <v>480</v>
      </c>
      <c r="B32" s="33" t="str">
        <f>TEXT(IF(ABS(G32)&gt;=1E15,G32/1E15,IF(ABS(G32)&gt;=1E12,G32/1E12,IF(ABS(G32)&gt;=1E9,G32/1E9,IF(ABS(G32)&gt;=1E6,G32/1E6,G32)))),"#,##0.000")&amp;IF((IF(ABS(G32)&gt;=1E15,"PFLOPs",IF(ABS(G32)&gt;=1E12,"TFLOPs",IF(ABS(G32)&gt;=1E9,"GFLOPs",IF(ABS(G32)&gt;=1E6,"MFLOPs","flops")))))="",""," "&amp;(IF(ABS(G32)&gt;=1E15,"PFLOPs",IF(ABS(G32)&gt;=1E12,"TFLOPs",IF(ABS(G32)&gt;=1E9,"GFLOPs",IF(ABS(G32)&gt;=1E6,"MFLOPs","flops"))))))</f>
        <v>228.384 TFLOPs</v>
      </c>
      <c r="C32" s="33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55.639 TFLOPs</v>
      </c>
      <c r="D32" s="33" t="str">
        <f>TEXT(IF(ABS(I32)&gt;=1E15,I32/1E15,IF(ABS(I32)&gt;=1E12,I32/1E12,IF(ABS(I32)&gt;=1E9,I32/1E9,IF(ABS(I32)&gt;=1E6,I32/1E6,I32)))),"#,##0.000")&amp;IF((IF(ABS(I32)&gt;=1E15,"PFLOPs",IF(ABS(I32)&gt;=1E12,"TFLOPs",IF(ABS(I32)&gt;=1E9,"GFLOPs",IF(ABS(I32)&gt;=1E6,"MFLOPs","flops")))))="",""," "&amp;(IF(ABS(I32)&gt;=1E15,"PFLOPs",IF(ABS(I32)&gt;=1E12,"TFLOPs",IF(ABS(I32)&gt;=1E9,"GFLOPs",IF(ABS(I32)&gt;=1E6,"MFLOPs","flops"))))))</f>
        <v>140.354 GFLOPs</v>
      </c>
      <c r="E32" s="33" t="str">
        <f>TEXT(IF(ABS(J32)&gt;=1E15,J32/1E15,IF(ABS(J32)&gt;=1E12,J32/1E12,IF(ABS(J32)&gt;=1E9,J32/1E9,IF(ABS(J32)&gt;=1E6,J32/1E6,J32)))),"#,##0.000")&amp;IF((IF(ABS(J32)&gt;=1E15,"PFLOPs",IF(ABS(J32)&gt;=1E12,"TFLOPs",IF(ABS(J32)&gt;=1E9,"GFLOPs",IF(ABS(J32)&gt;=1E6,"MFLOPs","flops")))))="",""," "&amp;(IF(ABS(J32)&gt;=1E15,"PFLOPs",IF(ABS(J32)&gt;=1E12,"TFLOPs",IF(ABS(J32)&gt;=1E9,"GFLOPs",IF(ABS(J32)&gt;=1E6,"MFLOPs","flops"))))))</f>
        <v>23.548 GFLOPs</v>
      </c>
      <c r="F32" s="4" t="s">
        <v>481</v>
      </c>
      <c r="G32" s="32">
        <f>'Prefill_8K'!$AE$16</f>
        <v>228384427393024.0</v>
      </c>
      <c r="H32" s="32">
        <f>'Prefill_8K'!$AF$16</f>
        <v>55639314186240.0</v>
      </c>
      <c r="I32" s="32">
        <f>'Decode_1M'!$AE$16</f>
        <v>140354134102.0</v>
      </c>
      <c r="J32" s="32">
        <f>'Decode_1M'!$AF$16</f>
        <v>23548076118.0</v>
      </c>
    </row>
    <row r="35" spans="19:21">
      <c r="S35" s="3" t="s">
        <v>2</v>
      </c>
      <c r="T35" s="3" t="s">
        <v>482</v>
      </c>
    </row>
    <row r="36" spans="19:21">
      <c r="S36" s="4" t="s">
        <v>439</v>
      </c>
      <c r="T36" s="32">
        <f>G32/1e+09</f>
        <v>228384.427393024</v>
      </c>
    </row>
    <row r="37" spans="19:21">
      <c r="S37" s="4" t="s">
        <v>483</v>
      </c>
      <c r="T37" s="32">
        <f>H32/1e+09</f>
        <v>55639.31418624</v>
      </c>
    </row>
    <row r="38" spans="19:21">
      <c r="S38" s="4" t="s">
        <v>441</v>
      </c>
      <c r="T38" s="32">
        <f>I32/1e+09</f>
        <v>140.354134102</v>
      </c>
    </row>
    <row r="39" spans="19:21">
      <c r="S39" s="4" t="s">
        <v>484</v>
      </c>
      <c r="T39" s="32">
        <f>J32/1e+09</f>
        <v>23.548076118</v>
      </c>
    </row>
    <row r="42" spans="19:21">
      <c r="S42" s="3" t="s">
        <v>2</v>
      </c>
      <c r="T42" s="3" t="s">
        <v>485</v>
      </c>
      <c r="U42" s="3" t="s">
        <v>486</v>
      </c>
    </row>
    <row r="43" spans="19:21">
      <c r="S43" s="4" t="s">
        <v>40</v>
      </c>
      <c r="T43" s="32">
        <f>G5/1e+12</f>
        <v>102.836037746688</v>
      </c>
      <c r="U43" s="32">
        <f>H5/1e+12</f>
        <v>23.172382457856</v>
      </c>
    </row>
    <row r="44" spans="19:21">
      <c r="S44" s="4" t="s">
        <v>59</v>
      </c>
      <c r="T44" s="32">
        <f>G6/1e+12</f>
        <v>124.846109360128</v>
      </c>
      <c r="U44" s="32">
        <f>H6/1e+12</f>
        <v>31.765578121216</v>
      </c>
    </row>
    <row r="45" spans="19:21">
      <c r="S45" s="4" t="s">
        <v>254</v>
      </c>
      <c r="T45" s="32">
        <f>G7/1e+12</f>
        <v>0.702280286208</v>
      </c>
      <c r="U45" s="32">
        <f>H7/1e+12</f>
        <v>0.701353607168</v>
      </c>
    </row>
    <row r="49" spans="19:21">
      <c r="S49" s="3" t="s">
        <v>2</v>
      </c>
      <c r="T49" s="3" t="s">
        <v>487</v>
      </c>
      <c r="U49" s="3" t="s">
        <v>488</v>
      </c>
    </row>
    <row r="50" spans="19:21">
      <c r="S50" s="4" t="s">
        <v>40</v>
      </c>
      <c r="T50" s="32">
        <f>I5/1e+09</f>
        <v>123.969470464</v>
      </c>
      <c r="U50" s="32">
        <f>J5/1e+09</f>
        <v>19.452461056</v>
      </c>
    </row>
    <row r="51" spans="19:21">
      <c r="S51" s="4" t="s">
        <v>59</v>
      </c>
      <c r="T51" s="32">
        <f>I6/1e+09</f>
        <v>15.240003584</v>
      </c>
      <c r="U51" s="32">
        <f>J6/1e+09</f>
        <v>3.877634048</v>
      </c>
    </row>
    <row r="52" spans="19:21">
      <c r="S52" s="4" t="s">
        <v>254</v>
      </c>
      <c r="T52" s="32">
        <f>I7/1e+09</f>
        <v>1.144660054</v>
      </c>
      <c r="U52" s="32">
        <f>J7/1e+09</f>
        <v>0.217981014</v>
      </c>
    </row>
    <row r="56" spans="19:21">
      <c r="S56" s="3" t="s">
        <v>2</v>
      </c>
      <c r="T56" s="3" t="s">
        <v>489</v>
      </c>
      <c r="U56" s="3" t="s">
        <v>490</v>
      </c>
    </row>
    <row r="57" spans="19:21">
      <c r="S57" s="4" t="s">
        <v>40</v>
      </c>
      <c r="T57" s="32">
        <f>G9/1e+09</f>
        <v>358.0378144</v>
      </c>
      <c r="U57" s="32">
        <f>H9/1e+09</f>
        <v>231.531806144</v>
      </c>
    </row>
    <row r="58" spans="19:21">
      <c r="S58" s="4" t="s">
        <v>59</v>
      </c>
      <c r="T58" s="32">
        <f>G10/1e+09</f>
        <v>191.988670976</v>
      </c>
      <c r="U58" s="32">
        <f>H10/1e+09</f>
        <v>32.915497472</v>
      </c>
    </row>
    <row r="59" spans="19:21">
      <c r="S59" s="4" t="s">
        <v>254</v>
      </c>
      <c r="T59" s="32">
        <f>G11/1e+09</f>
        <v>94.59572948</v>
      </c>
      <c r="U59" s="32">
        <f>H11/1e+09</f>
        <v>92.74191892</v>
      </c>
    </row>
    <row r="63" spans="19:21">
      <c r="S63" s="3" t="s">
        <v>2</v>
      </c>
      <c r="T63" s="3" t="s">
        <v>489</v>
      </c>
      <c r="U63" s="3" t="s">
        <v>490</v>
      </c>
    </row>
    <row r="64" spans="19:21">
      <c r="S64" s="4" t="s">
        <v>40</v>
      </c>
      <c r="T64" s="32">
        <f>I9/1e+09</f>
        <v>10.492228352</v>
      </c>
      <c r="U64" s="32">
        <f>J9/1e+09</f>
        <v>4.035232528</v>
      </c>
    </row>
    <row r="65" spans="19:21">
      <c r="S65" s="4" t="s">
        <v>59</v>
      </c>
      <c r="T65" s="32">
        <f>I10/1e+09</f>
        <v>4.627033672</v>
      </c>
      <c r="U65" s="32">
        <f>J10/1e+09</f>
        <v>1.605205576</v>
      </c>
    </row>
    <row r="66" spans="19:21">
      <c r="S66" s="4" t="s">
        <v>254</v>
      </c>
      <c r="T66" s="32">
        <f>I11/1e+09</f>
        <v>2.265204808</v>
      </c>
      <c r="U66" s="32">
        <f>J11/1e+09</f>
        <v>0.411394248</v>
      </c>
    </row>
    <row r="70" spans="19:21">
      <c r="S70" s="3" t="s">
        <v>2</v>
      </c>
      <c r="T70" s="3" t="s">
        <v>489</v>
      </c>
      <c r="U70" s="3" t="s">
        <v>490</v>
      </c>
    </row>
    <row r="71" spans="19:21">
      <c r="S71" s="4" t="s">
        <v>40</v>
      </c>
      <c r="T71" s="32">
        <f>G23/1e+09</f>
        <v>7.45138496</v>
      </c>
      <c r="U71" s="32">
        <f>H23/1e+09</f>
        <v>2.23750496</v>
      </c>
    </row>
    <row r="72" spans="19:21">
      <c r="S72" s="4" t="s">
        <v>59</v>
      </c>
      <c r="T72" s="32">
        <f>G24/1e+09</f>
        <v>148.351461888</v>
      </c>
      <c r="U72" s="32">
        <f>H24/1e+09</f>
        <v>19.57794048</v>
      </c>
    </row>
    <row r="73" spans="19:21">
      <c r="S73" s="4" t="s">
        <v>254</v>
      </c>
      <c r="T73" s="32">
        <f>G25/1e+09</f>
        <v>3.314423644</v>
      </c>
      <c r="U73" s="32">
        <f>H25/1e+09</f>
        <v>0.534376892</v>
      </c>
    </row>
    <row r="77" spans="19:21">
      <c r="S77" s="3" t="s">
        <v>2</v>
      </c>
      <c r="T77" s="3" t="s">
        <v>489</v>
      </c>
      <c r="U77" s="3" t="s">
        <v>490</v>
      </c>
    </row>
    <row r="78" spans="19:21">
      <c r="S78" s="4" t="s">
        <v>491</v>
      </c>
      <c r="T78" s="32">
        <f>G31/1e+09</f>
        <v>166.349315548</v>
      </c>
      <c r="U78" s="32">
        <f>H31/1e+09</f>
        <v>29.581867388</v>
      </c>
    </row>
    <row r="79" spans="19:21">
      <c r="S79" s="4" t="s">
        <v>492</v>
      </c>
      <c r="T79" s="32">
        <f>I31/1e+09</f>
        <v>166.349315548</v>
      </c>
      <c r="U79" s="32">
        <f>J31/1e+09</f>
        <v>29.581867388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493</v>
      </c>
    </row>
    <row r="2" spans="1:8">
      <c r="A2" s="2" t="s">
        <v>494</v>
      </c>
    </row>
    <row r="4" spans="1:8">
      <c r="A4" s="30" t="s">
        <v>495</v>
      </c>
      <c r="B4" s="30"/>
      <c r="C4" s="30"/>
      <c r="D4" s="30"/>
    </row>
    <row r="5" spans="1:8">
      <c r="A5" s="3" t="s">
        <v>438</v>
      </c>
      <c r="B5" s="3" t="s">
        <v>496</v>
      </c>
      <c r="C5" s="3" t="s">
        <v>497</v>
      </c>
      <c r="D5" s="3" t="s">
        <v>6</v>
      </c>
    </row>
    <row r="6" spans="1:8">
      <c r="A6" s="4" t="s">
        <v>443</v>
      </c>
      <c r="B6" s="31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1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498</v>
      </c>
      <c r="G6" s="32">
        <f>'Prefill_8K'!$AE$13</f>
        <v>102836037746688.0</v>
      </c>
      <c r="H6" s="32">
        <f>'Decode_1M'!$AE$13</f>
        <v>123969470464.0</v>
      </c>
    </row>
    <row r="7" spans="1:8">
      <c r="A7" s="4" t="s">
        <v>445</v>
      </c>
      <c r="B7" s="31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1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498</v>
      </c>
      <c r="G7" s="32">
        <f>'Prefill_8K'!$AE$14</f>
        <v>124846109360128.0</v>
      </c>
      <c r="H7" s="32">
        <f>'Decode_1M'!$AE$14</f>
        <v>15240003584.0</v>
      </c>
    </row>
    <row r="8" spans="1:8">
      <c r="A8" s="4" t="s">
        <v>446</v>
      </c>
      <c r="B8" s="31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702.280 GFLOPs</v>
      </c>
      <c r="C8" s="31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1.145 GFLOPs</v>
      </c>
      <c r="D8" s="4" t="s">
        <v>498</v>
      </c>
      <c r="G8" s="32">
        <f>'Prefill_8K'!$AE$15</f>
        <v>702280286208.0</v>
      </c>
      <c r="H8" s="32">
        <f>'Decode_1M'!$AE$15</f>
        <v>1144660054.0</v>
      </c>
    </row>
    <row r="9" spans="1:8">
      <c r="A9" s="33" t="s">
        <v>447</v>
      </c>
      <c r="B9" s="33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228.384 TFLOPs</v>
      </c>
      <c r="C9" s="33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140.354 GFLOPs</v>
      </c>
      <c r="D9" s="4" t="s">
        <v>498</v>
      </c>
      <c r="G9" s="32">
        <f>'Prefill_8K'!$AE$16</f>
        <v>228384427393024.0</v>
      </c>
      <c r="H9" s="32">
        <f>'Decode_1M'!$AE$16</f>
        <v>140354134102.0</v>
      </c>
    </row>
    <row r="10" spans="1:8">
      <c r="A10" s="4" t="s">
        <v>273</v>
      </c>
      <c r="B10" s="31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358.038 GB</v>
      </c>
      <c r="C10" s="31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10.492 GB</v>
      </c>
      <c r="D10" s="4" t="s">
        <v>499</v>
      </c>
      <c r="G10" s="32">
        <f>'Prefill_8K'!$AE$17</f>
        <v>358037814400.0</v>
      </c>
      <c r="H10" s="32">
        <f>'Decode_1M'!$AE$17</f>
        <v>10492228352.0</v>
      </c>
    </row>
    <row r="11" spans="1:8">
      <c r="A11" s="4" t="s">
        <v>274</v>
      </c>
      <c r="B11" s="31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191.989 GB</v>
      </c>
      <c r="C11" s="31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4.627 GB</v>
      </c>
      <c r="D11" s="4" t="s">
        <v>499</v>
      </c>
      <c r="G11" s="32">
        <f>'Prefill_8K'!$AE$18</f>
        <v>191988670976.0</v>
      </c>
      <c r="H11" s="32">
        <f>'Decode_1M'!$AE$18</f>
        <v>4627033672.0</v>
      </c>
    </row>
    <row r="12" spans="1:8">
      <c r="A12" s="4" t="s">
        <v>275</v>
      </c>
      <c r="B12" s="31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94.596 GB</v>
      </c>
      <c r="C12" s="31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2.265 GB</v>
      </c>
      <c r="D12" s="4" t="s">
        <v>499</v>
      </c>
      <c r="G12" s="32">
        <f>'Prefill_8K'!$AE$19</f>
        <v>94595729480.0</v>
      </c>
      <c r="H12" s="32">
        <f>'Decode_1M'!$AE$19</f>
        <v>2265204808.0</v>
      </c>
    </row>
    <row r="13" spans="1:8">
      <c r="A13" s="33" t="s">
        <v>276</v>
      </c>
      <c r="B13" s="33" t="str">
        <f>TEXT(IF(ABS(G13)&gt;=1E12,G13/1E12,IF(ABS(G13)&gt;=1E9,G13/1E9,IF(ABS(G13)&gt;=1E6,G13/1E6,IF(ABS(G13)&gt;=1E3,G13/1E3,G13)))),"#,##0.000")&amp;IF((IF(ABS(G13)&gt;=1E12,"TB",IF(ABS(G13)&gt;=1E9,"GB",IF(ABS(G13)&gt;=1E6,"MB",IF(ABS(G13)&gt;=1E3,"KB","bytes")))))="",""," "&amp;(IF(ABS(G13)&gt;=1E12,"TB",IF(ABS(G13)&gt;=1E9,"GB",IF(ABS(G13)&gt;=1E6,"MB",IF(ABS(G13)&gt;=1E3,"KB","bytes"))))))</f>
        <v>644.622 GB</v>
      </c>
      <c r="C13" s="33" t="str">
        <f>TEXT(IF(ABS(H13)&gt;=1E12,H13/1E12,IF(ABS(H13)&gt;=1E9,H13/1E9,IF(ABS(H13)&gt;=1E6,H13/1E6,IF(ABS(H13)&gt;=1E3,H13/1E3,H13)))),"#,##0.000")&amp;IF((IF(ABS(H13)&gt;=1E12,"TB",IF(ABS(H13)&gt;=1E9,"GB",IF(ABS(H13)&gt;=1E6,"MB",IF(ABS(H13)&gt;=1E3,"KB","bytes")))))="",""," "&amp;(IF(ABS(H13)&gt;=1E12,"TB",IF(ABS(H13)&gt;=1E9,"GB",IF(ABS(H13)&gt;=1E6,"MB",IF(ABS(H13)&gt;=1E3,"KB","bytes"))))))</f>
        <v>17.384 GB</v>
      </c>
      <c r="D13" s="4" t="s">
        <v>499</v>
      </c>
      <c r="G13" s="32">
        <f>'Prefill_8K'!$AE$20</f>
        <v>644622214856.0</v>
      </c>
      <c r="H13" s="32">
        <f>'Decode_1M'!$AE$20</f>
        <v>17384466832.0</v>
      </c>
    </row>
    <row r="14" spans="1:8">
      <c r="A14" s="4" t="s">
        <v>449</v>
      </c>
      <c r="B14" s="31" t="str">
        <f>TEXT(G14,"#,##0.000")&amp;" GB/s"</f>
        <v>358.038 GB/s</v>
      </c>
      <c r="C14" s="31" t="str">
        <f>TEXT(H14,"#,##0.000")&amp;" GB/s"</f>
        <v>1,049.223 GB/s</v>
      </c>
      <c r="D14" s="4" t="s">
        <v>500</v>
      </c>
      <c r="G14" s="32">
        <f>'Prefill_8K'!$AE$17/(PrefillTargetMs/1000)/1E9</f>
        <v>358.0378144</v>
      </c>
      <c r="H14" s="32">
        <f>'Decode_1M'!$AE$17/(DecodeTargetMs/1000)/1E9</f>
        <v>1049.2228352</v>
      </c>
    </row>
    <row r="15" spans="1:8">
      <c r="A15" s="4" t="s">
        <v>451</v>
      </c>
      <c r="B15" s="31" t="str">
        <f>TEXT(G15,"#,##0.000")&amp;" GB/s"</f>
        <v>191.989 GB/s</v>
      </c>
      <c r="C15" s="31" t="str">
        <f>TEXT(H15,"#,##0.000")&amp;" GB/s"</f>
        <v>462.703 GB/s</v>
      </c>
      <c r="D15" s="4" t="s">
        <v>500</v>
      </c>
      <c r="G15" s="32">
        <f>'Prefill_8K'!$AE$18/(PrefillTargetMs/1000)/1E9</f>
        <v>191.988670976</v>
      </c>
      <c r="H15" s="32">
        <f>'Decode_1M'!$AE$18/(DecodeTargetMs/1000)/1E9</f>
        <v>462.7033672</v>
      </c>
    </row>
    <row r="16" spans="1:8">
      <c r="A16" s="4" t="s">
        <v>452</v>
      </c>
      <c r="B16" s="31" t="str">
        <f>TEXT(G16,"#,##0.000")&amp;" GB/s"</f>
        <v>94.596 GB/s</v>
      </c>
      <c r="C16" s="31" t="str">
        <f>TEXT(H16,"#,##0.000")&amp;" GB/s"</f>
        <v>226.520 GB/s</v>
      </c>
      <c r="D16" s="4" t="s">
        <v>500</v>
      </c>
      <c r="G16" s="32">
        <f>'Prefill_8K'!$AE$19/(PrefillTargetMs/1000)/1E9</f>
        <v>94.59572948</v>
      </c>
      <c r="H16" s="32">
        <f>'Decode_1M'!$AE$19/(DecodeTargetMs/1000)/1E9</f>
        <v>226.5204808</v>
      </c>
    </row>
    <row r="17" spans="1:8">
      <c r="A17" s="4" t="s">
        <v>480</v>
      </c>
      <c r="B17" s="31" t="str">
        <f>TEXT(IF(ABS(G17)&gt;=1E15,G17/1E15,IF(ABS(G17)&gt;=1E12,G17/1E12,IF(ABS(G17)&gt;=1E9,G17/1E9,IF(ABS(G17)&gt;=1E6,G17/1E6,G17)))),"#,##0.000")&amp;IF((IF(ABS(G17)&gt;=1E15,"PFLOPs",IF(ABS(G17)&gt;=1E12,"TFLOPs",IF(ABS(G17)&gt;=1E9,"GFLOPs",IF(ABS(G17)&gt;=1E6,"MFLOPs","flops")))))="",""," "&amp;(IF(ABS(G17)&gt;=1E15,"PFLOPs",IF(ABS(G17)&gt;=1E12,"TFLOPs",IF(ABS(G17)&gt;=1E9,"GFLOPs",IF(ABS(G17)&gt;=1E6,"MFLOPs","flops"))))))</f>
        <v>228.384 TFLOPs</v>
      </c>
      <c r="C17" s="31" t="str">
        <f>TEXT(IF(ABS(H17)&gt;=1E15,H17/1E15,IF(ABS(H17)&gt;=1E12,H17/1E12,IF(ABS(H17)&gt;=1E9,H17/1E9,IF(ABS(H17)&gt;=1E6,H17/1E6,H17)))),"#,##0.000")&amp;IF((IF(ABS(H17)&gt;=1E15,"PFLOPs",IF(ABS(H17)&gt;=1E12,"TFLOPs",IF(ABS(H17)&gt;=1E9,"GFLOPs",IF(ABS(H17)&gt;=1E6,"MFLOPs","flops")))))="",""," "&amp;(IF(ABS(H17)&gt;=1E15,"PFLOPs",IF(ABS(H17)&gt;=1E12,"TFLOPs",IF(ABS(H17)&gt;=1E9,"GFLOPs",IF(ABS(H17)&gt;=1E6,"MFLOPs","flops"))))))</f>
        <v>140.354 GFLOPs</v>
      </c>
      <c r="D17" s="4" t="s">
        <v>501</v>
      </c>
      <c r="G17" s="32">
        <f>'Prefill_8K'!$AE$16</f>
        <v>228384427393024.0</v>
      </c>
      <c r="H17" s="32">
        <f>'Decode_1M'!$AE$16</f>
        <v>140354134102.0</v>
      </c>
    </row>
    <row r="18" spans="1:8">
      <c r="A18" s="4" t="s">
        <v>277</v>
      </c>
      <c r="B18" s="31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0.000 B</v>
      </c>
      <c r="C18" s="31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0.000 B</v>
      </c>
      <c r="D18" s="4" t="s">
        <v>502</v>
      </c>
      <c r="G18" s="32">
        <f>'Prefill_8K'!$AE$21</f>
        <v>0.0</v>
      </c>
      <c r="H18" s="32">
        <f>'Decode_1M'!$AE$21</f>
        <v>0.0</v>
      </c>
    </row>
    <row r="19" spans="1:8">
      <c r="A19" s="4" t="s">
        <v>456</v>
      </c>
      <c r="B19" s="31" t="str">
        <f>TEXT(G19,"#,##0.000")&amp;" GB/s"</f>
        <v>0.000 GB/s</v>
      </c>
      <c r="C19" s="31" t="str">
        <f>TEXT(H19,"#,##0.000")&amp;" GB/s"</f>
        <v>0.000 GB/s</v>
      </c>
      <c r="D19" s="4" t="s">
        <v>457</v>
      </c>
      <c r="G19" s="32">
        <f>'Prefill_8K'!$AE$21/(PrefillTargetMs/1000)/1E9</f>
        <v>0.0</v>
      </c>
      <c r="H19" s="32">
        <f>'Decode_1M'!$AE$21/(DecodeTargetMs/1000)/1E9</f>
        <v>0.0</v>
      </c>
    </row>
    <row r="20" spans="1:8">
      <c r="A20" s="4" t="s">
        <v>458</v>
      </c>
      <c r="B20" s="31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5.086 G</v>
      </c>
      <c r="C20" s="31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5.086 G</v>
      </c>
      <c r="D20" s="4" t="s">
        <v>503</v>
      </c>
      <c r="G20" s="32">
        <f>'Prefill_8K'!$AL$63</f>
        <v>5086249088.0</v>
      </c>
      <c r="H20" s="32">
        <f>'Prefill_8K'!$AL$63</f>
        <v>5086249088.0</v>
      </c>
    </row>
    <row r="21" spans="1:8">
      <c r="A21" s="4" t="s">
        <v>460</v>
      </c>
      <c r="B21" s="31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278.155 G</v>
      </c>
      <c r="C21" s="31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278.155 G</v>
      </c>
      <c r="D21" s="4" t="s">
        <v>461</v>
      </c>
      <c r="G21" s="32">
        <f>'Prefill_8K'!$AL$64</f>
        <v>278154947072.0</v>
      </c>
      <c r="H21" s="32">
        <f>'Prefill_8K'!$AL$64</f>
        <v>278154947072.0</v>
      </c>
    </row>
    <row r="22" spans="1:8">
      <c r="A22" s="4" t="s">
        <v>462</v>
      </c>
      <c r="B22" s="31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1.093 G</v>
      </c>
      <c r="C22" s="31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1.093 G</v>
      </c>
      <c r="D22" s="4" t="s">
        <v>504</v>
      </c>
      <c r="G22" s="32">
        <f>'Prefill_8K'!$AL$65</f>
        <v>1093371351.0</v>
      </c>
      <c r="H22" s="32">
        <f>'Prefill_8K'!$AL$65</f>
        <v>1093371351.0</v>
      </c>
    </row>
    <row r="23" spans="1:8">
      <c r="A23" s="33" t="s">
        <v>464</v>
      </c>
      <c r="B23" s="33" t="str">
        <f>TEXT(IF(ABS(G23)&gt;=1E12,G23/1E12,IF(ABS(G23)&gt;=1E9,G23/1E9,IF(ABS(G23)&gt;=1E6,G23/1E6,IF(ABS(G23)&gt;=1E3,G23/1E3,G23)))),"#,##0.000")&amp;IF((IF(ABS(G23)&gt;=1E12,"T",IF(ABS(G23)&gt;=1E9,"G",IF(ABS(G23)&gt;=1E6,"M",IF(ABS(G23)&gt;=1E3,"K","")))))="",""," "&amp;(IF(ABS(G23)&gt;=1E12,"T",IF(ABS(G23)&gt;=1E9,"G",IF(ABS(G23)&gt;=1E6,"M",IF(ABS(G23)&gt;=1E3,"K",""))))))</f>
        <v>284.335 G</v>
      </c>
      <c r="C23" s="33" t="str">
        <f>TEXT(IF(ABS(H23)&gt;=1E12,H23/1E12,IF(ABS(H23)&gt;=1E9,H23/1E9,IF(ABS(H23)&gt;=1E6,H23/1E6,IF(ABS(H23)&gt;=1E3,H23/1E3,H23)))),"#,##0.000")&amp;IF((IF(ABS(H23)&gt;=1E12,"T",IF(ABS(H23)&gt;=1E9,"G",IF(ABS(H23)&gt;=1E6,"M",IF(ABS(H23)&gt;=1E3,"K","")))))="",""," "&amp;(IF(ABS(H23)&gt;=1E12,"T",IF(ABS(H23)&gt;=1E9,"G",IF(ABS(H23)&gt;=1E6,"M",IF(ABS(H23)&gt;=1E3,"K",""))))))</f>
        <v>284.335 G</v>
      </c>
      <c r="D23" s="4" t="s">
        <v>505</v>
      </c>
      <c r="G23" s="32">
        <f>'Prefill_8K'!$AL$66</f>
        <v>284334567511.0</v>
      </c>
      <c r="H23" s="32">
        <f>'Prefill_8K'!$AL$66</f>
        <v>284334567511.0</v>
      </c>
    </row>
    <row r="24" spans="1:8">
      <c r="A24" s="4" t="s">
        <v>466</v>
      </c>
      <c r="B24" s="31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7.451 GB</v>
      </c>
      <c r="C24" s="31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7.451 GB</v>
      </c>
      <c r="D24" s="4" t="s">
        <v>506</v>
      </c>
      <c r="G24" s="32">
        <f>'Prefill_8K'!$AN$63</f>
        <v>7451384960</v>
      </c>
      <c r="H24" s="32">
        <f>'Prefill_8K'!$AN$63</f>
        <v>7451384960</v>
      </c>
    </row>
    <row r="25" spans="1:8">
      <c r="A25" s="4" t="s">
        <v>468</v>
      </c>
      <c r="B25" s="31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148.351 GB</v>
      </c>
      <c r="C25" s="31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148.351 GB</v>
      </c>
      <c r="D25" s="4" t="s">
        <v>507</v>
      </c>
      <c r="G25" s="32">
        <f>'Prefill_8K'!$AN$64</f>
        <v>148351461888.0</v>
      </c>
      <c r="H25" s="32">
        <f>'Prefill_8K'!$AN$64</f>
        <v>148351461888.0</v>
      </c>
    </row>
    <row r="26" spans="1:8">
      <c r="A26" s="4" t="s">
        <v>470</v>
      </c>
      <c r="B26" s="31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3.314 GB</v>
      </c>
      <c r="C26" s="31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3.314 GB</v>
      </c>
      <c r="D26" s="4" t="s">
        <v>504</v>
      </c>
      <c r="G26" s="32">
        <f>'Prefill_8K'!$AN$65</f>
        <v>3314423644.0</v>
      </c>
      <c r="H26" s="32">
        <f>'Prefill_8K'!$AN$65</f>
        <v>3314423644.0</v>
      </c>
    </row>
    <row r="27" spans="1:8">
      <c r="A27" s="33" t="s">
        <v>471</v>
      </c>
      <c r="B27" s="33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159.117 GB</v>
      </c>
      <c r="C27" s="33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159.117 GB</v>
      </c>
      <c r="D27" s="4" t="s">
        <v>508</v>
      </c>
      <c r="G27" s="32">
        <f>'Prefill_8K'!$AN$66</f>
        <v>159117270492.0</v>
      </c>
      <c r="H27" s="32">
        <f>'Prefill_8K'!$AN$66</f>
        <v>159117270492.0</v>
      </c>
    </row>
    <row r="28" spans="1:8">
      <c r="A28" s="4" t="s">
        <v>473</v>
      </c>
      <c r="B28" s="31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50.987 MB</v>
      </c>
      <c r="C28" s="31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5.811 GB</v>
      </c>
      <c r="D28" s="4" t="s">
        <v>509</v>
      </c>
      <c r="G28" s="32">
        <f>'Prefill_8K'!$AP$70</f>
        <v>50987008</v>
      </c>
      <c r="H28" s="32">
        <f>'Decode_1M'!$AP$70</f>
        <v>5810552832</v>
      </c>
    </row>
    <row r="29" spans="1:8">
      <c r="A29" s="4" t="s">
        <v>475</v>
      </c>
      <c r="B29" s="31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11.010 MB</v>
      </c>
      <c r="C29" s="31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1.409 GB</v>
      </c>
      <c r="D29" s="4" t="s">
        <v>509</v>
      </c>
      <c r="G29" s="32">
        <f>'Prefill_8K'!$AP$71</f>
        <v>11010048</v>
      </c>
      <c r="H29" s="32">
        <f>'Decode_1M'!$AP$71</f>
        <v>1409286144</v>
      </c>
    </row>
    <row r="30" spans="1:8">
      <c r="A30" s="4" t="s">
        <v>476</v>
      </c>
      <c r="B30" s="31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12.206 MB</v>
      </c>
      <c r="C30" s="31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12.206 MB</v>
      </c>
      <c r="D30" s="4" t="s">
        <v>509</v>
      </c>
      <c r="G30" s="32">
        <f>'Prefill_8K'!$AP$72</f>
        <v>12206080</v>
      </c>
      <c r="H30" s="32">
        <f>'Decode_1M'!$AP$72</f>
        <v>12206080</v>
      </c>
    </row>
    <row r="31" spans="1:8">
      <c r="A31" s="4" t="s">
        <v>477</v>
      </c>
      <c r="B31" s="31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7.232 GB</v>
      </c>
      <c r="C31" s="31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7.232 GB</v>
      </c>
      <c r="D31" s="4" t="s">
        <v>509</v>
      </c>
      <c r="G31" s="32">
        <f>'Prefill_8K'!$AP$73</f>
        <v>7232045056</v>
      </c>
      <c r="H31" s="32">
        <f>'Decode_1M'!$AP$73</f>
        <v>7232045056</v>
      </c>
    </row>
    <row r="32" spans="1:8">
      <c r="A32" s="33" t="s">
        <v>478</v>
      </c>
      <c r="B32" s="33" t="str">
        <f>TEXT(IF(ABS(G32)&gt;=1E12,G32/1E12,IF(ABS(G32)&gt;=1E9,G32/1E9,IF(ABS(G32)&gt;=1E6,G32/1E6,IF(ABS(G32)&gt;=1E3,G32/1E3,G32)))),"#,##0.000")&amp;IF((IF(ABS(G32)&gt;=1E12,"TB",IF(ABS(G32)&gt;=1E9,"GB",IF(ABS(G32)&gt;=1E6,"MB",IF(ABS(G32)&gt;=1E3,"KB","bytes")))))="",""," "&amp;(IF(ABS(G32)&gt;=1E12,"TB",IF(ABS(G32)&gt;=1E9,"GB",IF(ABS(G32)&gt;=1E6,"MB",IF(ABS(G32)&gt;=1E3,"KB","bytes"))))))</f>
        <v>166.349 GB</v>
      </c>
      <c r="C32" s="33" t="str">
        <f>TEXT(IF(ABS(H32)&gt;=1E12,H32/1E12,IF(ABS(H32)&gt;=1E9,H32/1E9,IF(ABS(H32)&gt;=1E6,H32/1E6,IF(ABS(H32)&gt;=1E3,H32/1E3,H32)))),"#,##0.000")&amp;IF((IF(ABS(H32)&gt;=1E12,"TB",IF(ABS(H32)&gt;=1E9,"GB",IF(ABS(H32)&gt;=1E6,"MB",IF(ABS(H32)&gt;=1E3,"KB","bytes")))))="",""," "&amp;(IF(ABS(H32)&gt;=1E12,"TB",IF(ABS(H32)&gt;=1E9,"GB",IF(ABS(H32)&gt;=1E6,"MB",IF(ABS(H32)&gt;=1E3,"KB","bytes"))))))</f>
        <v>166.349 GB</v>
      </c>
      <c r="D32" s="4" t="s">
        <v>510</v>
      </c>
      <c r="G32" s="32">
        <f>'Prefill_8K'!$AN$66+'Prefill_8K'!$AP$73</f>
        <v>166349315548.0</v>
      </c>
      <c r="H32" s="32">
        <f>'Prefill_8K'!$AN$66+'Decode_1M'!$AP$73</f>
        <v>166349315548.0</v>
      </c>
    </row>
    <row r="34" spans="1:8">
      <c r="A34" s="30" t="s">
        <v>511</v>
      </c>
      <c r="B34" s="30"/>
      <c r="C34" s="30"/>
      <c r="D34" s="30"/>
    </row>
    <row r="35" spans="1:8">
      <c r="A35" s="3" t="s">
        <v>438</v>
      </c>
      <c r="B35" s="3" t="s">
        <v>496</v>
      </c>
      <c r="C35" s="3" t="s">
        <v>497</v>
      </c>
      <c r="D35" s="3" t="s">
        <v>6</v>
      </c>
    </row>
    <row r="36" spans="1:8">
      <c r="A36" s="4" t="s">
        <v>443</v>
      </c>
      <c r="B36" s="31" t="str">
        <f>TEXT(IF(ABS(G36)&gt;=1E15,G36/1E15,IF(ABS(G36)&gt;=1E12,G36/1E12,IF(ABS(G36)&gt;=1E9,G36/1E9,IF(ABS(G36)&gt;=1E6,G36/1E6,G36)))),"#,##0.000")&amp;IF((IF(ABS(G36)&gt;=1E15,"PFLOPs",IF(ABS(G36)&gt;=1E12,"TFLOPs",IF(ABS(G36)&gt;=1E9,"GFLOPs",IF(ABS(G36)&gt;=1E6,"MFLOPs","flops")))))="",""," "&amp;(IF(ABS(G36)&gt;=1E15,"PFLOPs",IF(ABS(G36)&gt;=1E12,"TFLOPs",IF(ABS(G36)&gt;=1E9,"GFLOPs",IF(ABS(G36)&gt;=1E6,"MFLOPs","flops"))))))</f>
        <v>23.172 TFLOPs</v>
      </c>
      <c r="C36" s="31" t="str">
        <f>TEXT(IF(ABS(H36)&gt;=1E15,H36/1E15,IF(ABS(H36)&gt;=1E12,H36/1E12,IF(ABS(H36)&gt;=1E9,H36/1E9,IF(ABS(H36)&gt;=1E6,H36/1E6,H36)))),"#,##0.000")&amp;IF((IF(ABS(H36)&gt;=1E15,"PFLOPs",IF(ABS(H36)&gt;=1E12,"TFLOPs",IF(ABS(H36)&gt;=1E9,"GFLOPs",IF(ABS(H36)&gt;=1E6,"MFLOPs","flops")))))="",""," "&amp;(IF(ABS(H36)&gt;=1E15,"PFLOPs",IF(ABS(H36)&gt;=1E12,"TFLOPs",IF(ABS(H36)&gt;=1E9,"GFLOPs",IF(ABS(H36)&gt;=1E6,"MFLOPs","flops"))))))</f>
        <v>19.452 GFLOPs</v>
      </c>
      <c r="D36" s="4" t="s">
        <v>498</v>
      </c>
      <c r="G36" s="32">
        <f>'Prefill_8K'!$AF$13</f>
        <v>23172382457856.0</v>
      </c>
      <c r="H36" s="32">
        <f>'Decode_1M'!$AF$13</f>
        <v>19452461056.0</v>
      </c>
    </row>
    <row r="37" spans="1:8">
      <c r="A37" s="4" t="s">
        <v>445</v>
      </c>
      <c r="B37" s="31" t="str">
        <f>TEXT(IF(ABS(G37)&gt;=1E15,G37/1E15,IF(ABS(G37)&gt;=1E12,G37/1E12,IF(ABS(G37)&gt;=1E9,G37/1E9,IF(ABS(G37)&gt;=1E6,G37/1E6,G37)))),"#,##0.000")&amp;IF((IF(ABS(G37)&gt;=1E15,"PFLOPs",IF(ABS(G37)&gt;=1E12,"TFLOPs",IF(ABS(G37)&gt;=1E9,"GFLOPs",IF(ABS(G37)&gt;=1E6,"MFLOPs","flops")))))="",""," "&amp;(IF(ABS(G37)&gt;=1E15,"PFLOPs",IF(ABS(G37)&gt;=1E12,"TFLOPs",IF(ABS(G37)&gt;=1E9,"GFLOPs",IF(ABS(G37)&gt;=1E6,"MFLOPs","flops"))))))</f>
        <v>31.766 TFLOPs</v>
      </c>
      <c r="C37" s="31" t="str">
        <f>TEXT(IF(ABS(H37)&gt;=1E15,H37/1E15,IF(ABS(H37)&gt;=1E12,H37/1E12,IF(ABS(H37)&gt;=1E9,H37/1E9,IF(ABS(H37)&gt;=1E6,H37/1E6,H37)))),"#,##0.000")&amp;IF((IF(ABS(H37)&gt;=1E15,"PFLOPs",IF(ABS(H37)&gt;=1E12,"TFLOPs",IF(ABS(H37)&gt;=1E9,"GFLOPs",IF(ABS(H37)&gt;=1E6,"MFLOPs","flops")))))="",""," "&amp;(IF(ABS(H37)&gt;=1E15,"PFLOPs",IF(ABS(H37)&gt;=1E12,"TFLOPs",IF(ABS(H37)&gt;=1E9,"GFLOPs",IF(ABS(H37)&gt;=1E6,"MFLOPs","flops"))))))</f>
        <v>3.878 GFLOPs</v>
      </c>
      <c r="D37" s="4" t="s">
        <v>498</v>
      </c>
      <c r="G37" s="32">
        <f>'Prefill_8K'!$AF$14</f>
        <v>31765578121216.0</v>
      </c>
      <c r="H37" s="32">
        <f>'Decode_1M'!$AF$14</f>
        <v>3877634048.0</v>
      </c>
    </row>
    <row r="38" spans="1:8">
      <c r="A38" s="4" t="s">
        <v>446</v>
      </c>
      <c r="B38" s="31" t="str">
        <f>TEXT(IF(ABS(G38)&gt;=1E15,G38/1E15,IF(ABS(G38)&gt;=1E12,G38/1E12,IF(ABS(G38)&gt;=1E9,G38/1E9,IF(ABS(G38)&gt;=1E6,G38/1E6,G38)))),"#,##0.000")&amp;IF((IF(ABS(G38)&gt;=1E15,"PFLOPs",IF(ABS(G38)&gt;=1E12,"TFLOPs",IF(ABS(G38)&gt;=1E9,"GFLOPs",IF(ABS(G38)&gt;=1E6,"MFLOPs","flops")))))="",""," "&amp;(IF(ABS(G38)&gt;=1E15,"PFLOPs",IF(ABS(G38)&gt;=1E12,"TFLOPs",IF(ABS(G38)&gt;=1E9,"GFLOPs",IF(ABS(G38)&gt;=1E6,"MFLOPs","flops"))))))</f>
        <v>701.354 GFLOPs</v>
      </c>
      <c r="C38" s="31" t="str">
        <f>TEXT(IF(ABS(H38)&gt;=1E15,H38/1E15,IF(ABS(H38)&gt;=1E12,H38/1E12,IF(ABS(H38)&gt;=1E9,H38/1E9,IF(ABS(H38)&gt;=1E6,H38/1E6,H38)))),"#,##0.000")&amp;IF((IF(ABS(H38)&gt;=1E15,"PFLOPs",IF(ABS(H38)&gt;=1E12,"TFLOPs",IF(ABS(H38)&gt;=1E9,"GFLOPs",IF(ABS(H38)&gt;=1E6,"MFLOPs","flops")))))="",""," "&amp;(IF(ABS(H38)&gt;=1E15,"PFLOPs",IF(ABS(H38)&gt;=1E12,"TFLOPs",IF(ABS(H38)&gt;=1E9,"GFLOPs",IF(ABS(H38)&gt;=1E6,"MFLOPs","flops"))))))</f>
        <v>217.981 MFLOPs</v>
      </c>
      <c r="D38" s="4" t="s">
        <v>498</v>
      </c>
      <c r="G38" s="32">
        <f>'Prefill_8K'!$AF$15</f>
        <v>701353607168.0</v>
      </c>
      <c r="H38" s="32">
        <f>'Decode_1M'!$AF$15</f>
        <v>217981014.0</v>
      </c>
    </row>
    <row r="39" spans="1:8">
      <c r="A39" s="33" t="s">
        <v>447</v>
      </c>
      <c r="B39" s="33" t="str">
        <f>TEXT(IF(ABS(G39)&gt;=1E15,G39/1E15,IF(ABS(G39)&gt;=1E12,G39/1E12,IF(ABS(G39)&gt;=1E9,G39/1E9,IF(ABS(G39)&gt;=1E6,G39/1E6,G39)))),"#,##0.000")&amp;IF((IF(ABS(G39)&gt;=1E15,"PFLOPs",IF(ABS(G39)&gt;=1E12,"TFLOPs",IF(ABS(G39)&gt;=1E9,"GFLOPs",IF(ABS(G39)&gt;=1E6,"MFLOPs","flops")))))="",""," "&amp;(IF(ABS(G39)&gt;=1E15,"PFLOPs",IF(ABS(G39)&gt;=1E12,"TFLOPs",IF(ABS(G39)&gt;=1E9,"GFLOPs",IF(ABS(G39)&gt;=1E6,"MFLOPs","flops"))))))</f>
        <v>55.639 TFLOPs</v>
      </c>
      <c r="C39" s="33" t="str">
        <f>TEXT(IF(ABS(H39)&gt;=1E15,H39/1E15,IF(ABS(H39)&gt;=1E12,H39/1E12,IF(ABS(H39)&gt;=1E9,H39/1E9,IF(ABS(H39)&gt;=1E6,H39/1E6,H39)))),"#,##0.000")&amp;IF((IF(ABS(H39)&gt;=1E15,"PFLOPs",IF(ABS(H39)&gt;=1E12,"TFLOPs",IF(ABS(H39)&gt;=1E9,"GFLOPs",IF(ABS(H39)&gt;=1E6,"MFLOPs","flops")))))="",""," "&amp;(IF(ABS(H39)&gt;=1E15,"PFLOPs",IF(ABS(H39)&gt;=1E12,"TFLOPs",IF(ABS(H39)&gt;=1E9,"GFLOPs",IF(ABS(H39)&gt;=1E6,"MFLOPs","flops"))))))</f>
        <v>23.548 GFLOPs</v>
      </c>
      <c r="D39" s="4" t="s">
        <v>498</v>
      </c>
      <c r="G39" s="32">
        <f>'Prefill_8K'!$AF$16</f>
        <v>55639314186240.0</v>
      </c>
      <c r="H39" s="32">
        <f>'Decode_1M'!$AF$16</f>
        <v>23548076118.0</v>
      </c>
    </row>
    <row r="40" spans="1:8">
      <c r="A40" s="4" t="s">
        <v>273</v>
      </c>
      <c r="B40" s="31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231.532 GB</v>
      </c>
      <c r="C40" s="31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4.035 GB</v>
      </c>
      <c r="D40" s="4" t="s">
        <v>499</v>
      </c>
      <c r="G40" s="32">
        <f>'Prefill_8K'!$AF$17</f>
        <v>231531806144.0</v>
      </c>
      <c r="H40" s="32">
        <f>'Decode_1M'!$AF$17</f>
        <v>4035232528.0</v>
      </c>
    </row>
    <row r="41" spans="1:8">
      <c r="A41" s="4" t="s">
        <v>274</v>
      </c>
      <c r="B41" s="31" t="str">
        <f>TEXT(IF(ABS(G41)&gt;=1E12,G41/1E12,IF(ABS(G41)&gt;=1E9,G41/1E9,IF(ABS(G41)&gt;=1E6,G41/1E6,IF(ABS(G41)&gt;=1E3,G41/1E3,G41)))),"#,##0.000")&amp;IF((IF(ABS(G41)&gt;=1E12,"TB",IF(ABS(G41)&gt;=1E9,"GB",IF(ABS(G41)&gt;=1E6,"MB",IF(ABS(G41)&gt;=1E3,"KB","bytes")))))="",""," "&amp;(IF(ABS(G41)&gt;=1E12,"TB",IF(ABS(G41)&gt;=1E9,"GB",IF(ABS(G41)&gt;=1E6,"MB",IF(ABS(G41)&gt;=1E3,"KB","bytes"))))))</f>
        <v>32.915 GB</v>
      </c>
      <c r="C41" s="31" t="str">
        <f>TEXT(IF(ABS(H41)&gt;=1E12,H41/1E12,IF(ABS(H41)&gt;=1E9,H41/1E9,IF(ABS(H41)&gt;=1E6,H41/1E6,IF(ABS(H41)&gt;=1E3,H41/1E3,H41)))),"#,##0.000")&amp;IF((IF(ABS(H41)&gt;=1E12,"TB",IF(ABS(H41)&gt;=1E9,"GB",IF(ABS(H41)&gt;=1E6,"MB",IF(ABS(H41)&gt;=1E3,"KB","bytes")))))="",""," "&amp;(IF(ABS(H41)&gt;=1E12,"TB",IF(ABS(H41)&gt;=1E9,"GB",IF(ABS(H41)&gt;=1E6,"MB",IF(ABS(H41)&gt;=1E3,"KB","bytes"))))))</f>
        <v>1.605 GB</v>
      </c>
      <c r="D41" s="4" t="s">
        <v>499</v>
      </c>
      <c r="G41" s="32">
        <f>'Prefill_8K'!$AF$18</f>
        <v>32915497472.0</v>
      </c>
      <c r="H41" s="32">
        <f>'Decode_1M'!$AF$18</f>
        <v>1605205576.0</v>
      </c>
    </row>
    <row r="42" spans="1:8">
      <c r="A42" s="4" t="s">
        <v>275</v>
      </c>
      <c r="B42" s="31" t="str">
        <f>TEXT(IF(ABS(G42)&gt;=1E12,G42/1E12,IF(ABS(G42)&gt;=1E9,G42/1E9,IF(ABS(G42)&gt;=1E6,G42/1E6,IF(ABS(G42)&gt;=1E3,G42/1E3,G42)))),"#,##0.000")&amp;IF((IF(ABS(G42)&gt;=1E12,"TB",IF(ABS(G42)&gt;=1E9,"GB",IF(ABS(G42)&gt;=1E6,"MB",IF(ABS(G42)&gt;=1E3,"KB","bytes")))))="",""," "&amp;(IF(ABS(G42)&gt;=1E12,"TB",IF(ABS(G42)&gt;=1E9,"GB",IF(ABS(G42)&gt;=1E6,"MB",IF(ABS(G42)&gt;=1E3,"KB","bytes"))))))</f>
        <v>92.742 GB</v>
      </c>
      <c r="C42" s="31" t="str">
        <f>TEXT(IF(ABS(H42)&gt;=1E12,H42/1E12,IF(ABS(H42)&gt;=1E9,H42/1E9,IF(ABS(H42)&gt;=1E6,H42/1E6,IF(ABS(H42)&gt;=1E3,H42/1E3,H42)))),"#,##0.000")&amp;IF((IF(ABS(H42)&gt;=1E12,"TB",IF(ABS(H42)&gt;=1E9,"GB",IF(ABS(H42)&gt;=1E6,"MB",IF(ABS(H42)&gt;=1E3,"KB","bytes")))))="",""," "&amp;(IF(ABS(H42)&gt;=1E12,"TB",IF(ABS(H42)&gt;=1E9,"GB",IF(ABS(H42)&gt;=1E6,"MB",IF(ABS(H42)&gt;=1E3,"KB","bytes"))))))</f>
        <v>411.394 MB</v>
      </c>
      <c r="D42" s="4" t="s">
        <v>499</v>
      </c>
      <c r="G42" s="32">
        <f>'Prefill_8K'!$AF$19</f>
        <v>92741918920.0</v>
      </c>
      <c r="H42" s="32">
        <f>'Decode_1M'!$AF$19</f>
        <v>411394248.0</v>
      </c>
    </row>
    <row r="43" spans="1:8">
      <c r="A43" s="33" t="s">
        <v>276</v>
      </c>
      <c r="B43" s="33" t="str">
        <f>TEXT(IF(ABS(G43)&gt;=1E12,G43/1E12,IF(ABS(G43)&gt;=1E9,G43/1E9,IF(ABS(G43)&gt;=1E6,G43/1E6,IF(ABS(G43)&gt;=1E3,G43/1E3,G43)))),"#,##0.000")&amp;IF((IF(ABS(G43)&gt;=1E12,"TB",IF(ABS(G43)&gt;=1E9,"GB",IF(ABS(G43)&gt;=1E6,"MB",IF(ABS(G43)&gt;=1E3,"KB","bytes")))))="",""," "&amp;(IF(ABS(G43)&gt;=1E12,"TB",IF(ABS(G43)&gt;=1E9,"GB",IF(ABS(G43)&gt;=1E6,"MB",IF(ABS(G43)&gt;=1E3,"KB","bytes"))))))</f>
        <v>357.189 GB</v>
      </c>
      <c r="C43" s="33" t="str">
        <f>TEXT(IF(ABS(H43)&gt;=1E12,H43/1E12,IF(ABS(H43)&gt;=1E9,H43/1E9,IF(ABS(H43)&gt;=1E6,H43/1E6,IF(ABS(H43)&gt;=1E3,H43/1E3,H43)))),"#,##0.000")&amp;IF((IF(ABS(H43)&gt;=1E12,"TB",IF(ABS(H43)&gt;=1E9,"GB",IF(ABS(H43)&gt;=1E6,"MB",IF(ABS(H43)&gt;=1E3,"KB","bytes")))))="",""," "&amp;(IF(ABS(H43)&gt;=1E12,"TB",IF(ABS(H43)&gt;=1E9,"GB",IF(ABS(H43)&gt;=1E6,"MB",IF(ABS(H43)&gt;=1E3,"KB","bytes"))))))</f>
        <v>6.052 GB</v>
      </c>
      <c r="D43" s="4" t="s">
        <v>499</v>
      </c>
      <c r="G43" s="32">
        <f>'Prefill_8K'!$AF$20</f>
        <v>357189222536.0</v>
      </c>
      <c r="H43" s="32">
        <f>'Decode_1M'!$AF$20</f>
        <v>6051832352.0</v>
      </c>
    </row>
    <row r="44" spans="1:8">
      <c r="A44" s="4" t="s">
        <v>449</v>
      </c>
      <c r="B44" s="31" t="str">
        <f>TEXT(G44,"#,##0.000")&amp;" GB/s"</f>
        <v>231.532 GB/s</v>
      </c>
      <c r="C44" s="31" t="str">
        <f>TEXT(H44,"#,##0.000")&amp;" GB/s"</f>
        <v>403.523 GB/s</v>
      </c>
      <c r="D44" s="4" t="s">
        <v>500</v>
      </c>
      <c r="G44" s="32">
        <f>'Prefill_8K'!$AF$17/(PrefillTargetMs/1000)/1E9</f>
        <v>231.531806144</v>
      </c>
      <c r="H44" s="32">
        <f>'Decode_1M'!$AF$17/(DecodeTargetMs/1000)/1E9</f>
        <v>403.5232528</v>
      </c>
    </row>
    <row r="45" spans="1:8">
      <c r="A45" s="4" t="s">
        <v>451</v>
      </c>
      <c r="B45" s="31" t="str">
        <f>TEXT(G45,"#,##0.000")&amp;" GB/s"</f>
        <v>32.915 GB/s</v>
      </c>
      <c r="C45" s="31" t="str">
        <f>TEXT(H45,"#,##0.000")&amp;" GB/s"</f>
        <v>160.521 GB/s</v>
      </c>
      <c r="D45" s="4" t="s">
        <v>500</v>
      </c>
      <c r="G45" s="32">
        <f>'Prefill_8K'!$AF$18/(PrefillTargetMs/1000)/1E9</f>
        <v>32.915497472</v>
      </c>
      <c r="H45" s="32">
        <f>'Decode_1M'!$AF$18/(DecodeTargetMs/1000)/1E9</f>
        <v>160.5205576</v>
      </c>
    </row>
    <row r="46" spans="1:8">
      <c r="A46" s="4" t="s">
        <v>452</v>
      </c>
      <c r="B46" s="31" t="str">
        <f>TEXT(G46,"#,##0.000")&amp;" GB/s"</f>
        <v>92.742 GB/s</v>
      </c>
      <c r="C46" s="31" t="str">
        <f>TEXT(H46,"#,##0.000")&amp;" GB/s"</f>
        <v>41.139 GB/s</v>
      </c>
      <c r="D46" s="4" t="s">
        <v>500</v>
      </c>
      <c r="G46" s="32">
        <f>'Prefill_8K'!$AF$19/(PrefillTargetMs/1000)/1E9</f>
        <v>92.74191892</v>
      </c>
      <c r="H46" s="32">
        <f>'Decode_1M'!$AF$19/(DecodeTargetMs/1000)/1E9</f>
        <v>41.1394248</v>
      </c>
    </row>
    <row r="47" spans="1:8">
      <c r="A47" s="4" t="s">
        <v>480</v>
      </c>
      <c r="B47" s="31" t="str">
        <f>TEXT(IF(ABS(G47)&gt;=1E15,G47/1E15,IF(ABS(G47)&gt;=1E12,G47/1E12,IF(ABS(G47)&gt;=1E9,G47/1E9,IF(ABS(G47)&gt;=1E6,G47/1E6,G47)))),"#,##0.000")&amp;IF((IF(ABS(G47)&gt;=1E15,"PFLOPs",IF(ABS(G47)&gt;=1E12,"TFLOPs",IF(ABS(G47)&gt;=1E9,"GFLOPs",IF(ABS(G47)&gt;=1E6,"MFLOPs","flops")))))="",""," "&amp;(IF(ABS(G47)&gt;=1E15,"PFLOPs",IF(ABS(G47)&gt;=1E12,"TFLOPs",IF(ABS(G47)&gt;=1E9,"GFLOPs",IF(ABS(G47)&gt;=1E6,"MFLOPs","flops"))))))</f>
        <v>55.639 TFLOPs</v>
      </c>
      <c r="C47" s="31" t="str">
        <f>TEXT(IF(ABS(H47)&gt;=1E15,H47/1E15,IF(ABS(H47)&gt;=1E12,H47/1E12,IF(ABS(H47)&gt;=1E9,H47/1E9,IF(ABS(H47)&gt;=1E6,H47/1E6,H47)))),"#,##0.000")&amp;IF((IF(ABS(H47)&gt;=1E15,"PFLOPs",IF(ABS(H47)&gt;=1E12,"TFLOPs",IF(ABS(H47)&gt;=1E9,"GFLOPs",IF(ABS(H47)&gt;=1E6,"MFLOPs","flops")))))="",""," "&amp;(IF(ABS(H47)&gt;=1E15,"PFLOPs",IF(ABS(H47)&gt;=1E12,"TFLOPs",IF(ABS(H47)&gt;=1E9,"GFLOPs",IF(ABS(H47)&gt;=1E6,"MFLOPs","flops"))))))</f>
        <v>23.548 GFLOPs</v>
      </c>
      <c r="D47" s="4" t="s">
        <v>501</v>
      </c>
      <c r="G47" s="32">
        <f>'Prefill_8K'!$AF$16</f>
        <v>55639314186240.0</v>
      </c>
      <c r="H47" s="32">
        <f>'Decode_1M'!$AF$16</f>
        <v>23548076118.0</v>
      </c>
    </row>
    <row r="48" spans="1:8">
      <c r="A48" s="4" t="s">
        <v>277</v>
      </c>
      <c r="B48" s="31" t="str">
        <f>TEXT(IF(ABS(G48)&gt;=1E12,G48/1E12,IF(ABS(G48)&gt;=1E9,G48/1E9,IF(ABS(G48)&gt;=1E6,G48/1E6,IF(ABS(G48)&gt;=1E3,G48/1E3,G48)))),"#,##0.000")&amp;IF((IF(ABS(G48)&gt;=1E12,"TB",IF(ABS(G48)&gt;=1E9,"GB",IF(ABS(G48)&gt;=1E6,"MB",IF(ABS(G48)&gt;=1E3,"KB","bytes")))))="",""," "&amp;(IF(ABS(G48)&gt;=1E12,"TB",IF(ABS(G48)&gt;=1E9,"GB",IF(ABS(G48)&gt;=1E6,"MB",IF(ABS(G48)&gt;=1E3,"KB","bytes"))))))</f>
        <v>40.635 GB</v>
      </c>
      <c r="C48" s="31" t="str">
        <f>TEXT(IF(ABS(H48)&gt;=1E12,H48/1E12,IF(ABS(H48)&gt;=1E9,H48/1E9,IF(ABS(H48)&gt;=1E6,H48/1E6,IF(ABS(H48)&gt;=1E3,H48/1E3,H48)))),"#,##0.000")&amp;IF((IF(ABS(H48)&gt;=1E12,"TB",IF(ABS(H48)&gt;=1E9,"GB",IF(ABS(H48)&gt;=1E6,"MB",IF(ABS(H48)&gt;=1E3,"KB","bytes")))))="",""," "&amp;(IF(ABS(H48)&gt;=1E12,"TB",IF(ABS(H48)&gt;=1E9,"GB",IF(ABS(H48)&gt;=1E6,"MB",IF(ABS(H48)&gt;=1E3,"KB","bytes"))))))</f>
        <v>5.865 MB</v>
      </c>
      <c r="D48" s="4" t="s">
        <v>502</v>
      </c>
      <c r="G48" s="32">
        <f>'Prefill_8K'!$AF$21</f>
        <v>40635322112.0</v>
      </c>
      <c r="H48" s="32">
        <f>'Decode_1M'!$AF$21</f>
        <v>5865216.0</v>
      </c>
    </row>
    <row r="49" spans="1:8">
      <c r="A49" s="4" t="s">
        <v>456</v>
      </c>
      <c r="B49" s="31" t="str">
        <f>TEXT(G49,"#,##0.000")&amp;" GB/s"</f>
        <v>40.635 GB/s</v>
      </c>
      <c r="C49" s="31" t="str">
        <f>TEXT(H49,"#,##0.000")&amp;" GB/s"</f>
        <v>0.587 GB/s</v>
      </c>
      <c r="D49" s="4" t="s">
        <v>457</v>
      </c>
      <c r="G49" s="32">
        <f>'Prefill_8K'!$AF$21/(PrefillTargetMs/1000)/1E9</f>
        <v>40.635322112</v>
      </c>
      <c r="H49" s="32">
        <f>'Decode_1M'!$AF$21/(DecodeTargetMs/1000)/1E9</f>
        <v>0.5865216</v>
      </c>
    </row>
    <row r="50" spans="1:8">
      <c r="A50" s="4" t="s">
        <v>458</v>
      </c>
      <c r="B50" s="31" t="str">
        <f>TEXT(IF(ABS(G50)&gt;=1E12,G50/1E12,IF(ABS(G50)&gt;=1E9,G50/1E9,IF(ABS(G50)&gt;=1E6,G50/1E6,IF(ABS(G50)&gt;=1E3,G50/1E3,G50)))),"#,##0.000")&amp;IF((IF(ABS(G50)&gt;=1E12,"T",IF(ABS(G50)&gt;=1E9,"G",IF(ABS(G50)&gt;=1E6,"M",IF(ABS(G50)&gt;=1E3,"K","")))))="",""," "&amp;(IF(ABS(G50)&gt;=1E12,"T",IF(ABS(G50)&gt;=1E9,"G",IF(ABS(G50)&gt;=1E6,"M",IF(ABS(G50)&gt;=1E3,"K",""))))))</f>
        <v>1.140 G</v>
      </c>
      <c r="C50" s="31" t="str">
        <f>TEXT(IF(ABS(H50)&gt;=1E12,H50/1E12,IF(ABS(H50)&gt;=1E9,H50/1E9,IF(ABS(H50)&gt;=1E6,H50/1E6,IF(ABS(H50)&gt;=1E3,H50/1E3,H50)))),"#,##0.000")&amp;IF((IF(ABS(H50)&gt;=1E12,"T",IF(ABS(H50)&gt;=1E9,"G",IF(ABS(H50)&gt;=1E6,"M",IF(ABS(H50)&gt;=1E3,"K","")))))="",""," "&amp;(IF(ABS(H50)&gt;=1E12,"T",IF(ABS(H50)&gt;=1E9,"G",IF(ABS(H50)&gt;=1E6,"M",IF(ABS(H50)&gt;=1E3,"K",""))))))</f>
        <v>1.140 G</v>
      </c>
      <c r="D50" s="4" t="s">
        <v>503</v>
      </c>
      <c r="G50" s="32">
        <f>'Prefill_8K'!$AM$63</f>
        <v>1139835008.0</v>
      </c>
      <c r="H50" s="32">
        <f>'Prefill_8K'!$AM$63</f>
        <v>1139835008.0</v>
      </c>
    </row>
    <row r="51" spans="1:8">
      <c r="A51" s="4" t="s">
        <v>460</v>
      </c>
      <c r="B51" s="31" t="str">
        <f>TEXT(IF(ABS(G51)&gt;=1E12,G51/1E12,IF(ABS(G51)&gt;=1E9,G51/1E9,IF(ABS(G51)&gt;=1E6,G51/1E6,IF(ABS(G51)&gt;=1E3,G51/1E3,G51)))),"#,##0.000")&amp;IF((IF(ABS(G51)&gt;=1E12,"T",IF(ABS(G51)&gt;=1E9,"G",IF(ABS(G51)&gt;=1E6,"M",IF(ABS(G51)&gt;=1E3,"K","")))))="",""," "&amp;(IF(ABS(G51)&gt;=1E12,"T",IF(ABS(G51)&gt;=1E9,"G",IF(ABS(G51)&gt;=1E6,"M",IF(ABS(G51)&gt;=1E3,"K",""))))))</f>
        <v>35.758 G</v>
      </c>
      <c r="C51" s="31" t="str">
        <f>TEXT(IF(ABS(H51)&gt;=1E12,H51/1E12,IF(ABS(H51)&gt;=1E9,H51/1E9,IF(ABS(H51)&gt;=1E6,H51/1E6,IF(ABS(H51)&gt;=1E3,H51/1E3,H51)))),"#,##0.000")&amp;IF((IF(ABS(H51)&gt;=1E12,"T",IF(ABS(H51)&gt;=1E9,"G",IF(ABS(H51)&gt;=1E6,"M",IF(ABS(H51)&gt;=1E3,"K","")))))="",""," "&amp;(IF(ABS(H51)&gt;=1E12,"T",IF(ABS(H51)&gt;=1E9,"G",IF(ABS(H51)&gt;=1E6,"M",IF(ABS(H51)&gt;=1E3,"K",""))))))</f>
        <v>35.758 G</v>
      </c>
      <c r="D51" s="4" t="s">
        <v>461</v>
      </c>
      <c r="G51" s="32">
        <f>'Prefill_8K'!$AM$64</f>
        <v>35757730304.0</v>
      </c>
      <c r="H51" s="32">
        <f>'Prefill_8K'!$AM$64</f>
        <v>35757730304.0</v>
      </c>
    </row>
    <row r="52" spans="1:8">
      <c r="A52" s="4" t="s">
        <v>462</v>
      </c>
      <c r="B52" s="31" t="str">
        <f>TEXT(IF(ABS(G52)&gt;=1E12,G52/1E12,IF(ABS(G52)&gt;=1E9,G52/1E9,IF(ABS(G52)&gt;=1E6,G52/1E6,IF(ABS(G52)&gt;=1E3,G52/1E3,G52)))),"#,##0.000")&amp;IF((IF(ABS(G52)&gt;=1E12,"T",IF(ABS(G52)&gt;=1E9,"G",IF(ABS(G52)&gt;=1E6,"M",IF(ABS(G52)&gt;=1E3,"K","")))))="",""," "&amp;(IF(ABS(G52)&gt;=1E12,"T",IF(ABS(G52)&gt;=1E9,"G",IF(ABS(G52)&gt;=1E6,"M",IF(ABS(G52)&gt;=1E3,"K",""))))))</f>
        <v>166.690 M</v>
      </c>
      <c r="C52" s="31" t="str">
        <f>TEXT(IF(ABS(H52)&gt;=1E12,H52/1E12,IF(ABS(H52)&gt;=1E9,H52/1E9,IF(ABS(H52)&gt;=1E6,H52/1E6,IF(ABS(H52)&gt;=1E3,H52/1E3,H52)))),"#,##0.000")&amp;IF((IF(ABS(H52)&gt;=1E12,"T",IF(ABS(H52)&gt;=1E9,"G",IF(ABS(H52)&gt;=1E6,"M",IF(ABS(H52)&gt;=1E3,"K","")))))="",""," "&amp;(IF(ABS(H52)&gt;=1E12,"T",IF(ABS(H52)&gt;=1E9,"G",IF(ABS(H52)&gt;=1E6,"M",IF(ABS(H52)&gt;=1E3,"K",""))))))</f>
        <v>166.690 M</v>
      </c>
      <c r="D52" s="4" t="s">
        <v>504</v>
      </c>
      <c r="G52" s="32">
        <f>'Prefill_8K'!$AM$65</f>
        <v>166689903.0</v>
      </c>
      <c r="H52" s="32">
        <f>'Prefill_8K'!$AM$65</f>
        <v>166689903.0</v>
      </c>
    </row>
    <row r="53" spans="1:8">
      <c r="A53" s="33" t="s">
        <v>464</v>
      </c>
      <c r="B53" s="33" t="str">
        <f>TEXT(IF(ABS(G53)&gt;=1E12,G53/1E12,IF(ABS(G53)&gt;=1E9,G53/1E9,IF(ABS(G53)&gt;=1E6,G53/1E6,IF(ABS(G53)&gt;=1E3,G53/1E3,G53)))),"#,##0.000")&amp;IF((IF(ABS(G53)&gt;=1E12,"T",IF(ABS(G53)&gt;=1E9,"G",IF(ABS(G53)&gt;=1E6,"M",IF(ABS(G53)&gt;=1E3,"K","")))))="",""," "&amp;(IF(ABS(G53)&gt;=1E12,"T",IF(ABS(G53)&gt;=1E9,"G",IF(ABS(G53)&gt;=1E6,"M",IF(ABS(G53)&gt;=1E3,"K",""))))))</f>
        <v>37.064 G</v>
      </c>
      <c r="C53" s="33" t="str">
        <f>TEXT(IF(ABS(H53)&gt;=1E12,H53/1E12,IF(ABS(H53)&gt;=1E9,H53/1E9,IF(ABS(H53)&gt;=1E6,H53/1E6,IF(ABS(H53)&gt;=1E3,H53/1E3,H53)))),"#,##0.000")&amp;IF((IF(ABS(H53)&gt;=1E12,"T",IF(ABS(H53)&gt;=1E9,"G",IF(ABS(H53)&gt;=1E6,"M",IF(ABS(H53)&gt;=1E3,"K","")))))="",""," "&amp;(IF(ABS(H53)&gt;=1E12,"T",IF(ABS(H53)&gt;=1E9,"G",IF(ABS(H53)&gt;=1E6,"M",IF(ABS(H53)&gt;=1E3,"K",""))))))</f>
        <v>37.064 G</v>
      </c>
      <c r="D53" s="4" t="s">
        <v>505</v>
      </c>
      <c r="G53" s="32">
        <f>'Prefill_8K'!$AM$66</f>
        <v>37064255215.0</v>
      </c>
      <c r="H53" s="32">
        <f>'Prefill_8K'!$AM$66</f>
        <v>37064255215.0</v>
      </c>
    </row>
    <row r="54" spans="1:8">
      <c r="A54" s="4" t="s">
        <v>466</v>
      </c>
      <c r="B54" s="31" t="str">
        <f>TEXT(IF(ABS(G54)&gt;=1E12,G54/1E12,IF(ABS(G54)&gt;=1E9,G54/1E9,IF(ABS(G54)&gt;=1E6,G54/1E6,IF(ABS(G54)&gt;=1E3,G54/1E3,G54)))),"#,##0.000")&amp;IF((IF(ABS(G54)&gt;=1E12,"TB",IF(ABS(G54)&gt;=1E9,"GB",IF(ABS(G54)&gt;=1E6,"MB",IF(ABS(G54)&gt;=1E3,"KB","bytes")))))="",""," "&amp;(IF(ABS(G54)&gt;=1E12,"TB",IF(ABS(G54)&gt;=1E9,"GB",IF(ABS(G54)&gt;=1E6,"MB",IF(ABS(G54)&gt;=1E3,"KB","bytes"))))))</f>
        <v>2.238 GB</v>
      </c>
      <c r="C54" s="31" t="str">
        <f>TEXT(IF(ABS(H54)&gt;=1E12,H54/1E12,IF(ABS(H54)&gt;=1E9,H54/1E9,IF(ABS(H54)&gt;=1E6,H54/1E6,IF(ABS(H54)&gt;=1E3,H54/1E3,H54)))),"#,##0.000")&amp;IF((IF(ABS(H54)&gt;=1E12,"TB",IF(ABS(H54)&gt;=1E9,"GB",IF(ABS(H54)&gt;=1E6,"MB",IF(ABS(H54)&gt;=1E3,"KB","bytes")))))="",""," "&amp;(IF(ABS(H54)&gt;=1E12,"TB",IF(ABS(H54)&gt;=1E9,"GB",IF(ABS(H54)&gt;=1E6,"MB",IF(ABS(H54)&gt;=1E3,"KB","bytes"))))))</f>
        <v>2.238 GB</v>
      </c>
      <c r="D54" s="4" t="s">
        <v>506</v>
      </c>
      <c r="G54" s="32">
        <f>'Prefill_8K'!$AO$63</f>
        <v>2237504960</v>
      </c>
      <c r="H54" s="32">
        <f>'Prefill_8K'!$AO$63</f>
        <v>2237504960</v>
      </c>
    </row>
    <row r="55" spans="1:8">
      <c r="A55" s="4" t="s">
        <v>468</v>
      </c>
      <c r="B55" s="31" t="str">
        <f>TEXT(IF(ABS(G55)&gt;=1E12,G55/1E12,IF(ABS(G55)&gt;=1E9,G55/1E9,IF(ABS(G55)&gt;=1E6,G55/1E6,IF(ABS(G55)&gt;=1E3,G55/1E3,G55)))),"#,##0.000")&amp;IF((IF(ABS(G55)&gt;=1E12,"TB",IF(ABS(G55)&gt;=1E9,"GB",IF(ABS(G55)&gt;=1E6,"MB",IF(ABS(G55)&gt;=1E3,"KB","bytes")))))="",""," "&amp;(IF(ABS(G55)&gt;=1E12,"TB",IF(ABS(G55)&gt;=1E9,"GB",IF(ABS(G55)&gt;=1E6,"MB",IF(ABS(G55)&gt;=1E3,"KB","bytes"))))))</f>
        <v>19.578 GB</v>
      </c>
      <c r="C55" s="31" t="str">
        <f>TEXT(IF(ABS(H55)&gt;=1E12,H55/1E12,IF(ABS(H55)&gt;=1E9,H55/1E9,IF(ABS(H55)&gt;=1E6,H55/1E6,IF(ABS(H55)&gt;=1E3,H55/1E3,H55)))),"#,##0.000")&amp;IF((IF(ABS(H55)&gt;=1E12,"TB",IF(ABS(H55)&gt;=1E9,"GB",IF(ABS(H55)&gt;=1E6,"MB",IF(ABS(H55)&gt;=1E3,"KB","bytes")))))="",""," "&amp;(IF(ABS(H55)&gt;=1E12,"TB",IF(ABS(H55)&gt;=1E9,"GB",IF(ABS(H55)&gt;=1E6,"MB",IF(ABS(H55)&gt;=1E3,"KB","bytes"))))))</f>
        <v>19.578 GB</v>
      </c>
      <c r="D55" s="4" t="s">
        <v>507</v>
      </c>
      <c r="G55" s="32">
        <f>'Prefill_8K'!$AO$64</f>
        <v>19577940480.0</v>
      </c>
      <c r="H55" s="32">
        <f>'Prefill_8K'!$AO$64</f>
        <v>19577940480.0</v>
      </c>
    </row>
    <row r="56" spans="1:8">
      <c r="A56" s="4" t="s">
        <v>470</v>
      </c>
      <c r="B56" s="31" t="str">
        <f>TEXT(IF(ABS(G56)&gt;=1E12,G56/1E12,IF(ABS(G56)&gt;=1E9,G56/1E9,IF(ABS(G56)&gt;=1E6,G56/1E6,IF(ABS(G56)&gt;=1E3,G56/1E3,G56)))),"#,##0.000")&amp;IF((IF(ABS(G56)&gt;=1E12,"TB",IF(ABS(G56)&gt;=1E9,"GB",IF(ABS(G56)&gt;=1E6,"MB",IF(ABS(G56)&gt;=1E3,"KB","bytes")))))="",""," "&amp;(IF(ABS(G56)&gt;=1E12,"TB",IF(ABS(G56)&gt;=1E9,"GB",IF(ABS(G56)&gt;=1E6,"MB",IF(ABS(G56)&gt;=1E3,"KB","bytes"))))))</f>
        <v>534.377 MB</v>
      </c>
      <c r="C56" s="31" t="str">
        <f>TEXT(IF(ABS(H56)&gt;=1E12,H56/1E12,IF(ABS(H56)&gt;=1E9,H56/1E9,IF(ABS(H56)&gt;=1E6,H56/1E6,IF(ABS(H56)&gt;=1E3,H56/1E3,H56)))),"#,##0.000")&amp;IF((IF(ABS(H56)&gt;=1E12,"TB",IF(ABS(H56)&gt;=1E9,"GB",IF(ABS(H56)&gt;=1E6,"MB",IF(ABS(H56)&gt;=1E3,"KB","bytes")))))="",""," "&amp;(IF(ABS(H56)&gt;=1E12,"TB",IF(ABS(H56)&gt;=1E9,"GB",IF(ABS(H56)&gt;=1E6,"MB",IF(ABS(H56)&gt;=1E3,"KB","bytes"))))))</f>
        <v>534.377 MB</v>
      </c>
      <c r="D56" s="4" t="s">
        <v>504</v>
      </c>
      <c r="G56" s="32">
        <f>'Prefill_8K'!$AO$65</f>
        <v>534376892.0</v>
      </c>
      <c r="H56" s="32">
        <f>'Prefill_8K'!$AO$65</f>
        <v>534376892.0</v>
      </c>
    </row>
    <row r="57" spans="1:8">
      <c r="A57" s="33" t="s">
        <v>471</v>
      </c>
      <c r="B57" s="33" t="str">
        <f>TEXT(IF(ABS(G57)&gt;=1E12,G57/1E12,IF(ABS(G57)&gt;=1E9,G57/1E9,IF(ABS(G57)&gt;=1E6,G57/1E6,IF(ABS(G57)&gt;=1E3,G57/1E3,G57)))),"#,##0.000")&amp;IF((IF(ABS(G57)&gt;=1E12,"TB",IF(ABS(G57)&gt;=1E9,"GB",IF(ABS(G57)&gt;=1E6,"MB",IF(ABS(G57)&gt;=1E3,"KB","bytes")))))="",""," "&amp;(IF(ABS(G57)&gt;=1E12,"TB",IF(ABS(G57)&gt;=1E9,"GB",IF(ABS(G57)&gt;=1E6,"MB",IF(ABS(G57)&gt;=1E3,"KB","bytes"))))))</f>
        <v>22.350 GB</v>
      </c>
      <c r="C57" s="33" t="str">
        <f>TEXT(IF(ABS(H57)&gt;=1E12,H57/1E12,IF(ABS(H57)&gt;=1E9,H57/1E9,IF(ABS(H57)&gt;=1E6,H57/1E6,IF(ABS(H57)&gt;=1E3,H57/1E3,H57)))),"#,##0.000")&amp;IF((IF(ABS(H57)&gt;=1E12,"TB",IF(ABS(H57)&gt;=1E9,"GB",IF(ABS(H57)&gt;=1E6,"MB",IF(ABS(H57)&gt;=1E3,"KB","bytes")))))="",""," "&amp;(IF(ABS(H57)&gt;=1E12,"TB",IF(ABS(H57)&gt;=1E9,"GB",IF(ABS(H57)&gt;=1E6,"MB",IF(ABS(H57)&gt;=1E3,"KB","bytes"))))))</f>
        <v>22.350 GB</v>
      </c>
      <c r="D57" s="4" t="s">
        <v>508</v>
      </c>
      <c r="G57" s="32">
        <f>'Prefill_8K'!$AO$66</f>
        <v>22349822332.0</v>
      </c>
      <c r="H57" s="32">
        <f>'Prefill_8K'!$AO$66</f>
        <v>22349822332.0</v>
      </c>
    </row>
    <row r="58" spans="1:8">
      <c r="A58" s="4" t="s">
        <v>473</v>
      </c>
      <c r="B58" s="31" t="str">
        <f>TEXT(IF(ABS(G58)&gt;=1E12,G58/1E12,IF(ABS(G58)&gt;=1E9,G58/1E9,IF(ABS(G58)&gt;=1E6,G58/1E6,IF(ABS(G58)&gt;=1E3,G58/1E3,G58)))),"#,##0.000")&amp;IF((IF(ABS(G58)&gt;=1E12,"TB",IF(ABS(G58)&gt;=1E9,"GB",IF(ABS(G58)&gt;=1E6,"MB",IF(ABS(G58)&gt;=1E3,"KB","bytes")))))="",""," "&amp;(IF(ABS(G58)&gt;=1E12,"TB",IF(ABS(G58)&gt;=1E9,"GB",IF(ABS(G58)&gt;=1E6,"MB",IF(ABS(G58)&gt;=1E3,"KB","bytes"))))))</f>
        <v>50.987 MB</v>
      </c>
      <c r="C58" s="31" t="str">
        <f>TEXT(IF(ABS(H58)&gt;=1E12,H58/1E12,IF(ABS(H58)&gt;=1E9,H58/1E9,IF(ABS(H58)&gt;=1E6,H58/1E6,IF(ABS(H58)&gt;=1E3,H58/1E3,H58)))),"#,##0.000")&amp;IF((IF(ABS(H58)&gt;=1E12,"TB",IF(ABS(H58)&gt;=1E9,"GB",IF(ABS(H58)&gt;=1E6,"MB",IF(ABS(H58)&gt;=1E3,"KB","bytes")))))="",""," "&amp;(IF(ABS(H58)&gt;=1E12,"TB",IF(ABS(H58)&gt;=1E9,"GB",IF(ABS(H58)&gt;=1E6,"MB",IF(ABS(H58)&gt;=1E3,"KB","bytes"))))))</f>
        <v>5.811 GB</v>
      </c>
      <c r="D58" s="4" t="s">
        <v>509</v>
      </c>
      <c r="G58" s="32">
        <f>'Prefill_8K'!$AQ$70</f>
        <v>50987008</v>
      </c>
      <c r="H58" s="32">
        <f>'Decode_1M'!$AQ$70</f>
        <v>5810552832</v>
      </c>
    </row>
    <row r="59" spans="1:8">
      <c r="A59" s="4" t="s">
        <v>475</v>
      </c>
      <c r="B59" s="31" t="str">
        <f>TEXT(IF(ABS(G59)&gt;=1E12,G59/1E12,IF(ABS(G59)&gt;=1E9,G59/1E9,IF(ABS(G59)&gt;=1E6,G59/1E6,IF(ABS(G59)&gt;=1E3,G59/1E3,G59)))),"#,##0.000")&amp;IF((IF(ABS(G59)&gt;=1E12,"TB",IF(ABS(G59)&gt;=1E9,"GB",IF(ABS(G59)&gt;=1E6,"MB",IF(ABS(G59)&gt;=1E3,"KB","bytes")))))="",""," "&amp;(IF(ABS(G59)&gt;=1E12,"TB",IF(ABS(G59)&gt;=1E9,"GB",IF(ABS(G59)&gt;=1E6,"MB",IF(ABS(G59)&gt;=1E3,"KB","bytes"))))))</f>
        <v>11.010 MB</v>
      </c>
      <c r="C59" s="31" t="str">
        <f>TEXT(IF(ABS(H59)&gt;=1E12,H59/1E12,IF(ABS(H59)&gt;=1E9,H59/1E9,IF(ABS(H59)&gt;=1E6,H59/1E6,IF(ABS(H59)&gt;=1E3,H59/1E3,H59)))),"#,##0.000")&amp;IF((IF(ABS(H59)&gt;=1E12,"TB",IF(ABS(H59)&gt;=1E9,"GB",IF(ABS(H59)&gt;=1E6,"MB",IF(ABS(H59)&gt;=1E3,"KB","bytes")))))="",""," "&amp;(IF(ABS(H59)&gt;=1E12,"TB",IF(ABS(H59)&gt;=1E9,"GB",IF(ABS(H59)&gt;=1E6,"MB",IF(ABS(H59)&gt;=1E3,"KB","bytes"))))))</f>
        <v>1.409 GB</v>
      </c>
      <c r="D59" s="4" t="s">
        <v>509</v>
      </c>
      <c r="G59" s="32">
        <f>'Prefill_8K'!$AQ$71</f>
        <v>11010048</v>
      </c>
      <c r="H59" s="32">
        <f>'Decode_1M'!$AQ$71</f>
        <v>1409286144</v>
      </c>
    </row>
    <row r="60" spans="1:8">
      <c r="A60" s="4" t="s">
        <v>476</v>
      </c>
      <c r="B60" s="31" t="str">
        <f>TEXT(IF(ABS(G60)&gt;=1E12,G60/1E12,IF(ABS(G60)&gt;=1E9,G60/1E9,IF(ABS(G60)&gt;=1E6,G60/1E6,IF(ABS(G60)&gt;=1E3,G60/1E3,G60)))),"#,##0.000")&amp;IF((IF(ABS(G60)&gt;=1E12,"TB",IF(ABS(G60)&gt;=1E9,"GB",IF(ABS(G60)&gt;=1E6,"MB",IF(ABS(G60)&gt;=1E3,"KB","bytes")))))="",""," "&amp;(IF(ABS(G60)&gt;=1E12,"TB",IF(ABS(G60)&gt;=1E9,"GB",IF(ABS(G60)&gt;=1E6,"MB",IF(ABS(G60)&gt;=1E3,"KB","bytes"))))))</f>
        <v>12.206 MB</v>
      </c>
      <c r="C60" s="31" t="str">
        <f>TEXT(IF(ABS(H60)&gt;=1E12,H60/1E12,IF(ABS(H60)&gt;=1E9,H60/1E9,IF(ABS(H60)&gt;=1E6,H60/1E6,IF(ABS(H60)&gt;=1E3,H60/1E3,H60)))),"#,##0.000")&amp;IF((IF(ABS(H60)&gt;=1E12,"TB",IF(ABS(H60)&gt;=1E9,"GB",IF(ABS(H60)&gt;=1E6,"MB",IF(ABS(H60)&gt;=1E3,"KB","bytes")))))="",""," "&amp;(IF(ABS(H60)&gt;=1E12,"TB",IF(ABS(H60)&gt;=1E9,"GB",IF(ABS(H60)&gt;=1E6,"MB",IF(ABS(H60)&gt;=1E3,"KB","bytes"))))))</f>
        <v>12.206 MB</v>
      </c>
      <c r="D60" s="4" t="s">
        <v>509</v>
      </c>
      <c r="G60" s="32">
        <f>'Prefill_8K'!$AQ$72</f>
        <v>12206080</v>
      </c>
      <c r="H60" s="32">
        <f>'Decode_1M'!$AQ$72</f>
        <v>12206080</v>
      </c>
    </row>
    <row r="61" spans="1:8">
      <c r="A61" s="4" t="s">
        <v>477</v>
      </c>
      <c r="B61" s="31" t="str">
        <f>TEXT(IF(ABS(G61)&gt;=1E12,G61/1E12,IF(ABS(G61)&gt;=1E9,G61/1E9,IF(ABS(G61)&gt;=1E6,G61/1E6,IF(ABS(G61)&gt;=1E3,G61/1E3,G61)))),"#,##0.000")&amp;IF((IF(ABS(G61)&gt;=1E12,"TB",IF(ABS(G61)&gt;=1E9,"GB",IF(ABS(G61)&gt;=1E6,"MB",IF(ABS(G61)&gt;=1E3,"KB","bytes")))))="",""," "&amp;(IF(ABS(G61)&gt;=1E12,"TB",IF(ABS(G61)&gt;=1E9,"GB",IF(ABS(G61)&gt;=1E6,"MB",IF(ABS(G61)&gt;=1E3,"KB","bytes"))))))</f>
        <v>7.232 GB</v>
      </c>
      <c r="C61" s="31" t="str">
        <f>TEXT(IF(ABS(H61)&gt;=1E12,H61/1E12,IF(ABS(H61)&gt;=1E9,H61/1E9,IF(ABS(H61)&gt;=1E6,H61/1E6,IF(ABS(H61)&gt;=1E3,H61/1E3,H61)))),"#,##0.000")&amp;IF((IF(ABS(H61)&gt;=1E12,"TB",IF(ABS(H61)&gt;=1E9,"GB",IF(ABS(H61)&gt;=1E6,"MB",IF(ABS(H61)&gt;=1E3,"KB","bytes")))))="",""," "&amp;(IF(ABS(H61)&gt;=1E12,"TB",IF(ABS(H61)&gt;=1E9,"GB",IF(ABS(H61)&gt;=1E6,"MB",IF(ABS(H61)&gt;=1E3,"KB","bytes"))))))</f>
        <v>7.232 GB</v>
      </c>
      <c r="D61" s="4" t="s">
        <v>509</v>
      </c>
      <c r="G61" s="32">
        <f>'Prefill_8K'!$AQ$73</f>
        <v>7232045056</v>
      </c>
      <c r="H61" s="32">
        <f>'Decode_1M'!$AQ$73</f>
        <v>7232045056</v>
      </c>
    </row>
    <row r="62" spans="1:8">
      <c r="A62" s="33" t="s">
        <v>478</v>
      </c>
      <c r="B62" s="33" t="str">
        <f>TEXT(IF(ABS(G62)&gt;=1E12,G62/1E12,IF(ABS(G62)&gt;=1E9,G62/1E9,IF(ABS(G62)&gt;=1E6,G62/1E6,IF(ABS(G62)&gt;=1E3,G62/1E3,G62)))),"#,##0.000")&amp;IF((IF(ABS(G62)&gt;=1E12,"TB",IF(ABS(G62)&gt;=1E9,"GB",IF(ABS(G62)&gt;=1E6,"MB",IF(ABS(G62)&gt;=1E3,"KB","bytes")))))="",""," "&amp;(IF(ABS(G62)&gt;=1E12,"TB",IF(ABS(G62)&gt;=1E9,"GB",IF(ABS(G62)&gt;=1E6,"MB",IF(ABS(G62)&gt;=1E3,"KB","bytes"))))))</f>
        <v>29.582 GB</v>
      </c>
      <c r="C62" s="33" t="str">
        <f>TEXT(IF(ABS(H62)&gt;=1E12,H62/1E12,IF(ABS(H62)&gt;=1E9,H62/1E9,IF(ABS(H62)&gt;=1E6,H62/1E6,IF(ABS(H62)&gt;=1E3,H62/1E3,H62)))),"#,##0.000")&amp;IF((IF(ABS(H62)&gt;=1E12,"TB",IF(ABS(H62)&gt;=1E9,"GB",IF(ABS(H62)&gt;=1E6,"MB",IF(ABS(H62)&gt;=1E3,"KB","bytes")))))="",""," "&amp;(IF(ABS(H62)&gt;=1E12,"TB",IF(ABS(H62)&gt;=1E9,"GB",IF(ABS(H62)&gt;=1E6,"MB",IF(ABS(H62)&gt;=1E3,"KB","bytes"))))))</f>
        <v>29.582 GB</v>
      </c>
      <c r="D62" s="4" t="s">
        <v>510</v>
      </c>
      <c r="G62" s="32">
        <f>'Prefill_8K'!$AO$66+'Prefill_8K'!$AQ$73</f>
        <v>29581867388.0</v>
      </c>
      <c r="H62" s="32">
        <f>'Prefill_8K'!$AO$66+'Decode_1M'!$AQ$73</f>
        <v>29581867388.0</v>
      </c>
    </row>
  </sheetData>
  <mergeCells count="2">
    <mergeCell ref="A4:D4"/>
    <mergeCell ref="A34:D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512</v>
      </c>
    </row>
    <row r="2" spans="1:6">
      <c r="A2" s="2" t="s">
        <v>513</v>
      </c>
    </row>
    <row r="3" spans="1:6">
      <c r="A3" s="3" t="s">
        <v>355</v>
      </c>
      <c r="B3" s="3" t="s">
        <v>514</v>
      </c>
      <c r="C3" s="3" t="s">
        <v>515</v>
      </c>
      <c r="D3" s="3" t="s">
        <v>357</v>
      </c>
      <c r="E3" s="3" t="s">
        <v>516</v>
      </c>
      <c r="F3" s="3" t="s">
        <v>517</v>
      </c>
    </row>
    <row r="4" spans="1:6">
      <c r="A4" s="36">
        <v>0</v>
      </c>
      <c r="B4" s="37">
        <v>1</v>
      </c>
      <c r="C4" s="37" t="s">
        <v>518</v>
      </c>
      <c r="D4" s="38">
        <f>IF(C4="window",0,IF(C4="short",ShortRatio,LongRatio))</f>
        <v>0</v>
      </c>
      <c r="E4" s="4" t="str">
        <f>IF(B4=0,"未启用",IF(C4="window","原始滑动窗口",IF(C4="short","压缩 KV + Indexer Top-K","确定性压缩 KV")))</f>
        <v>原始滑动窗口</v>
      </c>
      <c r="F4" s="4" t="str">
        <f>IF(B4=0,"未启用",IF(A4&lt;HashLayers,"哈希","评分"))</f>
        <v>哈希</v>
      </c>
    </row>
    <row r="5" spans="1:6">
      <c r="A5" s="36">
        <v>1</v>
      </c>
      <c r="B5" s="37">
        <v>1</v>
      </c>
      <c r="C5" s="37" t="s">
        <v>518</v>
      </c>
      <c r="D5" s="38">
        <f>IF(C5="window",0,IF(C5="short",ShortRatio,LongRatio))</f>
        <v>0</v>
      </c>
      <c r="E5" s="4" t="str">
        <f>IF(B5=0,"未启用",IF(C5="window","原始滑动窗口",IF(C5="short","压缩 KV + Indexer Top-K","确定性压缩 KV")))</f>
        <v>原始滑动窗口</v>
      </c>
      <c r="F5" s="4" t="str">
        <f>IF(B5=0,"未启用",IF(A5&lt;HashLayers,"哈希","评分"))</f>
        <v>哈希</v>
      </c>
    </row>
    <row r="6" spans="1:6">
      <c r="A6" s="36">
        <v>2</v>
      </c>
      <c r="B6" s="37">
        <v>1</v>
      </c>
      <c r="C6" s="37" t="s">
        <v>519</v>
      </c>
      <c r="D6" s="38">
        <f>IF(C6="window",0,IF(C6="short",ShortRatio,LongRatio))</f>
        <v>4</v>
      </c>
      <c r="E6" s="4" t="str">
        <f>IF(B6=0,"未启用",IF(C6="window","原始滑动窗口",IF(C6="short","压缩 KV + Indexer Top-K","确定性压缩 KV")))</f>
        <v>压缩 KV + Indexer Top-K</v>
      </c>
      <c r="F6" s="4" t="str">
        <f>IF(B6=0,"未启用",IF(A6&lt;HashLayers,"哈希","评分"))</f>
        <v>哈希</v>
      </c>
    </row>
    <row r="7" spans="1:6">
      <c r="A7" s="36">
        <v>3</v>
      </c>
      <c r="B7" s="37">
        <v>1</v>
      </c>
      <c r="C7" s="37" t="s">
        <v>520</v>
      </c>
      <c r="D7" s="38">
        <f>IF(C7="window",0,IF(C7="short",ShortRatio,LongRatio))</f>
        <v>128</v>
      </c>
      <c r="E7" s="4" t="str">
        <f>IF(B7=0,"未启用",IF(C7="window","原始滑动窗口",IF(C7="short","压缩 KV + Indexer Top-K","确定性压缩 KV")))</f>
        <v>确定性压缩 KV</v>
      </c>
      <c r="F7" s="4" t="str">
        <f>IF(B7=0,"未启用",IF(A7&lt;HashLayers,"哈希","评分"))</f>
        <v>评分</v>
      </c>
    </row>
    <row r="8" spans="1:6">
      <c r="A8" s="36">
        <v>4</v>
      </c>
      <c r="B8" s="37">
        <v>1</v>
      </c>
      <c r="C8" s="37" t="s">
        <v>519</v>
      </c>
      <c r="D8" s="38">
        <f>IF(C8="window",0,IF(C8="short",ShortRatio,LongRatio))</f>
        <v>4</v>
      </c>
      <c r="E8" s="4" t="str">
        <f>IF(B8=0,"未启用",IF(C8="window","原始滑动窗口",IF(C8="short","压缩 KV + Indexer Top-K","确定性压缩 KV")))</f>
        <v>压缩 KV + Indexer Top-K</v>
      </c>
      <c r="F8" s="4" t="str">
        <f>IF(B8=0,"未启用",IF(A8&lt;HashLayers,"哈希","评分"))</f>
        <v>评分</v>
      </c>
    </row>
    <row r="9" spans="1:6">
      <c r="A9" s="36">
        <v>5</v>
      </c>
      <c r="B9" s="37">
        <v>1</v>
      </c>
      <c r="C9" s="37" t="s">
        <v>520</v>
      </c>
      <c r="D9" s="38">
        <f>IF(C9="window",0,IF(C9="short",ShortRatio,LongRatio))</f>
        <v>128</v>
      </c>
      <c r="E9" s="4" t="str">
        <f>IF(B9=0,"未启用",IF(C9="window","原始滑动窗口",IF(C9="short","压缩 KV + Indexer Top-K","确定性压缩 KV")))</f>
        <v>确定性压缩 KV</v>
      </c>
      <c r="F9" s="4" t="str">
        <f>IF(B9=0,"未启用",IF(A9&lt;HashLayers,"哈希","评分"))</f>
        <v>评分</v>
      </c>
    </row>
    <row r="10" spans="1:6">
      <c r="A10" s="36">
        <v>6</v>
      </c>
      <c r="B10" s="37">
        <v>1</v>
      </c>
      <c r="C10" s="37" t="s">
        <v>519</v>
      </c>
      <c r="D10" s="38">
        <f>IF(C10="window",0,IF(C10="short",ShortRatio,LongRatio))</f>
        <v>4</v>
      </c>
      <c r="E10" s="4" t="str">
        <f>IF(B10=0,"未启用",IF(C10="window","原始滑动窗口",IF(C10="short","压缩 KV + Indexer Top-K","确定性压缩 KV")))</f>
        <v>压缩 KV + Indexer Top-K</v>
      </c>
      <c r="F10" s="4" t="str">
        <f>IF(B10=0,"未启用",IF(A10&lt;HashLayers,"哈希","评分"))</f>
        <v>评分</v>
      </c>
    </row>
    <row r="11" spans="1:6">
      <c r="A11" s="36">
        <v>7</v>
      </c>
      <c r="B11" s="37">
        <v>1</v>
      </c>
      <c r="C11" s="37" t="s">
        <v>520</v>
      </c>
      <c r="D11" s="38">
        <f>IF(C11="window",0,IF(C11="short",ShortRatio,LongRatio))</f>
        <v>128</v>
      </c>
      <c r="E11" s="4" t="str">
        <f>IF(B11=0,"未启用",IF(C11="window","原始滑动窗口",IF(C11="short","压缩 KV + Indexer Top-K","确定性压缩 KV")))</f>
        <v>确定性压缩 KV</v>
      </c>
      <c r="F11" s="4" t="str">
        <f>IF(B11=0,"未启用",IF(A11&lt;HashLayers,"哈希","评分"))</f>
        <v>评分</v>
      </c>
    </row>
    <row r="12" spans="1:6">
      <c r="A12" s="36">
        <v>8</v>
      </c>
      <c r="B12" s="37">
        <v>1</v>
      </c>
      <c r="C12" s="37" t="s">
        <v>519</v>
      </c>
      <c r="D12" s="38">
        <f>IF(C12="window",0,IF(C12="short",ShortRatio,LongRatio))</f>
        <v>4</v>
      </c>
      <c r="E12" s="4" t="str">
        <f>IF(B12=0,"未启用",IF(C12="window","原始滑动窗口",IF(C12="short","压缩 KV + Indexer Top-K","确定性压缩 KV")))</f>
        <v>压缩 KV + Indexer Top-K</v>
      </c>
      <c r="F12" s="4" t="str">
        <f>IF(B12=0,"未启用",IF(A12&lt;HashLayers,"哈希","评分"))</f>
        <v>评分</v>
      </c>
    </row>
    <row r="13" spans="1:6">
      <c r="A13" s="36">
        <v>9</v>
      </c>
      <c r="B13" s="37">
        <v>1</v>
      </c>
      <c r="C13" s="37" t="s">
        <v>520</v>
      </c>
      <c r="D13" s="38">
        <f>IF(C13="window",0,IF(C13="short",ShortRatio,LongRatio))</f>
        <v>128</v>
      </c>
      <c r="E13" s="4" t="str">
        <f>IF(B13=0,"未启用",IF(C13="window","原始滑动窗口",IF(C13="short","压缩 KV + Indexer Top-K","确定性压缩 KV")))</f>
        <v>确定性压缩 KV</v>
      </c>
      <c r="F13" s="4" t="str">
        <f>IF(B13=0,"未启用",IF(A13&lt;HashLayers,"哈希","评分"))</f>
        <v>评分</v>
      </c>
    </row>
    <row r="14" spans="1:6">
      <c r="A14" s="36">
        <v>10</v>
      </c>
      <c r="B14" s="37">
        <v>1</v>
      </c>
      <c r="C14" s="37" t="s">
        <v>519</v>
      </c>
      <c r="D14" s="38">
        <f>IF(C14="window",0,IF(C14="short",ShortRatio,LongRatio))</f>
        <v>4</v>
      </c>
      <c r="E14" s="4" t="str">
        <f>IF(B14=0,"未启用",IF(C14="window","原始滑动窗口",IF(C14="short","压缩 KV + Indexer Top-K","确定性压缩 KV")))</f>
        <v>压缩 KV + Indexer Top-K</v>
      </c>
      <c r="F14" s="4" t="str">
        <f>IF(B14=0,"未启用",IF(A14&lt;HashLayers,"哈希","评分"))</f>
        <v>评分</v>
      </c>
    </row>
    <row r="15" spans="1:6">
      <c r="A15" s="36">
        <v>11</v>
      </c>
      <c r="B15" s="37">
        <v>1</v>
      </c>
      <c r="C15" s="37" t="s">
        <v>520</v>
      </c>
      <c r="D15" s="38">
        <f>IF(C15="window",0,IF(C15="short",ShortRatio,LongRatio))</f>
        <v>128</v>
      </c>
      <c r="E15" s="4" t="str">
        <f>IF(B15=0,"未启用",IF(C15="window","原始滑动窗口",IF(C15="short","压缩 KV + Indexer Top-K","确定性压缩 KV")))</f>
        <v>确定性压缩 KV</v>
      </c>
      <c r="F15" s="4" t="str">
        <f>IF(B15=0,"未启用",IF(A15&lt;HashLayers,"哈希","评分"))</f>
        <v>评分</v>
      </c>
    </row>
    <row r="16" spans="1:6">
      <c r="A16" s="36">
        <v>12</v>
      </c>
      <c r="B16" s="37">
        <v>1</v>
      </c>
      <c r="C16" s="37" t="s">
        <v>519</v>
      </c>
      <c r="D16" s="38">
        <f>IF(C16="window",0,IF(C16="short",ShortRatio,LongRatio))</f>
        <v>4</v>
      </c>
      <c r="E16" s="4" t="str">
        <f>IF(B16=0,"未启用",IF(C16="window","原始滑动窗口",IF(C16="short","压缩 KV + Indexer Top-K","确定性压缩 KV")))</f>
        <v>压缩 KV + Indexer Top-K</v>
      </c>
      <c r="F16" s="4" t="str">
        <f>IF(B16=0,"未启用",IF(A16&lt;HashLayers,"哈希","评分"))</f>
        <v>评分</v>
      </c>
    </row>
    <row r="17" spans="1:6">
      <c r="A17" s="36">
        <v>13</v>
      </c>
      <c r="B17" s="37">
        <v>1</v>
      </c>
      <c r="C17" s="37" t="s">
        <v>520</v>
      </c>
      <c r="D17" s="38">
        <f>IF(C17="window",0,IF(C17="short",ShortRatio,LongRatio))</f>
        <v>128</v>
      </c>
      <c r="E17" s="4" t="str">
        <f>IF(B17=0,"未启用",IF(C17="window","原始滑动窗口",IF(C17="short","压缩 KV + Indexer Top-K","确定性压缩 KV")))</f>
        <v>确定性压缩 KV</v>
      </c>
      <c r="F17" s="4" t="str">
        <f>IF(B17=0,"未启用",IF(A17&lt;HashLayers,"哈希","评分"))</f>
        <v>评分</v>
      </c>
    </row>
    <row r="18" spans="1:6">
      <c r="A18" s="36">
        <v>14</v>
      </c>
      <c r="B18" s="37">
        <v>1</v>
      </c>
      <c r="C18" s="37" t="s">
        <v>519</v>
      </c>
      <c r="D18" s="38">
        <f>IF(C18="window",0,IF(C18="short",ShortRatio,LongRatio))</f>
        <v>4</v>
      </c>
      <c r="E18" s="4" t="str">
        <f>IF(B18=0,"未启用",IF(C18="window","原始滑动窗口",IF(C18="short","压缩 KV + Indexer Top-K","确定性压缩 KV")))</f>
        <v>压缩 KV + Indexer Top-K</v>
      </c>
      <c r="F18" s="4" t="str">
        <f>IF(B18=0,"未启用",IF(A18&lt;HashLayers,"哈希","评分"))</f>
        <v>评分</v>
      </c>
    </row>
    <row r="19" spans="1:6">
      <c r="A19" s="36">
        <v>15</v>
      </c>
      <c r="B19" s="37">
        <v>1</v>
      </c>
      <c r="C19" s="37" t="s">
        <v>520</v>
      </c>
      <c r="D19" s="38">
        <f>IF(C19="window",0,IF(C19="short",ShortRatio,LongRatio))</f>
        <v>128</v>
      </c>
      <c r="E19" s="4" t="str">
        <f>IF(B19=0,"未启用",IF(C19="window","原始滑动窗口",IF(C19="short","压缩 KV + Indexer Top-K","确定性压缩 KV")))</f>
        <v>确定性压缩 KV</v>
      </c>
      <c r="F19" s="4" t="str">
        <f>IF(B19=0,"未启用",IF(A19&lt;HashLayers,"哈希","评分"))</f>
        <v>评分</v>
      </c>
    </row>
    <row r="20" spans="1:6">
      <c r="A20" s="36">
        <v>16</v>
      </c>
      <c r="B20" s="37">
        <v>1</v>
      </c>
      <c r="C20" s="37" t="s">
        <v>519</v>
      </c>
      <c r="D20" s="38">
        <f>IF(C20="window",0,IF(C20="short",ShortRatio,LongRatio))</f>
        <v>4</v>
      </c>
      <c r="E20" s="4" t="str">
        <f>IF(B20=0,"未启用",IF(C20="window","原始滑动窗口",IF(C20="short","压缩 KV + Indexer Top-K","确定性压缩 KV")))</f>
        <v>压缩 KV + Indexer Top-K</v>
      </c>
      <c r="F20" s="4" t="str">
        <f>IF(B20=0,"未启用",IF(A20&lt;HashLayers,"哈希","评分"))</f>
        <v>评分</v>
      </c>
    </row>
    <row r="21" spans="1:6">
      <c r="A21" s="36">
        <v>17</v>
      </c>
      <c r="B21" s="37">
        <v>1</v>
      </c>
      <c r="C21" s="37" t="s">
        <v>520</v>
      </c>
      <c r="D21" s="38">
        <f>IF(C21="window",0,IF(C21="short",ShortRatio,LongRatio))</f>
        <v>128</v>
      </c>
      <c r="E21" s="4" t="str">
        <f>IF(B21=0,"未启用",IF(C21="window","原始滑动窗口",IF(C21="short","压缩 KV + Indexer Top-K","确定性压缩 KV")))</f>
        <v>确定性压缩 KV</v>
      </c>
      <c r="F21" s="4" t="str">
        <f>IF(B21=0,"未启用",IF(A21&lt;HashLayers,"哈希","评分"))</f>
        <v>评分</v>
      </c>
    </row>
    <row r="22" spans="1:6">
      <c r="A22" s="36">
        <v>18</v>
      </c>
      <c r="B22" s="37">
        <v>1</v>
      </c>
      <c r="C22" s="37" t="s">
        <v>519</v>
      </c>
      <c r="D22" s="38">
        <f>IF(C22="window",0,IF(C22="short",ShortRatio,LongRatio))</f>
        <v>4</v>
      </c>
      <c r="E22" s="4" t="str">
        <f>IF(B22=0,"未启用",IF(C22="window","原始滑动窗口",IF(C22="short","压缩 KV + Indexer Top-K","确定性压缩 KV")))</f>
        <v>压缩 KV + Indexer Top-K</v>
      </c>
      <c r="F22" s="4" t="str">
        <f>IF(B22=0,"未启用",IF(A22&lt;HashLayers,"哈希","评分"))</f>
        <v>评分</v>
      </c>
    </row>
    <row r="23" spans="1:6">
      <c r="A23" s="36">
        <v>19</v>
      </c>
      <c r="B23" s="37">
        <v>1</v>
      </c>
      <c r="C23" s="37" t="s">
        <v>520</v>
      </c>
      <c r="D23" s="38">
        <f>IF(C23="window",0,IF(C23="short",ShortRatio,LongRatio))</f>
        <v>128</v>
      </c>
      <c r="E23" s="4" t="str">
        <f>IF(B23=0,"未启用",IF(C23="window","原始滑动窗口",IF(C23="short","压缩 KV + Indexer Top-K","确定性压缩 KV")))</f>
        <v>确定性压缩 KV</v>
      </c>
      <c r="F23" s="4" t="str">
        <f>IF(B23=0,"未启用",IF(A23&lt;HashLayers,"哈希","评分"))</f>
        <v>评分</v>
      </c>
    </row>
    <row r="24" spans="1:6">
      <c r="A24" s="36">
        <v>20</v>
      </c>
      <c r="B24" s="37">
        <v>1</v>
      </c>
      <c r="C24" s="37" t="s">
        <v>519</v>
      </c>
      <c r="D24" s="38">
        <f>IF(C24="window",0,IF(C24="short",ShortRatio,LongRatio))</f>
        <v>4</v>
      </c>
      <c r="E24" s="4" t="str">
        <f>IF(B24=0,"未启用",IF(C24="window","原始滑动窗口",IF(C24="short","压缩 KV + Indexer Top-K","确定性压缩 KV")))</f>
        <v>压缩 KV + Indexer Top-K</v>
      </c>
      <c r="F24" s="4" t="str">
        <f>IF(B24=0,"未启用",IF(A24&lt;HashLayers,"哈希","评分"))</f>
        <v>评分</v>
      </c>
    </row>
    <row r="25" spans="1:6">
      <c r="A25" s="36">
        <v>21</v>
      </c>
      <c r="B25" s="37">
        <v>1</v>
      </c>
      <c r="C25" s="37" t="s">
        <v>520</v>
      </c>
      <c r="D25" s="38">
        <f>IF(C25="window",0,IF(C25="short",ShortRatio,LongRatio))</f>
        <v>128</v>
      </c>
      <c r="E25" s="4" t="str">
        <f>IF(B25=0,"未启用",IF(C25="window","原始滑动窗口",IF(C25="short","压缩 KV + Indexer Top-K","确定性压缩 KV")))</f>
        <v>确定性压缩 KV</v>
      </c>
      <c r="F25" s="4" t="str">
        <f>IF(B25=0,"未启用",IF(A25&lt;HashLayers,"哈希","评分"))</f>
        <v>评分</v>
      </c>
    </row>
    <row r="26" spans="1:6">
      <c r="A26" s="36">
        <v>22</v>
      </c>
      <c r="B26" s="37">
        <v>1</v>
      </c>
      <c r="C26" s="37" t="s">
        <v>519</v>
      </c>
      <c r="D26" s="38">
        <f>IF(C26="window",0,IF(C26="short",ShortRatio,LongRatio))</f>
        <v>4</v>
      </c>
      <c r="E26" s="4" t="str">
        <f>IF(B26=0,"未启用",IF(C26="window","原始滑动窗口",IF(C26="short","压缩 KV + Indexer Top-K","确定性压缩 KV")))</f>
        <v>压缩 KV + Indexer Top-K</v>
      </c>
      <c r="F26" s="4" t="str">
        <f>IF(B26=0,"未启用",IF(A26&lt;HashLayers,"哈希","评分"))</f>
        <v>评分</v>
      </c>
    </row>
    <row r="27" spans="1:6">
      <c r="A27" s="36">
        <v>23</v>
      </c>
      <c r="B27" s="37">
        <v>1</v>
      </c>
      <c r="C27" s="37" t="s">
        <v>520</v>
      </c>
      <c r="D27" s="38">
        <f>IF(C27="window",0,IF(C27="short",ShortRatio,LongRatio))</f>
        <v>128</v>
      </c>
      <c r="E27" s="4" t="str">
        <f>IF(B27=0,"未启用",IF(C27="window","原始滑动窗口",IF(C27="short","压缩 KV + Indexer Top-K","确定性压缩 KV")))</f>
        <v>确定性压缩 KV</v>
      </c>
      <c r="F27" s="4" t="str">
        <f>IF(B27=0,"未启用",IF(A27&lt;HashLayers,"哈希","评分"))</f>
        <v>评分</v>
      </c>
    </row>
    <row r="28" spans="1:6">
      <c r="A28" s="36">
        <v>24</v>
      </c>
      <c r="B28" s="37">
        <v>1</v>
      </c>
      <c r="C28" s="37" t="s">
        <v>519</v>
      </c>
      <c r="D28" s="38">
        <f>IF(C28="window",0,IF(C28="short",ShortRatio,LongRatio))</f>
        <v>4</v>
      </c>
      <c r="E28" s="4" t="str">
        <f>IF(B28=0,"未启用",IF(C28="window","原始滑动窗口",IF(C28="short","压缩 KV + Indexer Top-K","确定性压缩 KV")))</f>
        <v>压缩 KV + Indexer Top-K</v>
      </c>
      <c r="F28" s="4" t="str">
        <f>IF(B28=0,"未启用",IF(A28&lt;HashLayers,"哈希","评分"))</f>
        <v>评分</v>
      </c>
    </row>
    <row r="29" spans="1:6">
      <c r="A29" s="36">
        <v>25</v>
      </c>
      <c r="B29" s="37">
        <v>1</v>
      </c>
      <c r="C29" s="37" t="s">
        <v>520</v>
      </c>
      <c r="D29" s="38">
        <f>IF(C29="window",0,IF(C29="short",ShortRatio,LongRatio))</f>
        <v>128</v>
      </c>
      <c r="E29" s="4" t="str">
        <f>IF(B29=0,"未启用",IF(C29="window","原始滑动窗口",IF(C29="short","压缩 KV + Indexer Top-K","确定性压缩 KV")))</f>
        <v>确定性压缩 KV</v>
      </c>
      <c r="F29" s="4" t="str">
        <f>IF(B29=0,"未启用",IF(A29&lt;HashLayers,"哈希","评分"))</f>
        <v>评分</v>
      </c>
    </row>
    <row r="30" spans="1:6">
      <c r="A30" s="36">
        <v>26</v>
      </c>
      <c r="B30" s="37">
        <v>1</v>
      </c>
      <c r="C30" s="37" t="s">
        <v>519</v>
      </c>
      <c r="D30" s="38">
        <f>IF(C30="window",0,IF(C30="short",ShortRatio,LongRatio))</f>
        <v>4</v>
      </c>
      <c r="E30" s="4" t="str">
        <f>IF(B30=0,"未启用",IF(C30="window","原始滑动窗口",IF(C30="short","压缩 KV + Indexer Top-K","确定性压缩 KV")))</f>
        <v>压缩 KV + Indexer Top-K</v>
      </c>
      <c r="F30" s="4" t="str">
        <f>IF(B30=0,"未启用",IF(A30&lt;HashLayers,"哈希","评分"))</f>
        <v>评分</v>
      </c>
    </row>
    <row r="31" spans="1:6">
      <c r="A31" s="36">
        <v>27</v>
      </c>
      <c r="B31" s="37">
        <v>1</v>
      </c>
      <c r="C31" s="37" t="s">
        <v>520</v>
      </c>
      <c r="D31" s="38">
        <f>IF(C31="window",0,IF(C31="short",ShortRatio,LongRatio))</f>
        <v>128</v>
      </c>
      <c r="E31" s="4" t="str">
        <f>IF(B31=0,"未启用",IF(C31="window","原始滑动窗口",IF(C31="short","压缩 KV + Indexer Top-K","确定性压缩 KV")))</f>
        <v>确定性压缩 KV</v>
      </c>
      <c r="F31" s="4" t="str">
        <f>IF(B31=0,"未启用",IF(A31&lt;HashLayers,"哈希","评分"))</f>
        <v>评分</v>
      </c>
    </row>
    <row r="32" spans="1:6">
      <c r="A32" s="36">
        <v>28</v>
      </c>
      <c r="B32" s="37">
        <v>1</v>
      </c>
      <c r="C32" s="37" t="s">
        <v>519</v>
      </c>
      <c r="D32" s="38">
        <f>IF(C32="window",0,IF(C32="short",ShortRatio,LongRatio))</f>
        <v>4</v>
      </c>
      <c r="E32" s="4" t="str">
        <f>IF(B32=0,"未启用",IF(C32="window","原始滑动窗口",IF(C32="short","压缩 KV + Indexer Top-K","确定性压缩 KV")))</f>
        <v>压缩 KV + Indexer Top-K</v>
      </c>
      <c r="F32" s="4" t="str">
        <f>IF(B32=0,"未启用",IF(A32&lt;HashLayers,"哈希","评分"))</f>
        <v>评分</v>
      </c>
    </row>
    <row r="33" spans="1:6">
      <c r="A33" s="36">
        <v>29</v>
      </c>
      <c r="B33" s="37">
        <v>1</v>
      </c>
      <c r="C33" s="37" t="s">
        <v>520</v>
      </c>
      <c r="D33" s="38">
        <f>IF(C33="window",0,IF(C33="short",ShortRatio,LongRatio))</f>
        <v>128</v>
      </c>
      <c r="E33" s="4" t="str">
        <f>IF(B33=0,"未启用",IF(C33="window","原始滑动窗口",IF(C33="short","压缩 KV + Indexer Top-K","确定性压缩 KV")))</f>
        <v>确定性压缩 KV</v>
      </c>
      <c r="F33" s="4" t="str">
        <f>IF(B33=0,"未启用",IF(A33&lt;HashLayers,"哈希","评分"))</f>
        <v>评分</v>
      </c>
    </row>
    <row r="34" spans="1:6">
      <c r="A34" s="36">
        <v>30</v>
      </c>
      <c r="B34" s="37">
        <v>1</v>
      </c>
      <c r="C34" s="37" t="s">
        <v>519</v>
      </c>
      <c r="D34" s="38">
        <f>IF(C34="window",0,IF(C34="short",ShortRatio,LongRatio))</f>
        <v>4</v>
      </c>
      <c r="E34" s="4" t="str">
        <f>IF(B34=0,"未启用",IF(C34="window","原始滑动窗口",IF(C34="short","压缩 KV + Indexer Top-K","确定性压缩 KV")))</f>
        <v>压缩 KV + Indexer Top-K</v>
      </c>
      <c r="F34" s="4" t="str">
        <f>IF(B34=0,"未启用",IF(A34&lt;HashLayers,"哈希","评分"))</f>
        <v>评分</v>
      </c>
    </row>
    <row r="35" spans="1:6">
      <c r="A35" s="36">
        <v>31</v>
      </c>
      <c r="B35" s="37">
        <v>1</v>
      </c>
      <c r="C35" s="37" t="s">
        <v>520</v>
      </c>
      <c r="D35" s="38">
        <f>IF(C35="window",0,IF(C35="short",ShortRatio,LongRatio))</f>
        <v>128</v>
      </c>
      <c r="E35" s="4" t="str">
        <f>IF(B35=0,"未启用",IF(C35="window","原始滑动窗口",IF(C35="short","压缩 KV + Indexer Top-K","确定性压缩 KV")))</f>
        <v>确定性压缩 KV</v>
      </c>
      <c r="F35" s="4" t="str">
        <f>IF(B35=0,"未启用",IF(A35&lt;HashLayers,"哈希","评分"))</f>
        <v>评分</v>
      </c>
    </row>
    <row r="36" spans="1:6">
      <c r="A36" s="36">
        <v>32</v>
      </c>
      <c r="B36" s="37">
        <v>1</v>
      </c>
      <c r="C36" s="37" t="s">
        <v>519</v>
      </c>
      <c r="D36" s="38">
        <f>IF(C36="window",0,IF(C36="short",ShortRatio,LongRatio))</f>
        <v>4</v>
      </c>
      <c r="E36" s="4" t="str">
        <f>IF(B36=0,"未启用",IF(C36="window","原始滑动窗口",IF(C36="short","压缩 KV + Indexer Top-K","确定性压缩 KV")))</f>
        <v>压缩 KV + Indexer Top-K</v>
      </c>
      <c r="F36" s="4" t="str">
        <f>IF(B36=0,"未启用",IF(A36&lt;HashLayers,"哈希","评分"))</f>
        <v>评分</v>
      </c>
    </row>
    <row r="37" spans="1:6">
      <c r="A37" s="36">
        <v>33</v>
      </c>
      <c r="B37" s="37">
        <v>1</v>
      </c>
      <c r="C37" s="37" t="s">
        <v>520</v>
      </c>
      <c r="D37" s="38">
        <f>IF(C37="window",0,IF(C37="short",ShortRatio,LongRatio))</f>
        <v>128</v>
      </c>
      <c r="E37" s="4" t="str">
        <f>IF(B37=0,"未启用",IF(C37="window","原始滑动窗口",IF(C37="short","压缩 KV + Indexer Top-K","确定性压缩 KV")))</f>
        <v>确定性压缩 KV</v>
      </c>
      <c r="F37" s="4" t="str">
        <f>IF(B37=0,"未启用",IF(A37&lt;HashLayers,"哈希","评分"))</f>
        <v>评分</v>
      </c>
    </row>
    <row r="38" spans="1:6">
      <c r="A38" s="36">
        <v>34</v>
      </c>
      <c r="B38" s="37">
        <v>1</v>
      </c>
      <c r="C38" s="37" t="s">
        <v>519</v>
      </c>
      <c r="D38" s="38">
        <f>IF(C38="window",0,IF(C38="short",ShortRatio,LongRatio))</f>
        <v>4</v>
      </c>
      <c r="E38" s="4" t="str">
        <f>IF(B38=0,"未启用",IF(C38="window","原始滑动窗口",IF(C38="short","压缩 KV + Indexer Top-K","确定性压缩 KV")))</f>
        <v>压缩 KV + Indexer Top-K</v>
      </c>
      <c r="F38" s="4" t="str">
        <f>IF(B38=0,"未启用",IF(A38&lt;HashLayers,"哈希","评分"))</f>
        <v>评分</v>
      </c>
    </row>
    <row r="39" spans="1:6">
      <c r="A39" s="36">
        <v>35</v>
      </c>
      <c r="B39" s="37">
        <v>1</v>
      </c>
      <c r="C39" s="37" t="s">
        <v>520</v>
      </c>
      <c r="D39" s="38">
        <f>IF(C39="window",0,IF(C39="short",ShortRatio,LongRatio))</f>
        <v>128</v>
      </c>
      <c r="E39" s="4" t="str">
        <f>IF(B39=0,"未启用",IF(C39="window","原始滑动窗口",IF(C39="short","压缩 KV + Indexer Top-K","确定性压缩 KV")))</f>
        <v>确定性压缩 KV</v>
      </c>
      <c r="F39" s="4" t="str">
        <f>IF(B39=0,"未启用",IF(A39&lt;HashLayers,"哈希","评分"))</f>
        <v>评分</v>
      </c>
    </row>
    <row r="40" spans="1:6">
      <c r="A40" s="36">
        <v>36</v>
      </c>
      <c r="B40" s="37">
        <v>1</v>
      </c>
      <c r="C40" s="37" t="s">
        <v>519</v>
      </c>
      <c r="D40" s="38">
        <f>IF(C40="window",0,IF(C40="short",ShortRatio,LongRatio))</f>
        <v>4</v>
      </c>
      <c r="E40" s="4" t="str">
        <f>IF(B40=0,"未启用",IF(C40="window","原始滑动窗口",IF(C40="short","压缩 KV + Indexer Top-K","确定性压缩 KV")))</f>
        <v>压缩 KV + Indexer Top-K</v>
      </c>
      <c r="F40" s="4" t="str">
        <f>IF(B40=0,"未启用",IF(A40&lt;HashLayers,"哈希","评分"))</f>
        <v>评分</v>
      </c>
    </row>
    <row r="41" spans="1:6">
      <c r="A41" s="36">
        <v>37</v>
      </c>
      <c r="B41" s="37">
        <v>1</v>
      </c>
      <c r="C41" s="37" t="s">
        <v>520</v>
      </c>
      <c r="D41" s="38">
        <f>IF(C41="window",0,IF(C41="short",ShortRatio,LongRatio))</f>
        <v>128</v>
      </c>
      <c r="E41" s="4" t="str">
        <f>IF(B41=0,"未启用",IF(C41="window","原始滑动窗口",IF(C41="short","压缩 KV + Indexer Top-K","确定性压缩 KV")))</f>
        <v>确定性压缩 KV</v>
      </c>
      <c r="F41" s="4" t="str">
        <f>IF(B41=0,"未启用",IF(A41&lt;HashLayers,"哈希","评分"))</f>
        <v>评分</v>
      </c>
    </row>
    <row r="42" spans="1:6">
      <c r="A42" s="36">
        <v>38</v>
      </c>
      <c r="B42" s="37">
        <v>1</v>
      </c>
      <c r="C42" s="37" t="s">
        <v>519</v>
      </c>
      <c r="D42" s="38">
        <f>IF(C42="window",0,IF(C42="short",ShortRatio,LongRatio))</f>
        <v>4</v>
      </c>
      <c r="E42" s="4" t="str">
        <f>IF(B42=0,"未启用",IF(C42="window","原始滑动窗口",IF(C42="short","压缩 KV + Indexer Top-K","确定性压缩 KV")))</f>
        <v>压缩 KV + Indexer Top-K</v>
      </c>
      <c r="F42" s="4" t="str">
        <f>IF(B42=0,"未启用",IF(A42&lt;HashLayers,"哈希","评分"))</f>
        <v>评分</v>
      </c>
    </row>
    <row r="43" spans="1:6">
      <c r="A43" s="36">
        <v>39</v>
      </c>
      <c r="B43" s="37">
        <v>1</v>
      </c>
      <c r="C43" s="37" t="s">
        <v>520</v>
      </c>
      <c r="D43" s="38">
        <f>IF(C43="window",0,IF(C43="short",ShortRatio,LongRatio))</f>
        <v>128</v>
      </c>
      <c r="E43" s="4" t="str">
        <f>IF(B43=0,"未启用",IF(C43="window","原始滑动窗口",IF(C43="short","压缩 KV + Indexer Top-K","确定性压缩 KV")))</f>
        <v>确定性压缩 KV</v>
      </c>
      <c r="F43" s="4" t="str">
        <f>IF(B43=0,"未启用",IF(A43&lt;HashLayers,"哈希","评分"))</f>
        <v>评分</v>
      </c>
    </row>
    <row r="44" spans="1:6">
      <c r="A44" s="36">
        <v>40</v>
      </c>
      <c r="B44" s="37">
        <v>1</v>
      </c>
      <c r="C44" s="37" t="s">
        <v>519</v>
      </c>
      <c r="D44" s="38">
        <f>IF(C44="window",0,IF(C44="short",ShortRatio,LongRatio))</f>
        <v>4</v>
      </c>
      <c r="E44" s="4" t="str">
        <f>IF(B44=0,"未启用",IF(C44="window","原始滑动窗口",IF(C44="short","压缩 KV + Indexer Top-K","确定性压缩 KV")))</f>
        <v>压缩 KV + Indexer Top-K</v>
      </c>
      <c r="F44" s="4" t="str">
        <f>IF(B44=0,"未启用",IF(A44&lt;HashLayers,"哈希","评分"))</f>
        <v>评分</v>
      </c>
    </row>
    <row r="45" spans="1:6">
      <c r="A45" s="36">
        <v>41</v>
      </c>
      <c r="B45" s="37">
        <v>1</v>
      </c>
      <c r="C45" s="37" t="s">
        <v>520</v>
      </c>
      <c r="D45" s="38">
        <f>IF(C45="window",0,IF(C45="short",ShortRatio,LongRatio))</f>
        <v>128</v>
      </c>
      <c r="E45" s="4" t="str">
        <f>IF(B45=0,"未启用",IF(C45="window","原始滑动窗口",IF(C45="short","压缩 KV + Indexer Top-K","确定性压缩 KV")))</f>
        <v>确定性压缩 KV</v>
      </c>
      <c r="F45" s="4" t="str">
        <f>IF(B45=0,"未启用",IF(A45&lt;HashLayers,"哈希","评分"))</f>
        <v>评分</v>
      </c>
    </row>
    <row r="46" spans="1:6">
      <c r="A46" s="36">
        <v>42</v>
      </c>
      <c r="B46" s="37">
        <v>1</v>
      </c>
      <c r="C46" s="37" t="s">
        <v>519</v>
      </c>
      <c r="D46" s="38">
        <f>IF(C46="window",0,IF(C46="short",ShortRatio,LongRatio))</f>
        <v>4</v>
      </c>
      <c r="E46" s="4" t="str">
        <f>IF(B46=0,"未启用",IF(C46="window","原始滑动窗口",IF(C46="short","压缩 KV + Indexer Top-K","确定性压缩 KV")))</f>
        <v>压缩 KV + Indexer Top-K</v>
      </c>
      <c r="F46" s="4" t="str">
        <f>IF(B46=0,"未启用",IF(A46&lt;HashLayers,"哈希","评分"))</f>
        <v>评分</v>
      </c>
    </row>
    <row r="47" spans="1:6">
      <c r="A47" s="36">
        <v>43</v>
      </c>
      <c r="B47" s="37">
        <v>0</v>
      </c>
      <c r="C47" s="37" t="s">
        <v>518</v>
      </c>
      <c r="D47" s="38">
        <f>IF(C47="window",0,IF(C47="short",ShortRatio,LongRatio))</f>
        <v>0</v>
      </c>
      <c r="E47" s="4" t="str">
        <f>IF(B47=0,"未启用",IF(C47="window","原始滑动窗口",IF(C47="short","压缩 KV + Indexer Top-K","确定性压缩 KV")))</f>
        <v>未启用</v>
      </c>
      <c r="F47" s="4" t="str">
        <f>IF(B47=0,"未启用",IF(A47&lt;HashLayers,"哈希","评分"))</f>
        <v>未启用</v>
      </c>
    </row>
    <row r="48" spans="1:6">
      <c r="A48" s="36">
        <v>44</v>
      </c>
      <c r="B48" s="37">
        <v>0</v>
      </c>
      <c r="C48" s="37" t="s">
        <v>518</v>
      </c>
      <c r="D48" s="38">
        <f>IF(C48="window",0,IF(C48="short",ShortRatio,LongRatio))</f>
        <v>0</v>
      </c>
      <c r="E48" s="4" t="str">
        <f>IF(B48=0,"未启用",IF(C48="window","原始滑动窗口",IF(C48="short","压缩 KV + Indexer Top-K","确定性压缩 KV")))</f>
        <v>未启用</v>
      </c>
      <c r="F48" s="4" t="str">
        <f>IF(B48=0,"未启用",IF(A48&lt;HashLayers,"哈希","评分"))</f>
        <v>未启用</v>
      </c>
    </row>
    <row r="49" spans="1:6">
      <c r="A49" s="36">
        <v>45</v>
      </c>
      <c r="B49" s="37">
        <v>0</v>
      </c>
      <c r="C49" s="37" t="s">
        <v>518</v>
      </c>
      <c r="D49" s="38">
        <f>IF(C49="window",0,IF(C49="short",ShortRatio,LongRatio))</f>
        <v>0</v>
      </c>
      <c r="E49" s="4" t="str">
        <f>IF(B49=0,"未启用",IF(C49="window","原始滑动窗口",IF(C49="short","压缩 KV + Indexer Top-K","确定性压缩 KV")))</f>
        <v>未启用</v>
      </c>
      <c r="F49" s="4" t="str">
        <f>IF(B49=0,"未启用",IF(A49&lt;HashLayers,"哈希","评分"))</f>
        <v>未启用</v>
      </c>
    </row>
    <row r="50" spans="1:6">
      <c r="A50" s="36">
        <v>46</v>
      </c>
      <c r="B50" s="37">
        <v>0</v>
      </c>
      <c r="C50" s="37" t="s">
        <v>518</v>
      </c>
      <c r="D50" s="38">
        <f>IF(C50="window",0,IF(C50="short",ShortRatio,LongRatio))</f>
        <v>0</v>
      </c>
      <c r="E50" s="4" t="str">
        <f>IF(B50=0,"未启用",IF(C50="window","原始滑动窗口",IF(C50="short","压缩 KV + Indexer Top-K","确定性压缩 KV")))</f>
        <v>未启用</v>
      </c>
      <c r="F50" s="4" t="str">
        <f>IF(B50=0,"未启用",IF(A50&lt;HashLayers,"哈希","评分"))</f>
        <v>未启用</v>
      </c>
    </row>
    <row r="51" spans="1:6">
      <c r="A51" s="36">
        <v>47</v>
      </c>
      <c r="B51" s="37">
        <v>0</v>
      </c>
      <c r="C51" s="37" t="s">
        <v>518</v>
      </c>
      <c r="D51" s="38">
        <f>IF(C51="window",0,IF(C51="short",ShortRatio,LongRatio))</f>
        <v>0</v>
      </c>
      <c r="E51" s="4" t="str">
        <f>IF(B51=0,"未启用",IF(C51="window","原始滑动窗口",IF(C51="short","压缩 KV + Indexer Top-K","确定性压缩 KV")))</f>
        <v>未启用</v>
      </c>
      <c r="F51" s="4" t="str">
        <f>IF(B51=0,"未启用",IF(A51&lt;HashLayers,"哈希","评分"))</f>
        <v>未启用</v>
      </c>
    </row>
    <row r="52" spans="1:6">
      <c r="A52" s="36">
        <v>48</v>
      </c>
      <c r="B52" s="37">
        <v>0</v>
      </c>
      <c r="C52" s="37" t="s">
        <v>518</v>
      </c>
      <c r="D52" s="38">
        <f>IF(C52="window",0,IF(C52="short",ShortRatio,LongRatio))</f>
        <v>0</v>
      </c>
      <c r="E52" s="4" t="str">
        <f>IF(B52=0,"未启用",IF(C52="window","原始滑动窗口",IF(C52="short","压缩 KV + Indexer Top-K","确定性压缩 KV")))</f>
        <v>未启用</v>
      </c>
      <c r="F52" s="4" t="str">
        <f>IF(B52=0,"未启用",IF(A52&lt;HashLayers,"哈希","评分"))</f>
        <v>未启用</v>
      </c>
    </row>
    <row r="53" spans="1:6">
      <c r="A53" s="36">
        <v>49</v>
      </c>
      <c r="B53" s="37">
        <v>0</v>
      </c>
      <c r="C53" s="37" t="s">
        <v>518</v>
      </c>
      <c r="D53" s="38">
        <f>IF(C53="window",0,IF(C53="short",ShortRatio,LongRatio))</f>
        <v>0</v>
      </c>
      <c r="E53" s="4" t="str">
        <f>IF(B53=0,"未启用",IF(C53="window","原始滑动窗口",IF(C53="short","压缩 KV + Indexer Top-K","确定性压缩 KV")))</f>
        <v>未启用</v>
      </c>
      <c r="F53" s="4" t="str">
        <f>IF(B53=0,"未启用",IF(A53&lt;HashLayers,"哈希","评分"))</f>
        <v>未启用</v>
      </c>
    </row>
    <row r="54" spans="1:6">
      <c r="A54" s="36">
        <v>50</v>
      </c>
      <c r="B54" s="37">
        <v>0</v>
      </c>
      <c r="C54" s="37" t="s">
        <v>518</v>
      </c>
      <c r="D54" s="38">
        <f>IF(C54="window",0,IF(C54="short",ShortRatio,LongRatio))</f>
        <v>0</v>
      </c>
      <c r="E54" s="4" t="str">
        <f>IF(B54=0,"未启用",IF(C54="window","原始滑动窗口",IF(C54="short","压缩 KV + Indexer Top-K","确定性压缩 KV")))</f>
        <v>未启用</v>
      </c>
      <c r="F54" s="4" t="str">
        <f>IF(B54=0,"未启用",IF(A54&lt;HashLayers,"哈希","评分"))</f>
        <v>未启用</v>
      </c>
    </row>
    <row r="55" spans="1:6">
      <c r="A55" s="36">
        <v>51</v>
      </c>
      <c r="B55" s="37">
        <v>0</v>
      </c>
      <c r="C55" s="37" t="s">
        <v>518</v>
      </c>
      <c r="D55" s="38">
        <f>IF(C55="window",0,IF(C55="short",ShortRatio,LongRatio))</f>
        <v>0</v>
      </c>
      <c r="E55" s="4" t="str">
        <f>IF(B55=0,"未启用",IF(C55="window","原始滑动窗口",IF(C55="short","压缩 KV + Indexer Top-K","确定性压缩 KV")))</f>
        <v>未启用</v>
      </c>
      <c r="F55" s="4" t="str">
        <f>IF(B55=0,"未启用",IF(A55&lt;HashLayers,"哈希","评分"))</f>
        <v>未启用</v>
      </c>
    </row>
    <row r="56" spans="1:6">
      <c r="A56" s="36">
        <v>52</v>
      </c>
      <c r="B56" s="37">
        <v>0</v>
      </c>
      <c r="C56" s="37" t="s">
        <v>518</v>
      </c>
      <c r="D56" s="38">
        <f>IF(C56="window",0,IF(C56="short",ShortRatio,LongRatio))</f>
        <v>0</v>
      </c>
      <c r="E56" s="4" t="str">
        <f>IF(B56=0,"未启用",IF(C56="window","原始滑动窗口",IF(C56="short","压缩 KV + Indexer Top-K","确定性压缩 KV")))</f>
        <v>未启用</v>
      </c>
      <c r="F56" s="4" t="str">
        <f>IF(B56=0,"未启用",IF(A56&lt;HashLayers,"哈希","评分"))</f>
        <v>未启用</v>
      </c>
    </row>
    <row r="57" spans="1:6">
      <c r="A57" s="36">
        <v>53</v>
      </c>
      <c r="B57" s="37">
        <v>0</v>
      </c>
      <c r="C57" s="37" t="s">
        <v>518</v>
      </c>
      <c r="D57" s="38">
        <f>IF(C57="window",0,IF(C57="short",ShortRatio,LongRatio))</f>
        <v>0</v>
      </c>
      <c r="E57" s="4" t="str">
        <f>IF(B57=0,"未启用",IF(C57="window","原始滑动窗口",IF(C57="short","压缩 KV + Indexer Top-K","确定性压缩 KV")))</f>
        <v>未启用</v>
      </c>
      <c r="F57" s="4" t="str">
        <f>IF(B57=0,"未启用",IF(A57&lt;HashLayers,"哈希","评分"))</f>
        <v>未启用</v>
      </c>
    </row>
    <row r="58" spans="1:6">
      <c r="A58" s="36">
        <v>54</v>
      </c>
      <c r="B58" s="37">
        <v>0</v>
      </c>
      <c r="C58" s="37" t="s">
        <v>518</v>
      </c>
      <c r="D58" s="38">
        <f>IF(C58="window",0,IF(C58="short",ShortRatio,LongRatio))</f>
        <v>0</v>
      </c>
      <c r="E58" s="4" t="str">
        <f>IF(B58=0,"未启用",IF(C58="window","原始滑动窗口",IF(C58="short","压缩 KV + Indexer Top-K","确定性压缩 KV")))</f>
        <v>未启用</v>
      </c>
      <c r="F58" s="4" t="str">
        <f>IF(B58=0,"未启用",IF(A58&lt;HashLayers,"哈希","评分"))</f>
        <v>未启用</v>
      </c>
    </row>
    <row r="59" spans="1:6">
      <c r="A59" s="36">
        <v>55</v>
      </c>
      <c r="B59" s="37">
        <v>0</v>
      </c>
      <c r="C59" s="37" t="s">
        <v>518</v>
      </c>
      <c r="D59" s="38">
        <f>IF(C59="window",0,IF(C59="short",ShortRatio,LongRatio))</f>
        <v>0</v>
      </c>
      <c r="E59" s="4" t="str">
        <f>IF(B59=0,"未启用",IF(C59="window","原始滑动窗口",IF(C59="short","压缩 KV + Indexer Top-K","确定性压缩 KV")))</f>
        <v>未启用</v>
      </c>
      <c r="F59" s="4" t="str">
        <f>IF(B59=0,"未启用",IF(A59&lt;HashLayers,"哈希","评分"))</f>
        <v>未启用</v>
      </c>
    </row>
    <row r="60" spans="1:6">
      <c r="A60" s="36">
        <v>56</v>
      </c>
      <c r="B60" s="37">
        <v>0</v>
      </c>
      <c r="C60" s="37" t="s">
        <v>518</v>
      </c>
      <c r="D60" s="38">
        <f>IF(C60="window",0,IF(C60="short",ShortRatio,LongRatio))</f>
        <v>0</v>
      </c>
      <c r="E60" s="4" t="str">
        <f>IF(B60=0,"未启用",IF(C60="window","原始滑动窗口",IF(C60="short","压缩 KV + Indexer Top-K","确定性压缩 KV")))</f>
        <v>未启用</v>
      </c>
      <c r="F60" s="4" t="str">
        <f>IF(B60=0,"未启用",IF(A60&lt;HashLayers,"哈希","评分"))</f>
        <v>未启用</v>
      </c>
    </row>
    <row r="61" spans="1:6">
      <c r="A61" s="36">
        <v>57</v>
      </c>
      <c r="B61" s="37">
        <v>0</v>
      </c>
      <c r="C61" s="37" t="s">
        <v>518</v>
      </c>
      <c r="D61" s="38">
        <f>IF(C61="window",0,IF(C61="short",ShortRatio,LongRatio))</f>
        <v>0</v>
      </c>
      <c r="E61" s="4" t="str">
        <f>IF(B61=0,"未启用",IF(C61="window","原始滑动窗口",IF(C61="short","压缩 KV + Indexer Top-K","确定性压缩 KV")))</f>
        <v>未启用</v>
      </c>
      <c r="F61" s="4" t="str">
        <f>IF(B61=0,"未启用",IF(A61&lt;HashLayers,"哈希","评分"))</f>
        <v>未启用</v>
      </c>
    </row>
    <row r="62" spans="1:6">
      <c r="A62" s="36">
        <v>58</v>
      </c>
      <c r="B62" s="37">
        <v>0</v>
      </c>
      <c r="C62" s="37" t="s">
        <v>518</v>
      </c>
      <c r="D62" s="38">
        <f>IF(C62="window",0,IF(C62="short",ShortRatio,LongRatio))</f>
        <v>0</v>
      </c>
      <c r="E62" s="4" t="str">
        <f>IF(B62=0,"未启用",IF(C62="window","原始滑动窗口",IF(C62="short","压缩 KV + Indexer Top-K","确定性压缩 KV")))</f>
        <v>未启用</v>
      </c>
      <c r="F62" s="4" t="str">
        <f>IF(B62=0,"未启用",IF(A62&lt;HashLayers,"哈希","评分"))</f>
        <v>未启用</v>
      </c>
    </row>
    <row r="63" spans="1:6">
      <c r="A63" s="36">
        <v>59</v>
      </c>
      <c r="B63" s="37">
        <v>0</v>
      </c>
      <c r="C63" s="37" t="s">
        <v>518</v>
      </c>
      <c r="D63" s="38">
        <f>IF(C63="window",0,IF(C63="short",ShortRatio,LongRatio))</f>
        <v>0</v>
      </c>
      <c r="E63" s="4" t="str">
        <f>IF(B63=0,"未启用",IF(C63="window","原始滑动窗口",IF(C63="short","压缩 KV + Indexer Top-K","确定性压缩 KV")))</f>
        <v>未启用</v>
      </c>
      <c r="F63" s="4" t="str">
        <f>IF(B63=0,"未启用",IF(A63&lt;HashLayers,"哈希","评分"))</f>
        <v>未启用</v>
      </c>
    </row>
    <row r="64" spans="1:6">
      <c r="A64" s="36">
        <v>60</v>
      </c>
      <c r="B64" s="37">
        <v>0</v>
      </c>
      <c r="C64" s="37" t="s">
        <v>518</v>
      </c>
      <c r="D64" s="38">
        <f>IF(C64="window",0,IF(C64="short",ShortRatio,LongRatio))</f>
        <v>0</v>
      </c>
      <c r="E64" s="4" t="str">
        <f>IF(B64=0,"未启用",IF(C64="window","原始滑动窗口",IF(C64="short","压缩 KV + Indexer Top-K","确定性压缩 KV")))</f>
        <v>未启用</v>
      </c>
      <c r="F64" s="4" t="str">
        <f>IF(B64=0,"未启用",IF(A64&lt;HashLayers,"哈希","评分"))</f>
        <v>未启用</v>
      </c>
    </row>
    <row r="65" spans="1:6">
      <c r="A65" s="36">
        <v>61</v>
      </c>
      <c r="B65" s="37">
        <v>0</v>
      </c>
      <c r="C65" s="37" t="s">
        <v>518</v>
      </c>
      <c r="D65" s="38">
        <f>IF(C65="window",0,IF(C65="short",ShortRatio,LongRatio))</f>
        <v>0</v>
      </c>
      <c r="E65" s="4" t="str">
        <f>IF(B65=0,"未启用",IF(C65="window","原始滑动窗口",IF(C65="short","压缩 KV + Indexer Top-K","确定性压缩 KV")))</f>
        <v>未启用</v>
      </c>
      <c r="F65" s="4" t="str">
        <f>IF(B65=0,"未启用",IF(A65&lt;HashLayers,"哈希","评分"))</f>
        <v>未启用</v>
      </c>
    </row>
    <row r="66" spans="1:6">
      <c r="A66" s="36">
        <v>62</v>
      </c>
      <c r="B66" s="37">
        <v>0</v>
      </c>
      <c r="C66" s="37" t="s">
        <v>518</v>
      </c>
      <c r="D66" s="38">
        <f>IF(C66="window",0,IF(C66="short",ShortRatio,LongRatio))</f>
        <v>0</v>
      </c>
      <c r="E66" s="4" t="str">
        <f>IF(B66=0,"未启用",IF(C66="window","原始滑动窗口",IF(C66="short","压缩 KV + Indexer Top-K","确定性压缩 KV")))</f>
        <v>未启用</v>
      </c>
      <c r="F66" s="4" t="str">
        <f>IF(B66=0,"未启用",IF(A66&lt;HashLayers,"哈希","评分"))</f>
        <v>未启用</v>
      </c>
    </row>
    <row r="67" spans="1:6">
      <c r="A67" s="36">
        <v>63</v>
      </c>
      <c r="B67" s="37">
        <v>0</v>
      </c>
      <c r="C67" s="37" t="s">
        <v>518</v>
      </c>
      <c r="D67" s="38">
        <f>IF(C67="window",0,IF(C67="short",ShortRatio,LongRatio))</f>
        <v>0</v>
      </c>
      <c r="E67" s="4" t="str">
        <f>IF(B67=0,"未启用",IF(C67="window","原始滑动窗口",IF(C67="short","压缩 KV + Indexer Top-K","确定性压缩 KV")))</f>
        <v>未启用</v>
      </c>
      <c r="F67" s="4" t="str">
        <f>IF(B67=0,"未启用",IF(A67&lt;HashLayers,"哈希","评分"))</f>
        <v>未启用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521</v>
      </c>
    </row>
    <row r="3" spans="1:2">
      <c r="A3" s="3" t="s">
        <v>522</v>
      </c>
      <c r="B3" s="3" t="s">
        <v>523</v>
      </c>
    </row>
    <row r="4" spans="1:2">
      <c r="A4" s="4" t="s">
        <v>524</v>
      </c>
      <c r="B4" s="4" t="s">
        <v>525</v>
      </c>
    </row>
    <row r="5" spans="1:2">
      <c r="A5" s="4" t="s">
        <v>526</v>
      </c>
      <c r="B5" s="4" t="s">
        <v>527</v>
      </c>
    </row>
    <row r="6" spans="1:2">
      <c r="A6" s="4" t="s">
        <v>528</v>
      </c>
      <c r="B6" s="4" t="s">
        <v>529</v>
      </c>
    </row>
    <row r="7" spans="1:2">
      <c r="A7" s="4" t="s">
        <v>530</v>
      </c>
      <c r="B7" s="4" t="s">
        <v>531</v>
      </c>
    </row>
    <row r="8" spans="1:2">
      <c r="A8" s="4" t="s">
        <v>59</v>
      </c>
      <c r="B8" s="4" t="s">
        <v>532</v>
      </c>
    </row>
    <row r="9" spans="1:2">
      <c r="A9" s="4" t="s">
        <v>533</v>
      </c>
      <c r="B9" s="4" t="s">
        <v>534</v>
      </c>
    </row>
    <row r="10" spans="1:2">
      <c r="A10" s="4" t="s">
        <v>535</v>
      </c>
      <c r="B10" s="4" t="s">
        <v>536</v>
      </c>
    </row>
    <row r="11" spans="1:2">
      <c r="A11" s="4" t="s">
        <v>344</v>
      </c>
      <c r="B11" s="4" t="s">
        <v>537</v>
      </c>
    </row>
    <row r="12" spans="1:2">
      <c r="A12" s="4" t="s">
        <v>538</v>
      </c>
      <c r="B12" s="4" t="s">
        <v>539</v>
      </c>
    </row>
    <row r="13" spans="1:2">
      <c r="A13" s="4" t="s">
        <v>540</v>
      </c>
      <c r="B13" s="4" t="s">
        <v>541</v>
      </c>
    </row>
    <row r="14" spans="1:2">
      <c r="A14" s="4" t="s">
        <v>542</v>
      </c>
      <c r="B14" s="4" t="s">
        <v>543</v>
      </c>
    </row>
    <row r="15" spans="1:2">
      <c r="A15" s="4" t="s">
        <v>205</v>
      </c>
      <c r="B15" s="4" t="s">
        <v>544</v>
      </c>
    </row>
    <row r="16" spans="1:2">
      <c r="A16" s="4" t="s">
        <v>545</v>
      </c>
      <c r="B16" s="4" t="s">
        <v>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Prefill_8K</vt:lpstr>
      <vt:lpstr>Decode_1M</vt:lpstr>
      <vt:lpstr>dtype</vt:lpstr>
      <vt:lpstr>Comparison</vt:lpstr>
      <vt:lpstr>Summary</vt:lpstr>
      <vt:lpstr>Layer_Config</vt:lpstr>
      <vt:lpstr>Methodology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2026-08-28T04:55:15Z</dcterms:created>
  <dcterms:modified xsi:type="dcterms:W3CDTF">2026-08-28T04:55:15Z</dcterms:modified>
</cp:coreProperties>
</file>