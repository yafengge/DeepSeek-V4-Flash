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<sst xmlns="http://schemas.openxmlformats.org/spreadsheetml/2006/main" count="1439" uniqueCount="551">
  <si>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</si>
  <si>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</si>
  <si>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</si>
  <si>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</si>
  <si>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</si>
  <si>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</si>
  <si>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</si>
  <si>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</si>
  <si>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</si>
  <si>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</si>
  <si>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</si>
  <si>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</si>
  <si>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</si>
  <si>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</si>
  <si>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</si>
  <si>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</si>
  <si>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</si>
  <si>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</si>
  <si>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</si>
  <si>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</si>
  <si>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</si>
  <si>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</si>
  <si>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</si>
  <si>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</si>
  <si>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</si>
  <si>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</si>
  <si>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</si>
  <si>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</si>
  <si>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</si>
  <si>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</si>
  <si>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</si>
  <si>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</si>
  <si>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</si>
  <si>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</si>
  <si>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</si>
  <si>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</si>
  <si>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</si>
  <si>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</si>
  <si>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</si>
  <si>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</si>
  <si>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</si>
  <si>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</si>
  <si>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</si>
  <si>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</si>
  <si>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</si>
  <si>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</si>
  <si>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</si>
  <si>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</si>
  <si>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</si>
  <si>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</si>
  <si>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</si>
  <si>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</si>
  <si>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</si>
  <si>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</si>
  <si>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</si>
  <si>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</si>
  <si>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</si>
  <si>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</si>
  <si>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</si>
  <si>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</si>
  <si>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</si>
  <si>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</si>
  <si>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</si>
  <si>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</si>
  <si>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</si>
  <si>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</si>
  <si>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</si>
  <si>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</si>
  <si>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</si>
  <si>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</si>
  <si>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</si>
  <si>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</si>
  <si>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</si>
  <si>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</si>
  <si>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</si>
  <si>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</si>
  <si>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</si>
  <si>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</si>
  <si>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</si>
  <si>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</si>
  <si>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</si>
  <si>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</si>
  <si>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</si>
  <si>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</si>
  <si>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</si>
  <si>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</si>
  <si>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</si>
  <si>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</si>
  <si>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</si>
  <si>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</si>
  <si>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</si>
  <si>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</si>
  <si>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</si>
  <si>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</si>
  <si>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</si>
  <si>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</si>
  <si>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</si>
  <si>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</si>
  <si>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</si>
  <si>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</si>
  <si>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</si>
  <si>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</si>
  <si>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</si>
  <si>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</si>
  <si>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</si>
  <si>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</si>
  <si>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</si>
  <si>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</si>
  <si>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</si>
  <si>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</si>
  <si>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</si>
  <si>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</si>
  <si>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</si>
  <si>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</si>
  <si>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</si>
  <si>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</si>
  <si>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</si>
  <si>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</si>
  <si>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</si>
  <si>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</si>
  <si>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</si>
  <si>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</si>
  <si>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</si>
  <si>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</si>
  <si>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</si>
  <si>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</si>
  <si>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</si>
  <si>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</si>
  <si>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</si>
  <si>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</si>
  <si>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</si>
  <si>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</si>
  <si>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</si>
  <si>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</si>
  <si>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</si>
  <si>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</si>
  <si>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</si>
  <si>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</si>
  <si>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</si>
  <si>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</si>
  <si>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HBM bandwidth</t>
  </si>
  <si>
    <t>HBMBandwidthGBps</t>
  </si>
  <si>
    <t>可编辑的持续/目标 HBM 带宽。</t>
  </si>
  <si>
    <t>Interconnect bandwidth</t>
  </si>
  <si>
    <t>InterconnectGBps</t>
  </si>
  <si>
    <t>可编辑的有效双向互连带宽。</t>
  </si>
  <si>
    <t>Prefill target latency</t>
  </si>
  <si>
    <t>PrefillTargetMs</t>
  </si>
  <si>
    <t>仅用于推导所需 HBM 带宽和卡间互连带宽。</t>
  </si>
  <si>
    <t>Decode target latency</t>
  </si>
  <si>
    <t>DecodeTargetMs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</si>
  <si>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</si>
  <si>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</si>
  <si>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</si>
  <si>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</si>
  <si>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</si>
  <si>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</si>
  <si>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</si>
  <si>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</si>
  <si>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</si>
  <si>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</si>
  <si>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</si>
  <si>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</si>
  <si>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</si>
  <si>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</si>
  <si>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</si>
  <si>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</si>
  <si>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</si>
  <si>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</si>
  <si>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</si>
  <si>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</si>
  <si>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</si>
  <si>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</si>
  <si>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</si>
  <si>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</si>
  <si>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</si>
  <si>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</si>
  <si>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</si>
  <si>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</si>
  <si>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</si>
  <si>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</si>
  <si>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</si>
  <si>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</si>
  <si>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</si>
  <si>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</si>
  <si>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</si>
  <si>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</si>
  <si>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</si>
  <si>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</si>
  <si>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</si>
  <si>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</si>
  <si>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</si>
  <si>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</si>
  <si>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</si>
  <si>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</si>
  <si>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</si>
  <si>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</si>
  <si>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</si>
  <si>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</si>
  <si>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</si>
  <si>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</si>
  <si>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</si>
  <si>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resources</t>
  </si>
  <si>
    <t>容量为单 Rank 资源；分类容量是静态参数，整网容量另含 MaxContext 预分配 KV/State。可见通信列为原始集合通信数据量，底层 HBM 访问量仅保留在隐藏审计列中用于推导目标带宽。</t>
  </si>
  <si>
    <t>Helper metric</t>
  </si>
  <si>
    <t>Unit</t>
  </si>
  <si>
    <t>令牌行数</t>
  </si>
  <si>
    <t>令牌行</t>
  </si>
  <si>
    <t>当前场景需要处理的令牌总数；预填充为批大小乘序列长度，解码为批大小乘每步令牌数。</t>
  </si>
  <si>
    <t>因果原始窗口对数</t>
  </si>
  <si>
    <t>对数/序列</t>
  </si>
  <si>
    <t>因果原始窗口路径中可参与注意力计算的令牌对数量，按每个序列统计。</t>
  </si>
  <si>
    <t>封顶短压缩对数</t>
  </si>
  <si>
    <t>短压缩路径的候选令牌对数量；按短压缩比例折叠，并受 Top-K 候选上限约束。</t>
  </si>
  <si>
    <t>长压缩对数</t>
  </si>
  <si>
    <t>长压缩路径按长压缩比例折叠后的候选令牌对数量。</t>
  </si>
  <si>
    <t>Indexer 扫描对数</t>
  </si>
  <si>
    <t>ratio-4 Indexer 评分时需要扫描的压缩条目数量，作为索引器计算量输入。</t>
  </si>
  <si>
    <t>专家激活概率</t>
  </si>
  <si>
    <t>概率</t>
  </si>
  <si>
    <t>在当前场景令牌数下，单个路由专家至少被激活一次的概率，用于估算路由专家参数读取量。</t>
  </si>
  <si>
    <t>整网与主要模块汇总</t>
  </si>
  <si>
    <t>类别</t>
  </si>
  <si>
    <t>TP1 容量</t>
  </si>
  <si>
    <t>TP1 算力</t>
  </si>
  <si>
    <t>TP1 集合通信数据量</t>
  </si>
  <si>
    <t>TP8 容量/rank</t>
  </si>
  <si>
    <t>TP8 算力/rank</t>
  </si>
  <si>
    <t>TP8 集合通信数据量/rank</t>
  </si>
  <si>
    <t>参数类型</t>
  </si>
  <si>
    <t>激活类型</t>
  </si>
  <si>
    <t>说明</t>
  </si>
  <si>
    <t>整网</t>
  </si>
  <si>
    <t>全推理路径；容量含 MaxContext KV/State；整网容量 = 静态参数 + 预分配 KV/State。</t>
  </si>
  <si>
    <t>FP8 / FP4 / BF16 / FP32</t>
  </si>
  <si>
    <t>BF16 / FP32 / INT32</t>
  </si>
  <si>
    <t>Window + short/long + Indexer；分类容量为 Attention 静态参数；缓存明细在下表。</t>
  </si>
  <si>
    <t>FP8 / BF16 / FP32</t>
  </si>
  <si>
    <t>BF16 / FP32</t>
  </si>
  <si>
    <t>All active layers；路由专家、共享专家和 Router。</t>
  </si>
  <si>
    <t>FP4 / FP8 / BF16 / FP32 / INT32</t>
  </si>
  <si>
    <t>Embedding</t>
  </si>
  <si>
    <t>Input embedding；词表维度按 TP 分片。</t>
  </si>
  <si>
    <t>BF16</t>
  </si>
  <si>
    <t>BF16 hidden / residual</t>
  </si>
  <si>
    <t>LM Head</t>
  </si>
  <si>
    <t>Model tail；词表维度按 TP 分片；Prefill 只计算最后一个 token 的 logits。</t>
  </si>
  <si>
    <t>FP32</t>
  </si>
  <si>
    <t>FP32 logits</t>
  </si>
  <si>
    <t>Norm</t>
  </si>
  <si>
    <t>Block norms + final norm；含注意力 Sink 向量的参数容量。</t>
  </si>
  <si>
    <t>BF16 -&gt; FP32 -&gt; BF16</t>
  </si>
  <si>
    <t>Block HC + tail HC head；含 block HC 和模型尾部 HC head。</t>
  </si>
  <si>
    <t>FP32 mixing + BF16 hidden/residual</t>
  </si>
  <si>
    <t>residual</t>
  </si>
  <si>
    <t>HC state workspace；临时 workspace 不重复计入目标 HBM 带宽推导和驻留容量。</t>
  </si>
  <si>
    <t>N/A</t>
  </si>
  <si>
    <t>BF16 residual / HC state</t>
  </si>
  <si>
    <t>典型层与模块明细</t>
  </si>
  <si>
    <t>典型层/模块</t>
  </si>
  <si>
    <t>层范围</t>
  </si>
  <si>
    <t>Input embedding</t>
  </si>
  <si>
    <t>BF16 embedding weights</t>
  </si>
  <si>
    <t>按令牌读取本地词表分片并生成 BF16 hidden；Embedding 后的集合通信已计入本行。</t>
  </si>
  <si>
    <t>Q/K/O projections</t>
  </si>
  <si>
    <t>All active layers</t>
  </si>
  <si>
    <t>FP8 E4M3 + E8M0 scales; wo_a BF16</t>
  </si>
  <si>
    <t>BF16 input/output; FP8 GEMM activations</t>
  </si>
  <si>
    <t>Wq_a 和 Wkv 在每个 TP Rank 上复制；Wq_b/Wo_a/Wo_b 按 TP 分片。</t>
  </si>
  <si>
    <t>Window sparse attention</t>
  </si>
  <si>
    <t>Window layers</t>
  </si>
  <si>
    <t>BF16 Q/K/V; BF16 window KV</t>
  </si>
  <si>
    <t>KV 在各头之间共享；每个 Rank 的内核头数包含最小头数补齐。</t>
  </si>
  <si>
    <t>Short-compression sparse attention</t>
  </si>
  <si>
    <t>Ratio-4 short-compression layers</t>
  </si>
  <si>
    <t>BF16 Q/K; BF16 compressed KV</t>
  </si>
  <si>
    <t>Long-compression sparse attention</t>
  </si>
  <si>
    <t>Ratio-128 long-compression layers</t>
  </si>
  <si>
    <t>Ratio-4 Indexer projections</t>
  </si>
  <si>
    <t>FP8/BF16 Indexer projection weights</t>
  </si>
  <si>
    <t>BF16 projected features; FP32 scoring</t>
  </si>
  <si>
    <t>Indexer Q 和令牌权重投影；仅 ratio-4 层使用。</t>
  </si>
  <si>
    <t>Ratio-4 Indexer score scan</t>
  </si>
  <si>
    <t>BF16 compressed entries; FP32 scores</t>
  </si>
  <si>
    <t>在选取 Top-K 前扫描所有已完成的 ratio-4 索引条目。</t>
  </si>
  <si>
    <t>Short-compression KV compressor</t>
  </si>
  <si>
    <t>FP32 Compressor parameters</t>
  </si>
  <si>
    <t>FP32 compression; BF16 KV output</t>
  </si>
  <si>
    <t>每个 TP Rank 都复制；ratio-4 使用重叠的 2 倍投影。</t>
  </si>
  <si>
    <t>Long-compression KV compressor</t>
  </si>
  <si>
    <t>每个 TP Rank 都复制；ratio-128 使用非重叠压缩。</t>
  </si>
  <si>
    <t>Indexer compressor projections</t>
  </si>
  <si>
    <t>FP32 Indexer Compressor parameters</t>
  </si>
  <si>
    <t>FP32 compression; BF16 Indexer KV</t>
  </si>
  <si>
    <t>复制的辅助 Compressor，用于构建 Indexer 缓存。</t>
  </si>
  <si>
    <t>Attention collectives</t>
  </si>
  <si>
    <t>Each Transformer block</t>
  </si>
  <si>
    <t>BF16/FP32 collective payload</t>
  </si>
  <si>
    <t>每个 Transformer block 的 Attention 隐藏状态集合通信；TP=1 时为零。</t>
  </si>
  <si>
    <t>Prefill effective main KV</t>
  </si>
  <si>
    <t>Scenario cache/state</t>
  </si>
  <si>
    <t>BF16 main KV cache</t>
  </si>
  <si>
    <t>预填充阶段已生成的主注意力 KV。</t>
  </si>
  <si>
    <t>Prefill effective Indexer KV</t>
  </si>
  <si>
    <t>BF16 Indexer KV cache</t>
  </si>
  <si>
    <t>预填充阶段已生成的 ratio-4 Indexer KV。</t>
  </si>
  <si>
    <t>Prefill compressor states</t>
  </si>
  <si>
    <t>FP32 compressor state</t>
  </si>
  <si>
    <t>预填充阶段的 Compressor 与 Indexer 状态。</t>
  </si>
  <si>
    <t>Prefill preallocated KV + states</t>
  </si>
  <si>
    <t>BF16 KV + FP32 state</t>
  </si>
  <si>
    <t>按 MaxContext 为预填充阶段预分配；不与有效容量相加。</t>
  </si>
  <si>
    <t>Router score projection</t>
  </si>
  <si>
    <t>BF16 gate + FP32 bias + INT32 Token-ID lookup table</t>
  </si>
  <si>
    <t>BF16 hidden; FP32 scores; INT32 indices</t>
  </si>
  <si>
    <t>即使是哈希路由层，源码仍会计算 Gate 分数。</t>
  </si>
  <si>
    <t>Top-K routed experts</t>
  </si>
  <si>
    <t>FP4 E2M1 + E8M0 scales</t>
  </si>
  <si>
    <t>BF16 input/output; FP32 SwiGLU</t>
  </si>
  <si>
    <t>每个 Rank 的均衡期望分配；参数读取使用专家至少被触发一次的概率。</t>
  </si>
  <si>
    <t>Shared expert</t>
  </si>
  <si>
    <t>FP8 E4M3 + E8M0 scales</t>
  </si>
  <si>
    <t>共享专家在每个 TP Rank 上复制，并独立计算。</t>
  </si>
  <si>
    <t>MoE collectives</t>
  </si>
  <si>
    <t>每个 Transformer block 的 MoE 隐藏状态集合通信；TP=1 时为零。</t>
  </si>
  <si>
    <t>Hyper-Connections</t>
  </si>
  <si>
    <t>All active layers + model tail HC head</t>
  </si>
  <si>
    <t>FP32 HC parameters</t>
  </si>
  <si>
    <t>FP32 mixing; BF16 hidden and residual state</t>
  </si>
  <si>
    <t>HC 计算为近似值；尾部 HC head 与 block HC 都在此计入，sigmoid/exp/Sinkhorn 仅做定性跟踪。</t>
  </si>
  <si>
    <t>All active layers + final norm</t>
  </si>
  <si>
    <t>FP32 normalization parameters</t>
  </si>
  <si>
    <t>BF16 input/output; FP32 normalization</t>
  </si>
  <si>
    <t>RMSNorm 在 FP32 中计算，输出回到 BF16；注意力 Sink 向量的参数容量随 Norm 组件计入。</t>
  </si>
  <si>
    <t>HC state workspace</t>
  </si>
  <si>
    <t>临时 BF16 residual/HC state 不重复计入目标 HBM 带宽推导；驻留容量口径在场景汇总中单独说明。</t>
  </si>
  <si>
    <t>Tail</t>
  </si>
  <si>
    <t>FP32 LM Head parameters</t>
  </si>
  <si>
    <t>推理路径仅根据最后一个隐藏令牌计算 logits；词表 AllGather 集合通信已计入本行。</t>
  </si>
  <si>
    <t>1M-context Decode - TP1 vs TP8 inference resources</t>
  </si>
  <si>
    <t>原始窗口候选数</t>
  </si>
  <si>
    <t>解码时原始滑动窗口可见的候选条目数量，受窗口大小和当前上下文长度限制。</t>
  </si>
  <si>
    <t>短压缩 Top-K 候选数</t>
  </si>
  <si>
    <t>解码时短压缩路径最终保留的 Top-K 候选数量，取 Top-K 与已生成压缩条目数的较小值。</t>
  </si>
  <si>
    <t>长压缩候选数</t>
  </si>
  <si>
    <t>解码时长压缩路径按长压缩比例生成的候选条目数量。</t>
  </si>
  <si>
    <t>Indexer 扫描候选数</t>
  </si>
  <si>
    <t>解码时 ratio-4 Indexer 需要扫描的压缩条目数量，用于估算索引器评分计算量。</t>
  </si>
  <si>
    <t>Decode effective main KV</t>
  </si>
  <si>
    <t>解码阶段的主注意力 KV。</t>
  </si>
  <si>
    <t>Decode effective Indexer KV</t>
  </si>
  <si>
    <t>解码阶段已生成的 ratio-4 Indexer KV。</t>
  </si>
  <si>
    <t>Decode compressor states</t>
  </si>
  <si>
    <t>解码阶段的 Compressor 与 Indexer 状态。</t>
  </si>
  <si>
    <t>Decode preallocated KV + states</t>
  </si>
  <si>
    <t>按 MaxContext 为解码阶段预分配；不与有效容量相加。</t>
  </si>
  <si>
    <t>Inference-Path Data Types (dtype) Overview</t>
  </si>
  <si>
    <t>集中记录各算子模块的参数存储、激活类型和逐层注意力/路由模式。</t>
  </si>
  <si>
    <t>Data types (dtype): module-level storage and compute types</t>
  </si>
  <si>
    <t>Scope</t>
  </si>
  <si>
    <t>Module/tensor</t>
  </si>
  <si>
    <t>Checkpoint/parameter storage</t>
  </si>
  <si>
    <t>Activation/intermediate computation</t>
  </si>
  <si>
    <t>Notes</t>
  </si>
  <si>
    <t>Global config</t>
  </si>
  <si>
    <t>torch_dtype / main activations</t>
  </si>
  <si>
    <t>config.json 的 torch_dtype=bfloat16；隐藏状态与残差主路径使用 BF16。</t>
  </si>
  <si>
    <t>Standard quantized linear layers</t>
  </si>
  <si>
    <t>FP8 E4M3 + FP8 E8M0 scale factors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</si>
  <si>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</si>
  <si>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</si>
  <si>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</si>
  <si>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</si>
  <si>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</si>
  <si>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大多数注意力线性权重。</t>
  </si>
  <si>
    <t>Attention output projection wo_a</t>
  </si>
  <si>
    <t>BF16 tensor product (einsum)</t>
  </si>
  <si>
    <t>检查点中为 FP8，转换后在推理实现中按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</si>
  <si>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</si>
  <si>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</si>
  <si>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</si>
  <si>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</si>
  <si>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</si>
  <si>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</si>
  <si>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</si>
  <si>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</si>
  <si>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</si>
  <si>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Ratio-4 layers</t>
  </si>
  <si>
    <t>Indexer projections and scoring</t>
  </si>
  <si>
    <t>wq_b FP8; weights_proj BF16</t>
  </si>
  <si>
    <t>QAT/FP4 simulated QKV; FP32 scoring</t>
  </si>
  <si>
    <t>仅 ratio-4 层启用 Indexer。</t>
  </si>
  <si>
    <t>Routed experts w1/w2/w3</t>
  </si>
  <si>
    <t>FP4 E2M1 packed + FP8 E8M0 scale factors</t>
  </si>
  <si>
    <t>FP4 GEMM; SwiGLU FP32; output cast to BF16</t>
  </si>
  <si>
    <t>专家数据类型为 fp4；每个令牌激活 6 个路由专家。</t>
  </si>
  <si>
    <t>Shared experts w1/w2/w3</t>
  </si>
  <si>
    <t>FP8 GEMM; SwiGLU FP32</t>
  </si>
  <si>
    <t>每层 1 个共享专家，跨 TP Rank 复制。</t>
  </si>
  <si>
    <t>Router scores/routing weights</t>
  </si>
  <si>
    <t>FP32 bias; INT32 Token-ID lookup table</t>
  </si>
  <si>
    <t>sqrt(softplus) 评分、Top-K 和归一化在 FP32 中完成；前 3 层使用 Token-ID 查表路由。</t>
  </si>
  <si>
    <t>Layers 0-2</t>
  </si>
  <si>
    <t>Token-ID routing table</t>
  </si>
  <si>
    <t>INT32</t>
  </si>
  <si>
    <t>INT32 indexing</t>
  </si>
  <si>
    <t>前 3 层使用令牌编号到专家编号的预计算路由。</t>
  </si>
  <si>
    <t>mHC parameters / attention sinks</t>
  </si>
  <si>
    <t>HC 混合、Sinkhorn 与 Sink 参数使用 FP32。</t>
  </si>
  <si>
    <t>KV cache</t>
  </si>
  <si>
    <t>BF16; partial non-RoPE dimensions simulated with FP8</t>
  </si>
  <si>
    <t>当前推理实现中的 KV 缓存为 BF16。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</si>
  <si>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</si>
  <si>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</si>
  <si>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</si>
  <si>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</si>
  <si>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</si>
  <si>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</si>
  <si>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</si>
  <si>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</si>
  <si>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</si>
  <si>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</si>
  <si>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</si>
  <si>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</si>
  <si>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</si>
  <si>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</si>
  <si>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</si>
  <si>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</si>
  <si>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</si>
  <si>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Token-ID lookup routing (INT32)</t>
  </si>
  <si>
    <t>FP8 E4M3; wo_a BF16</t>
  </si>
  <si>
    <t>FP4 E2M1</t>
  </si>
  <si>
    <t>FP8 E4M3</t>
  </si>
  <si>
    <t>Short-compression sparse</t>
  </si>
  <si>
    <t>Long-compression</t>
  </si>
  <si>
    <t>Score routing (FP32)</t>
  </si>
  <si>
    <t>TP1 / TP8 Inference Resource Comparison Charts</t>
  </si>
  <si>
    <t>计算量、目标 HBM 带宽、参数、缓存、驻留容量与集合通信量集中在一张资源表；隐藏列保留底层访问公式和图表缩放源。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</si>
  <si>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</si>
  <si>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</si>
  <si>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</si>
  <si>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</si>
  <si>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</si>
  <si>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</si>
  <si>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</si>
  <si>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</si>
  <si>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其他推理 FLOPs</t>
  </si>
  <si>
    <t>总推理 FLOPs</t>
  </si>
  <si>
    <t>注意力所需 HBM 带宽</t>
  </si>
  <si>
    <t>按参数页中的目标时延换算；不是实测带宽。</t>
  </si>
  <si>
    <t>混合专家所需 HBM 带宽</t>
  </si>
  <si>
    <t>其他所需 HBM 带宽</t>
  </si>
  <si>
    <t>Compute required at target latency</t>
  </si>
  <si>
    <t>按目标时延折算的每 Rank 最低计算吞吐需求。</t>
  </si>
  <si>
    <t>卡间互连传输量</t>
  </si>
  <si>
    <t>Ring 集合通信每 Rank 发送加接收；TP1 为 0。</t>
  </si>
  <si>
    <t>Required interconnect bandwidth</t>
  </si>
  <si>
    <t>未考虑通信与计算重叠、拓扑和协议效率。</t>
  </si>
  <si>
    <t>注意力逻辑参数量</t>
  </si>
  <si>
    <t>注意力投影、Compressor、Indexer。</t>
  </si>
  <si>
    <t>混合专家逻辑参数量</t>
  </si>
  <si>
    <t>路由/共享专家与 Router。</t>
  </si>
  <si>
    <t>其他逻辑参数量</t>
  </si>
  <si>
    <t>Embedding、LM Head、HC 与 Norm。</t>
  </si>
  <si>
    <t>总逻辑参数量</t>
  </si>
  <si>
    <t>不包含 MTP。</t>
  </si>
  <si>
    <t>注意力参数容量</t>
  </si>
  <si>
    <t>按推理 dtype 与量化 Scale 计算。</t>
  </si>
  <si>
    <t>混合专家参数容量</t>
  </si>
  <si>
    <t>路由专家 FP4、共享专家 FP8、Router 复制。</t>
  </si>
  <si>
    <t>其他参数容量</t>
  </si>
  <si>
    <t>总参数容量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</si>
  <si>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</si>
  <si>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</si>
  <si>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</si>
  <si>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</si>
  <si>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状态</t>
  </si>
  <si>
    <t>Preallocated KV + state</t>
  </si>
  <si>
    <t>Total resident capacity</t>
  </si>
  <si>
    <t>参数 + 按 MaxContext 预分配的 KV/状态；不含临时工作区。</t>
  </si>
  <si>
    <t>一次推理所需计算量</t>
  </si>
  <si>
    <t>单次推理调用的单 Rank 总 FLOPs；不除以目标时延。</t>
  </si>
  <si>
    <t>One-inference TFLOPs</t>
  </si>
  <si>
    <t>Prefill TP8</t>
  </si>
  <si>
    <t>Decode TP8</t>
  </si>
  <si>
    <t>TP1 TFLOPs</t>
  </si>
  <si>
    <t>TP8 TFLOPs</t>
  </si>
  <si>
    <t>Other</t>
  </si>
  <si>
    <t>TP1 GFLOPs</t>
  </si>
  <si>
    <t>TP8 GFLOPs</t>
  </si>
  <si>
    <t>TP1 GB</t>
  </si>
  <si>
    <t>TP8 GB</t>
  </si>
  <si>
    <t>Prefill</t>
  </si>
  <si>
    <t>Decode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</si>
  <si>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</si>
  <si>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</si>
  <si>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</si>
  <si>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</si>
  <si>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</si>
  <si>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</si>
  <si>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按参数页中的目标时延换算。</t>
  </si>
  <si>
    <t>单次推理调用的单 Rank 总 FLOPs；不除以目标时延，延迟由芯片峰值算力另行估算。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</si>
  <si>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</si>
  <si>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</si>
  <si>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</si>
  <si>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</si>
  <si>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</si>
  <si>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</si>
  <si>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</si>
  <si>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</si>
  <si>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</si>
  <si>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</si>
  <si>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</si>
  <si>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</si>
  <si>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</si>
  <si>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Mode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</si>
  <si>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</si>
  <si>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</si>
  <si>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</si>
  <si>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</si>
  <si>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</si>
  <si>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</si>
  <si>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</si>
  <si>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Definition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</si>
  <si>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</si>
  <si>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</si>
  <si>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</si>
  <si>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</si>
  <si>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</si>
  <si>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</si>
  <si>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</si>
  <si>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路由专家和共享专家；专家命中概率用于估算逻辑访问需求。</t>
  </si>
  <si>
    <t>Required HBM bandwidth</t>
  </si>
  <si>
    <t>仅按目标时延推导所需 HBM 带宽，不把本地逻辑读写量作为独立可见统计；不模拟 L2 命中、算子融合、分块、Allocator 或厂商 Kernel 内部复用。</t>
  </si>
  <si>
    <t>Memory</t>
  </si>
  <si>
    <t>按推理运行 dtype 估算：路由专家 FP4、多数投影 FP8、Wo_a BF16、Compressor FP32、LM Head FP32，并计入量化 Scale。</t>
  </si>
  <si>
    <t>Scenario tables</t>
  </si>
  <si>
    <t>Prefill_8K 和 Decode_1M 各含两张表：整网资源汇总与典型层/模块明细；两张表共享 TP1/TP8 的容量、算力、集合通信数据量、参数类型和激活类型列；底层 HBM 访问量仅保留在隐藏审计列中用于推导目标带宽。</t>
  </si>
  <si>
    <t>Resource categories</t>
  </si>
  <si>
    <t>汇总分类为 Attention、MoE、Embedding、LM Head、Norm、HC、residual；residual 是 BF16/HC state 工作区，不重复计入驻留容量或目标 HBM 带宽推导。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</si>
  <si>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</si>
  <si>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</si>
  <si>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</si>
  <si>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Communication</t>
  </si>
  <si>
    <t>Ring 公式给出每 Rank 发送加接收的数据量。TP1 为 0；该数值是传输量，不是实测 GB/s 或时延。</t>
  </si>
  <si>
    <t>Roofline</t>
  </si>
  <si>
    <t>计算/HBM/互连下界使用参数页中的可编辑硬件峰值并假设互不重叠；真实运行时间必须通过性能分析验证。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</si>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</sst>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7">
    <numFmt numFmtId="164" formatCode="0.######## &quot;Rank&quot;"/>
    <numFmt numFmtId="165" formatCode="0.######## &quot;序列&quot;"/>
    <numFmt numFmtId="166" formatCode="0.######## &quot;令牌&quot;"/>
    <numFmt numFmtId="167" formatCode="0.######## &quot;元素&quot;"/>
    <numFmt numFmtId="168" formatCode="0.######## &quot;头&quot;"/>
    <numFmt numFmtId="169" formatCode="0.######## &quot;组&quot;"/>
    <numFmt numFmtId="170" formatCode="0.######## &quot;专家&quot;"/>
    <numFmt numFmtId="171" formatCode="0.######## &quot;专家/令牌&quot;"/>
    <numFmt numFmtId="172" formatCode="0.######## &quot;令牌/条目&quot;"/>
    <numFmt numFmtId="173" formatCode="0.######## &quot;条目&quot;"/>
    <numFmt numFmtId="174" formatCode="0.######## &quot;流&quot;"/>
    <numFmt numFmtId="175" formatCode="0.######## &quot;迭代&quot;"/>
    <numFmt numFmtId="176" formatCode="0.######## &quot;层&quot;"/>
    <numFmt numFmtId="177" formatCode="0.######## &quot;字节&quot;"/>
    <numFmt numFmtId="178" formatCode="0.######## &quot;TFLOP/s&quot;"/>
    <numFmt numFmtId="179" formatCode="0.######## &quot;GB/s&quot;"/>
    <numFmt numFmtId="180" formatCode="0.######## &quot;ms&quot;"/>
    <numFmt numFmtId="181" formatCode="0.######## &quot;头/Rank&quot;"/>
    <numFmt numFmtId="182" formatCode="0.######## &quot;专家/Rank&quot;"/>
    <numFmt numFmtId="183" formatCode="0.######## &quot;组/Rank&quot;"/>
    <numFmt numFmtId="184" formatCode="0.######## &quot;令牌/Rank&quot;"/>
    <numFmt numFmtId="185" formatCode="0.######## &quot;令牌行&quot;"/>
    <numFmt numFmtId="186" formatCode="0.######## &quot;对数/序列&quot;"/>
    <numFmt numFmtId="187" formatCode="0.######## &quot;概率&quot;"/>
    <numFmt numFmtId="188" formatCode="#,##0.000"/>
    <numFmt numFmtId="189" formatCode="#,##0"/>
    <numFmt numFmtId="190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0" fontId="3" fillId="5" borderId="1" xfId="0" applyFont="1" applyFill="1" applyBorder="1"/>
    <xf numFmtId="188" fontId="4" fillId="6" borderId="1" xfId="0" applyNumberFormat="1" applyFont="1" applyFill="1" applyBorder="1"/>
    <xf numFmtId="188" fontId="0" fillId="0" borderId="1" xfId="0" applyNumberFormat="1" applyBorder="1"/>
    <xf numFmtId="188" fontId="0" fillId="0" borderId="1" xfId="0" applyNumberFormat="1" applyBorder="1" applyAlignment="1">
      <alignment horizontal="right"/>
    </xf>
    <xf numFmtId="189" fontId="0" fillId="0" borderId="1" xfId="0" applyNumberFormat="1" applyBorder="1"/>
    <xf numFmtId="190" fontId="0" fillId="3" borderId="1" xfId="0" applyNumberFormat="1" applyFill="1" applyBorder="1"/>
    <xf numFmtId="190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Comparison!$S$32:$S$35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Comparison!$T$32:$T$35</c:f>
              <c:numCache>
                <c:formatCode>General</c:formatCode>
                <c:ptCount val="4"/>
                <c:pt idx="0">
                  <c:v>228.39768211456</c:v>
                </c:pt>
                <c:pt idx="1">
                  <c:v>55.652568907776</c:v>
                </c:pt>
                <c:pt idx="2">
                  <c:v>0.14035575211</c:v>
                </c:pt>
                <c:pt idx="3">
                  <c:v>0.023549694126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Comparison!$S$39:$S$41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Comparison!$T$39:$T$41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0.715535007744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Comparison!$S$39:$S$41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Comparison!$U$39:$U$41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0.714608328704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Comparison!$S$46:$S$48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Comparison!$T$46:$T$48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1.146278062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Comparison!$S$46:$S$48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Comparison!$U$46:$U$48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0.219599022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Comparison!$S$53:$S$55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Comparison!$T$53:$T$55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Comparison!$S$53:$S$55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Comparison!$U$53:$U$55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TP8: inference resident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Comparison!$S$60:$S$61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Comparison!$T$60:$T$61</c:f>
              <c:numCache>
                <c:formatCode>General</c:formatCode>
                <c:ptCount val="2"/>
                <c:pt idx="0">
                  <c:v>166.349315548</c:v>
                </c:pt>
                <c:pt idx="1">
                  <c:v>166.349315548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Comparison!$S$60:$S$61</c:f>
              <c:strCache>
                <c:ptCount val="2"/>
                <c:pt idx="0">
                  <c:v>Prefill</c:v>
                </c:pt>
                <c:pt idx="1">
                  <c:v>Decode</c:v>
                </c:pt>
              </c:strCache>
            </c:strRef>
          </c:cat>
          <c:val>
            <c:numRef>
              <c:f>Comparison!$U$60:$U$61</c:f>
              <c:numCache>
                <c:formatCode>General</c:formatCode>
                <c:ptCount val="2"/>
                <c:pt idx="0">
                  <c:v>29.581867388</c:v>
                </c:pt>
                <c:pt idx="1">
                  <c:v>29.581867388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</xdr:row>
      <xdr:rowOff>0</xdr:rowOff>
    </xdr:from>
    <xdr:to>
      <xdr:col>3</xdr:col>
      <xdr:colOff>1038225</xdr:colOff>
      <xdr:row>46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3</xdr:col>
      <xdr:colOff>1038225</xdr:colOff>
      <xdr:row>63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238125</xdr:colOff>
      <xdr:row>47</xdr:row>
      <xdr:rowOff>0</xdr:rowOff>
    </xdr:from>
    <xdr:to>
      <xdr:col>5</xdr:col>
      <xdr:colOff>4705350</xdr:colOff>
      <xdr:row>63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64</xdr:row>
      <xdr:rowOff>0</xdr:rowOff>
    </xdr:from>
    <xdr:to>
      <xdr:col>3</xdr:col>
      <xdr:colOff>1038225</xdr:colOff>
      <xdr:row>80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238125</xdr:colOff>
      <xdr:row>64</xdr:row>
      <xdr:rowOff>0</xdr:rowOff>
    </xdr:from>
    <xdr:to>
      <xdr:col>5</xdr:col>
      <xdr:colOff>4705350</xdr:colOff>
      <xdr:row>80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Resource_Summary" displayName="PF_Resource_Summary" ref="A12:J20" totalsRowShown="0">
  <autoFilter ref="A12:J20"/>
  <tableColumns count="10">
    <tableColumn id="1" name="类别"/>
    <tableColumn id="2" name="TP1 容量"/>
    <tableColumn id="3" name="TP1 算力"/>
    <tableColumn id="4" name="TP1 集合通信数据量"/>
    <tableColumn id="5" name="TP8 容量/rank"/>
    <tableColumn id="6" name="TP8 算力/rank"/>
    <tableColumn id="7" name="TP8 集合通信数据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Typical_Layer_Detail" displayName="PF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集合通信数据量"/>
    <tableColumn id="7" name="TP8 容量/rank"/>
    <tableColumn id="8" name="TP8 算力/rank"/>
    <tableColumn id="9" name="TP8 集合通信数据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C_Resource_Summary" displayName="DC_Resource_Summary" ref="A12:J20" totalsRowShown="0">
  <autoFilter ref="A12:J20"/>
  <tableColumns count="10">
    <tableColumn id="1" name="类别"/>
    <tableColumn id="2" name="TP1 容量"/>
    <tableColumn id="3" name="TP1 算力"/>
    <tableColumn id="4" name="TP1 集合通信数据量"/>
    <tableColumn id="5" name="TP8 容量/rank"/>
    <tableColumn id="6" name="TP8 算力/rank"/>
    <tableColumn id="7" name="TP8 集合通信数据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C_Typical_Layer_Detail" displayName="DC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集合通信数据量"/>
    <tableColumn id="7" name="TP8 容量/rank"/>
    <tableColumn id="8" name="TP8 算力/rank"/>
    <tableColumn id="9" name="TP8 集合通信数据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Type_Module" displayName="DType_Module" ref="A5:E20" totalsRowShown="0">
  <autoFilter ref="A5:E20"/>
  <tableColumns count="5">
    <tableColumn id="1" name="Scope"/>
    <tableColumn id="2" name="Module/tensor"/>
    <tableColumn id="3" name="Checkpoint/parameter storage"/>
    <tableColumn id="4" name="Activation/intermediate computation"/>
    <tableColumn id="5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Comparison_Resource_Overview" displayName="Comparison_Resource_Overview" ref="A4:F28" totalsRowShown="0">
  <autoFilter ref="A4:F28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136</v>
      </c>
      <c r="B44" s="4" t="s">
        <v>140</v>
      </c>
      <c r="C44" s="4" t="s">
        <v>141</v>
      </c>
      <c r="D44" s="20">
        <v>3000</v>
      </c>
      <c r="E44" s="4" t="s">
        <v>142</v>
      </c>
    </row>
    <row r="45" spans="1:5">
      <c r="A45" s="4" t="s">
        <v>136</v>
      </c>
      <c r="B45" s="4" t="s">
        <v>143</v>
      </c>
      <c r="C45" s="4" t="s">
        <v>144</v>
      </c>
      <c r="D45" s="20">
        <v>900</v>
      </c>
      <c r="E45" s="4" t="s">
        <v>145</v>
      </c>
    </row>
    <row r="46" spans="1:5">
      <c r="A46" s="4" t="s">
        <v>136</v>
      </c>
      <c r="B46" s="4" t="s">
        <v>146</v>
      </c>
      <c r="C46" s="4" t="s">
        <v>147</v>
      </c>
      <c r="D46" s="21">
        <v>1000</v>
      </c>
      <c r="E46" s="4" t="s">
        <v>148</v>
      </c>
    </row>
    <row r="47" spans="1:5">
      <c r="A47" s="4" t="s">
        <v>136</v>
      </c>
      <c r="B47" s="4" t="s">
        <v>149</v>
      </c>
      <c r="C47" s="4" t="s">
        <v>150</v>
      </c>
      <c r="D47" s="21">
        <v>10</v>
      </c>
      <c r="E47" s="4" t="s">
        <v>148</v>
      </c>
    </row>
    <row r="48" spans="1:5">
      <c r="A48" s="4" t="s">
        <v>151</v>
      </c>
      <c r="B48" s="4" t="s">
        <v>152</v>
      </c>
      <c r="C48" s="4" t="s">
        <v>153</v>
      </c>
      <c r="D48" s="22">
        <f>SUM(Layer_Config!$B$4:$B$67)</f>
        <v>43</v>
      </c>
      <c r="E48" s="4" t="s">
        <v>154</v>
      </c>
    </row>
    <row r="49" spans="1:5">
      <c r="A49" s="4" t="s">
        <v>151</v>
      </c>
      <c r="B49" s="4" t="s">
        <v>155</v>
      </c>
      <c r="C49" s="4" t="s">
        <v>156</v>
      </c>
      <c r="D49" s="22">
        <f>COUNTIFS(Layer_Config!$B$4:$B$67,1,Layer_Config!$C$4:$C$67,"window")</f>
        <v>2</v>
      </c>
      <c r="E49" s="4" t="s">
        <v>157</v>
      </c>
    </row>
    <row r="50" spans="1:5">
      <c r="A50" s="4" t="s">
        <v>151</v>
      </c>
      <c r="B50" s="4" t="s">
        <v>158</v>
      </c>
      <c r="C50" s="4" t="s">
        <v>159</v>
      </c>
      <c r="D50" s="22">
        <f>COUNTIFS(Layer_Config!$B$4:$B$67,1,Layer_Config!$C$4:$C$67,"short")</f>
        <v>21</v>
      </c>
      <c r="E50" s="4" t="s">
        <v>160</v>
      </c>
    </row>
    <row r="51" spans="1:5">
      <c r="A51" s="4" t="s">
        <v>151</v>
      </c>
      <c r="B51" s="4" t="s">
        <v>161</v>
      </c>
      <c r="C51" s="4" t="s">
        <v>162</v>
      </c>
      <c r="D51" s="22">
        <f>COUNTIFS(Layer_Config!$B$4:$B$67,1,Layer_Config!$C$4:$C$67,"long")</f>
        <v>20</v>
      </c>
      <c r="E51" s="4" t="s">
        <v>163</v>
      </c>
    </row>
    <row r="52" spans="1:5">
      <c r="A52" s="4" t="s">
        <v>151</v>
      </c>
      <c r="B52" s="4" t="s">
        <v>164</v>
      </c>
      <c r="C52" s="4" t="s">
        <v>165</v>
      </c>
      <c r="D52" s="22">
        <f>COUNTIFS(Layer_Config!$B$4:$B$67,1,Layer_Config!$A$4:$A$67,"&lt;"&amp;HashLayers)</f>
        <v>3</v>
      </c>
      <c r="E52" s="4" t="s">
        <v>166</v>
      </c>
    </row>
    <row r="53" spans="1:5">
      <c r="A53" s="4" t="s">
        <v>151</v>
      </c>
      <c r="B53" s="4" t="s">
        <v>167</v>
      </c>
      <c r="C53" s="4" t="s">
        <v>168</v>
      </c>
      <c r="D53" s="23">
        <f>NumHeads/TP1Size</f>
        <v>64.0</v>
      </c>
      <c r="E53" s="4" t="s">
        <v>169</v>
      </c>
    </row>
    <row r="54" spans="1:5">
      <c r="A54" s="4" t="s">
        <v>151</v>
      </c>
      <c r="B54" s="4" t="s">
        <v>170</v>
      </c>
      <c r="C54" s="4" t="s">
        <v>171</v>
      </c>
      <c r="D54" s="23">
        <f>MAX(TP1LocalHeads,KernelMinHeads)</f>
        <v>64.0</v>
      </c>
      <c r="E54" s="4" t="s">
        <v>172</v>
      </c>
    </row>
    <row r="55" spans="1:5">
      <c r="A55" s="4" t="s">
        <v>151</v>
      </c>
      <c r="B55" s="4" t="s">
        <v>173</v>
      </c>
      <c r="C55" s="4" t="s">
        <v>174</v>
      </c>
      <c r="D55" s="23">
        <f>IndexHeads/TP1Size</f>
        <v>64.0</v>
      </c>
      <c r="E55" s="4" t="s">
        <v>175</v>
      </c>
    </row>
    <row r="56" spans="1:5">
      <c r="A56" s="4" t="s">
        <v>151</v>
      </c>
      <c r="B56" s="4" t="s">
        <v>176</v>
      </c>
      <c r="C56" s="4" t="s">
        <v>177</v>
      </c>
      <c r="D56" s="24">
        <f>RoutedExperts/TP1Size</f>
        <v>256.0</v>
      </c>
      <c r="E56" s="4" t="s">
        <v>178</v>
      </c>
    </row>
    <row r="57" spans="1:5">
      <c r="A57" s="4" t="s">
        <v>151</v>
      </c>
      <c r="B57" s="4" t="s">
        <v>179</v>
      </c>
      <c r="C57" s="4" t="s">
        <v>180</v>
      </c>
      <c r="D57" s="25">
        <f>OGroups/TP1Size</f>
        <v>8.0</v>
      </c>
      <c r="E57" s="4" t="s">
        <v>181</v>
      </c>
    </row>
    <row r="58" spans="1:5">
      <c r="A58" s="4" t="s">
        <v>151</v>
      </c>
      <c r="B58" s="4" t="s">
        <v>182</v>
      </c>
      <c r="C58" s="4" t="s">
        <v>183</v>
      </c>
      <c r="D58" s="26">
        <f>VocabSize/TP1Size</f>
        <v>129280.0</v>
      </c>
      <c r="E58" s="4" t="s">
        <v>184</v>
      </c>
    </row>
    <row r="59" spans="1:5">
      <c r="A59" s="4" t="s">
        <v>151</v>
      </c>
      <c r="B59" s="4" t="s">
        <v>185</v>
      </c>
      <c r="C59" s="4" t="s">
        <v>186</v>
      </c>
      <c r="D59" s="23">
        <f>NumHeads/TP8Size</f>
        <v>8.0</v>
      </c>
      <c r="E59" s="4" t="s">
        <v>187</v>
      </c>
    </row>
    <row r="60" spans="1:5">
      <c r="A60" s="4" t="s">
        <v>151</v>
      </c>
      <c r="B60" s="4" t="s">
        <v>188</v>
      </c>
      <c r="C60" s="4" t="s">
        <v>189</v>
      </c>
      <c r="D60" s="23">
        <f>MAX(TP8LocalHeads,KernelMinHeads)</f>
        <v>16</v>
      </c>
      <c r="E60" s="4" t="s">
        <v>172</v>
      </c>
    </row>
    <row r="61" spans="1:5">
      <c r="A61" s="4" t="s">
        <v>151</v>
      </c>
      <c r="B61" s="4" t="s">
        <v>190</v>
      </c>
      <c r="C61" s="4" t="s">
        <v>191</v>
      </c>
      <c r="D61" s="23">
        <f>IndexHeads/TP8Size</f>
        <v>8.0</v>
      </c>
      <c r="E61" s="4" t="s">
        <v>192</v>
      </c>
    </row>
    <row r="62" spans="1:5">
      <c r="A62" s="4" t="s">
        <v>151</v>
      </c>
      <c r="B62" s="4" t="s">
        <v>193</v>
      </c>
      <c r="C62" s="4" t="s">
        <v>194</v>
      </c>
      <c r="D62" s="24">
        <f>RoutedExperts/TP8Size</f>
        <v>32.0</v>
      </c>
      <c r="E62" s="4" t="s">
        <v>195</v>
      </c>
    </row>
    <row r="63" spans="1:5">
      <c r="A63" s="4" t="s">
        <v>151</v>
      </c>
      <c r="B63" s="4" t="s">
        <v>196</v>
      </c>
      <c r="C63" s="4" t="s">
        <v>197</v>
      </c>
      <c r="D63" s="25">
        <f>OGroups/TP8Size</f>
        <v>1.0</v>
      </c>
      <c r="E63" s="4" t="s">
        <v>198</v>
      </c>
    </row>
    <row r="64" spans="1:5">
      <c r="A64" s="4" t="s">
        <v>151</v>
      </c>
      <c r="B64" s="4" t="s">
        <v>199</v>
      </c>
      <c r="C64" s="4" t="s">
        <v>200</v>
      </c>
      <c r="D64" s="26">
        <f>VocabSize/TP8Size</f>
        <v>16160.0</v>
      </c>
      <c r="E64" s="4" t="s">
        <v>201</v>
      </c>
    </row>
  </sheetData>
  <autoFilter ref="A3:E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8" width="0" hidden="1" customWidth="1"/>
    <col min="31" max="38" width="0" hidden="1" customWidth="1"/>
    <col min="41" max="54" width="0" hidden="1" customWidth="1"/>
  </cols>
  <sheetData>
    <row r="1" spans="1:38">
      <c r="A1" s="1" t="s">
        <v>202</v>
      </c>
    </row>
    <row r="2" spans="1:38">
      <c r="A2" s="2" t="s">
        <v>203</v>
      </c>
    </row>
    <row r="3" spans="1:38" hidden="1">
      <c r="A3" s="3" t="s">
        <v>204</v>
      </c>
      <c r="B3" s="3" t="s">
        <v>5</v>
      </c>
      <c r="C3" s="3" t="s">
        <v>205</v>
      </c>
      <c r="D3" s="3" t="s">
        <v>6</v>
      </c>
    </row>
    <row r="4" spans="1:38" ht="54" hidden="1" customHeight="1">
      <c r="A4" s="4" t="s">
        <v>206</v>
      </c>
      <c r="B4" s="27">
        <f>PrefillBatch*PrefillSequence</f>
        <v>8192</v>
      </c>
      <c r="C4" s="4" t="s">
        <v>207</v>
      </c>
      <c r="D4" s="4" t="s">
        <v>208</v>
      </c>
    </row>
    <row r="5" spans="1:38" ht="54" hidden="1" customHeight="1">
      <c r="A5" s="4" t="s">
        <v>209</v>
      </c>
      <c r="B5" s="28">
        <f>IF(PrefillSequence&lt;=WindowSize,PrefillSequence*(PrefillSequence+1)/2,WindowSize*(WindowSize+1)/2+(PrefillSequence-WindowSize)*WindowSize)</f>
        <v>1040448</v>
      </c>
      <c r="C5" s="4" t="s">
        <v>210</v>
      </c>
      <c r="D5" s="4" t="s">
        <v>211</v>
      </c>
    </row>
    <row r="6" spans="1:38" ht="54" hidden="1" customHeight="1">
      <c r="A6" s="4" t="s">
        <v>212</v>
      </c>
      <c r="B6" s="28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210</v>
      </c>
      <c r="D6" s="4" t="s">
        <v>213</v>
      </c>
    </row>
    <row r="7" spans="1:38" ht="54" hidden="1" customHeight="1">
      <c r="A7" s="4" t="s">
        <v>214</v>
      </c>
      <c r="B7" s="28">
        <f>LongRatio*INT(PrefillSequence/LongRatio)*(INT(PrefillSequence/LongRatio)-1)/2+INT(PrefillSequence/LongRatio)*(MOD(PrefillSequence,LongRatio)+1)</f>
        <v>258112</v>
      </c>
      <c r="C7" s="4" t="s">
        <v>210</v>
      </c>
      <c r="D7" s="4" t="s">
        <v>215</v>
      </c>
    </row>
    <row r="8" spans="1:38" ht="54" hidden="1" customHeight="1">
      <c r="A8" s="4" t="s">
        <v>216</v>
      </c>
      <c r="B8" s="28">
        <f>ShortRatio*INT(PrefillSequence/ShortRatio)*(INT(PrefillSequence/ShortRatio)-1)/2+INT(PrefillSequence/ShortRatio)*(MOD(PrefillSequence,ShortRatio)+1)</f>
        <v>8386560</v>
      </c>
      <c r="C8" s="4" t="s">
        <v>210</v>
      </c>
      <c r="D8" s="4" t="s">
        <v>217</v>
      </c>
    </row>
    <row r="9" spans="1:38" ht="54" hidden="1" customHeight="1">
      <c r="A9" s="4" t="s">
        <v>218</v>
      </c>
      <c r="B9" s="29">
        <f>1-(1-ActivatedExperts/RoutedExperts)^PF_Rows</f>
        <v>1.0</v>
      </c>
      <c r="C9" s="4" t="s">
        <v>219</v>
      </c>
      <c r="D9" s="4" t="s">
        <v>220</v>
      </c>
    </row>
    <row r="11" spans="1:38">
      <c r="A11" s="30" t="s">
        <v>221</v>
      </c>
      <c r="B11" s="30"/>
      <c r="C11" s="30"/>
      <c r="D11" s="30"/>
      <c r="E11" s="30"/>
      <c r="F11" s="30"/>
      <c r="G11" s="30"/>
      <c r="H11" s="30"/>
      <c r="I11" s="30"/>
      <c r="J11" s="30"/>
    </row>
    <row r="12" spans="1:38">
      <c r="A12" t="s">
        <v>222</v>
      </c>
      <c r="B12" t="s">
        <v>223</v>
      </c>
      <c r="C12" t="s">
        <v>224</v>
      </c>
      <c r="D12" t="s">
        <v>225</v>
      </c>
      <c r="E12" t="s">
        <v>226</v>
      </c>
      <c r="F12" t="s">
        <v>227</v>
      </c>
      <c r="G12" t="s">
        <v>228</v>
      </c>
      <c r="H12" t="s">
        <v>229</v>
      </c>
      <c r="I12" t="s">
        <v>230</v>
      </c>
      <c r="J12" t="s">
        <v>231</v>
      </c>
    </row>
    <row r="13" spans="1:38">
      <c r="A13" s="31" t="s">
        <v>232</v>
      </c>
      <c r="B13" s="31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228.398 TFLOPs</v>
      </c>
      <c r="D13" s="31" t="str">
        <f>TEXT(IF(ABS(AK13)&gt;=1E12,AK13/1E12,IF(ABS(AK13)&gt;=1E9,AK13/1E9,IF(ABS(AK13)&gt;=1E6,AK13/1E6,IF(ABS(AK13)&gt;=1E3,AK13/1E3,AK13)))),"#,##0.000")&amp;IF((IF(ABS(AK13)&gt;=1E12,"TB",IF(ABS(AK13)&gt;=1E9,"GB",IF(ABS(AK13)&gt;=1E6,"MB",IF(ABS(AK13)&gt;=1E3,"KB","bytes")))))="",""," "&amp;(IF(ABS(AK13)&gt;=1E12,"TB",IF(ABS(AK13)&gt;=1E9,"GB",IF(ABS(AK13)&gt;=1E6,"MB",IF(ABS(AK13)&gt;=1E3,"KB","bytes"))))))</f>
        <v>0.000 B</v>
      </c>
      <c r="E13" s="31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31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55.653 TFLOPs</v>
      </c>
      <c r="G13" s="31" t="str">
        <f>TEXT(IF(ABS(AL13)&gt;=1E12,AL13/1E12,IF(ABS(AL13)&gt;=1E9,AL13/1E9,IF(ABS(AL13)&gt;=1E6,AL13/1E6,IF(ABS(AL13)&gt;=1E3,AL13/1E3,AL13)))),"#,##0.000")&amp;IF((IF(ABS(AL13)&gt;=1E12,"TB",IF(ABS(AL13)&gt;=1E9,"GB",IF(ABS(AL13)&gt;=1E6,"MB",IF(ABS(AL13)&gt;=1E3,"KB","bytes")))))="",""," "&amp;(IF(ABS(AL13)&gt;=1E12,"TB",IF(ABS(AL13)&gt;=1E9,"GB",IF(ABS(AL13)&gt;=1E6,"MB",IF(ABS(AL13)&gt;=1E3,"KB","bytes"))))))</f>
        <v>40.635 GB</v>
      </c>
      <c r="H13" s="4" t="s">
        <v>234</v>
      </c>
      <c r="I13" s="4" t="s">
        <v>235</v>
      </c>
      <c r="J13" s="4" t="s">
        <v>233</v>
      </c>
      <c r="AE13" s="32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166349315548.0</v>
      </c>
      <c r="AF13" s="32">
        <f>(0)+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(2*PF_Rows*TotalLayers*HiddenSize*RoutedExperts)+(PF_Rows*TotalLayers*(ActivatedExperts/TP1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+(0)+(0)</f>
        <v>228397682114560.0</v>
      </c>
      <c r="AG13" s="32">
        <f>((PF_Rows*HiddenSize*BF16Bytes)+(PF_Rows*HiddenSize*BF16Bytes))+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)+((PF_Rows*WindowLayers*TP1KernelLocalHeads*HeadDim*BF16Bytes+PrefillBatch*(WindowLayers*PF_RawPairs)*HeadDim*BF16Bytes)+(PF_Rows*WindowLayers*TP1KernelLocalHeads*HeadDim*BF16Bytes))+((PF_Rows*ShortLayers*TP1KernelLocalHeads*HeadDim*BF16Bytes+PrefillBatch*(ShortLayers*(PF_RawPairs+PF_ShortPairs))*HeadDim*BF16Bytes)+(PF_Rows*ShortLayers*TP1KernelLocalHeads*HeadDim*BF16Bytes))+((PF_Rows*LongLayers*TP1KernelLocalHeads*HeadDim*BF16Bytes+PrefillBatch*(LongLayers*(PF_RawPairs+PF_LongPairs))*HeadDim*BF16Bytes)+(PF_Rows*LongLayers*TP1KernelLocalHeads*HeadDim*BF16Bytes))+(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)+((PrefillBatch*ShortLayers*PF_IndexPairs*(IndexHeadDim*BF16Bytes+TP1LocalIndexHeads*BF16Bytes))+(PrefillBatch*ShortLayers*PF_IndexPairs*(TP1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TotalLayers*RoutedExperts*HiddenSize*BF16Bytes+(TotalLayers-ActiveHashLayers)*RoutedExperts*FP32Bytes+PF_Rows*TotalLayers*HiddenSize*BF16Bytes+PF_Rows*ActiveHashLayers*ActivatedExperts*INT32Bytes)+(PF_Rows*TotalLayers*RoutedExperts*FP32Bytes))+((TotalLayers*TP1LocalExperts*PF_ExpertActiveProbability*(3*HiddenSize*ExpertInter*FP4Bytes+3*HiddenSize*ExpertInter/FP4Block*ScaleBytes)+PF_Rows*TotalLayers*(ActivatedExperts/TP1Size)*HiddenSize*BF16Bytes)+(PF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1LocalHeads)*FP32Bytes+HiddenSize*FP32Bytes+PF_Rows*TotalLayers*2*HiddenSize*BF16Bytes+PF_Rows*HiddenSize*BF16Bytes)+(PF_Rows*TotalLayers*2*HiddenSize*BF16Bytes+PF_Rows*HiddenSize*BF16Bytes))+((0)+(0))+((TP1LocalVocab*HiddenSize*FP32Bytes+PrefillBatch*HiddenSize*FP32Bytes)+(PrefillBatch*TP1LocalVocab*FP32Bytes))+((0)+(0))+((0)+(0))</f>
        <v>656770882012.0</v>
      </c>
      <c r="AH13" s="32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29581867388.0</v>
      </c>
      <c r="AI13" s="32">
        <f>(0)+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(2*PF_Rows*TotalLayers*HiddenSize*RoutedExperts)+(PF_Rows*TotalLayers*(ActivatedExperts/TP8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+(0)+(0)</f>
        <v>55652568907776.0</v>
      </c>
      <c r="AJ13" s="32">
        <f>((PF_Rows*HiddenSize*BF16Bytes)+(PF_Rows*HiddenSize*BF16Bytes))+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)+((PF_Rows*WindowLayers*TP8KernelLocalHeads*HeadDim*BF16Bytes+PrefillBatch*(WindowLayers*PF_RawPairs)*HeadDim*BF16Bytes)+(PF_Rows*WindowLayers*TP8KernelLocalHeads*HeadDim*BF16Bytes))+((PF_Rows*ShortLayers*TP8KernelLocalHeads*HeadDim*BF16Bytes+PrefillBatch*(ShortLayers*(PF_RawPairs+PF_ShortPairs))*HeadDim*BF16Bytes)+(PF_Rows*ShortLayers*TP8KernelLocalHeads*HeadDim*BF16Bytes))+((PF_Rows*LongLayers*TP8KernelLocalHeads*HeadDim*BF16Bytes+PrefillBatch*(LongLayers*(PF_RawPairs+PF_LongPairs))*HeadDim*BF16Bytes)+(PF_Rows*LongLayers*TP8KernelLocalHeads*HeadDim*BF16Bytes))+(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)+((PrefillBatch*ShortLayers*PF_IndexPairs*(IndexHeadDim*BF16Bytes+TP8LocalIndexHeads*BF16Bytes))+(PrefillBatch*ShortLayers*PF_IndexPairs*(TP8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TotalLayers*RoutedExperts*HiddenSize*BF16Bytes+(TotalLayers-ActiveHashLayers)*RoutedExperts*FP32Bytes+PF_Rows*TotalLayers*HiddenSize*BF16Bytes+PF_Rows*ActiveHashLayers*ActivatedExperts*INT32Bytes)+(PF_Rows*TotalLayers*RoutedExperts*FP32Bytes))+((TotalLayers*TP8LocalExperts*PF_ExpertActiveProbability*(3*HiddenSize*ExpertInter*FP4Bytes+3*HiddenSize*ExpertInter/FP4Block*ScaleBytes)+PF_Rows*TotalLayers*(ActivatedExperts/TP8Size)*HiddenSize*BF16Bytes)+(PF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8LocalHeads)*FP32Bytes+HiddenSize*FP32Bytes+PF_Rows*TotalLayers*2*HiddenSize*BF16Bytes+PF_Rows*HiddenSize*BF16Bytes)+(PF_Rows*TotalLayers*2*HiddenSize*BF16Bytes+PF_Rows*HiddenSize*BF16Bytes))+((0)+(0))+((TP8LocalVocab*HiddenSize*FP32Bytes+PrefillBatch*HiddenSize*FP32Bytes)+(PrefillBatch*TP8LocalVocab*FP32Bytes))+((0)+(0))+((0)+(0))</f>
        <v>369337880060.0</v>
      </c>
      <c r="AK13" s="32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L13" s="32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14" spans="1:38">
      <c r="A14" s="4" t="s">
        <v>40</v>
      </c>
      <c r="B14" s="33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3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102.836 TFLOPs</v>
      </c>
      <c r="D14" s="33" t="str">
        <f>TEXT(IF(ABS(AK14)&gt;=1E12,AK14/1E12,IF(ABS(AK14)&gt;=1E9,AK14/1E9,IF(ABS(AK14)&gt;=1E6,AK14/1E6,IF(ABS(AK14)&gt;=1E3,AK14/1E3,AK14)))),"#,##0.000")&amp;IF((IF(ABS(AK14)&gt;=1E12,"TB",IF(ABS(AK14)&gt;=1E9,"GB",IF(ABS(AK14)&gt;=1E6,"MB",IF(ABS(AK14)&gt;=1E3,"KB","bytes")))))="",""," "&amp;(IF(ABS(AK14)&gt;=1E12,"TB",IF(ABS(AK14)&gt;=1E9,"GB",IF(ABS(AK14)&gt;=1E6,"MB",IF(ABS(AK14)&gt;=1E3,"KB","bytes"))))))</f>
        <v>0.000 B</v>
      </c>
      <c r="E14" s="33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3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23.172 TFLOPs</v>
      </c>
      <c r="G14" s="33" t="str">
        <f>TEXT(IF(ABS(AL14)&gt;=1E12,AL14/1E12,IF(ABS(AL14)&gt;=1E9,AL14/1E9,IF(ABS(AL14)&gt;=1E6,AL14/1E6,IF(ABS(AL14)&gt;=1E3,AL14/1E3,AL14)))),"#,##0.000")&amp;IF((IF(ABS(AL14)&gt;=1E12,"TB",IF(ABS(AL14)&gt;=1E9,"GB",IF(ABS(AL14)&gt;=1E6,"MB",IF(ABS(AL14)&gt;=1E3,"KB","bytes")))))="",""," "&amp;(IF(ABS(AL14)&gt;=1E12,"TB",IF(ABS(AL14)&gt;=1E9,"GB",IF(ABS(AL14)&gt;=1E6,"MB",IF(ABS(AL14)&gt;=1E3,"KB","bytes"))))))</f>
        <v>20.200 GB</v>
      </c>
      <c r="H14" s="4" t="s">
        <v>237</v>
      </c>
      <c r="I14" s="4" t="s">
        <v>238</v>
      </c>
      <c r="J14" s="4" t="s">
        <v>236</v>
      </c>
      <c r="AE14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2">
        <f>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(0)</f>
        <v>102836037746688.0</v>
      </c>
      <c r="AG14" s="32">
        <f>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)+((PF_Rows*WindowLayers*TP1KernelLocalHeads*HeadDim*BF16Bytes+PrefillBatch*(WindowLayers*PF_RawPairs)*HeadDim*BF16Bytes)+(PF_Rows*WindowLayers*TP1KernelLocalHeads*HeadDim*BF16Bytes))+((PF_Rows*ShortLayers*TP1KernelLocalHeads*HeadDim*BF16Bytes+PrefillBatch*(ShortLayers*(PF_RawPairs+PF_ShortPairs))*HeadDim*BF16Bytes)+(PF_Rows*ShortLayers*TP1KernelLocalHeads*HeadDim*BF16Bytes))+((PF_Rows*LongLayers*TP1KernelLocalHeads*HeadDim*BF16Bytes+PrefillBatch*(LongLayers*(PF_RawPairs+PF_LongPairs))*HeadDim*BF16Bytes)+(PF_Rows*LongLayers*TP1KernelLocalHeads*HeadDim*BF16Bytes))+(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)+((PrefillBatch*ShortLayers*PF_IndexPairs*(IndexHeadDim*BF16Bytes+TP1LocalIndexHeads*BF16Bytes))+(PrefillBatch*ShortLayers*PF_IndexPairs*(TP1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(0)+(0))</f>
        <v>358037814400.0</v>
      </c>
      <c r="AH14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2">
        <f>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(0)</f>
        <v>23172382457856.0</v>
      </c>
      <c r="AJ14" s="32">
        <f>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)+((PF_Rows*WindowLayers*TP8KernelLocalHeads*HeadDim*BF16Bytes+PrefillBatch*(WindowLayers*PF_RawPairs)*HeadDim*BF16Bytes)+(PF_Rows*WindowLayers*TP8KernelLocalHeads*HeadDim*BF16Bytes))+((PF_Rows*ShortLayers*TP8KernelLocalHeads*HeadDim*BF16Bytes+PrefillBatch*(ShortLayers*(PF_RawPairs+PF_ShortPairs))*HeadDim*BF16Bytes)+(PF_Rows*ShortLayers*TP8KernelLocalHeads*HeadDim*BF16Bytes))+((PF_Rows*LongLayers*TP8KernelLocalHeads*HeadDim*BF16Bytes+PrefillBatch*(LongLayers*(PF_RawPairs+PF_LongPairs))*HeadDim*BF16Bytes)+(PF_Rows*LongLayers*TP8KernelLocalHeads*HeadDim*BF16Bytes))+(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)+((PrefillBatch*ShortLayers*PF_IndexPairs*(IndexHeadDim*BF16Bytes+TP8LocalIndexHeads*BF16Bytes))+(PrefillBatch*ShortLayers*PF_IndexPairs*(TP8LocalIndexHeads*BF16Bytes+FP32Bytes)))+((ShortLayers*(2*HiddenSize*(2*HeadDim)*FP32Bytes+ShortRatio*2*HeadDim*FP32Bytes+HeadDim*FP32Bytes)+PF_Rows*ShortLayers*HiddenSize*FP32Bytes)+(PF_Rows*ShortLayers*4*HeadDim*FP32Bytes))+((LongLayers*(2*HiddenSize*HeadDim*FP32Bytes+LongRatio*HeadDim*FP32Bytes+HeadDim*FP32Bytes)+PF_Rows*LongLayers*HiddenSize*FP32Bytes)+(PF_Rows*LongLayers*2*HeadDim*FP32Bytes))+((ShortLayers*(2*HiddenSize*(2*IndexHeadDim)*FP32Bytes+ShortRatio*2*IndexHeadDim*FP32Bytes+IndexHeadDim*FP32Bytes)+PF_Rows*ShortLayers*HiddenSize*FP32Bytes)+(PF_Rows*ShortLayers*4*IndexHeadDim*FP32Bytes))+((0)+(0))</f>
        <v>231531806144.0</v>
      </c>
      <c r="AK14" s="32">
        <f>(0)+(0)+(0)+(0)+(0)+(0)+(0)+(0)+(0)+(4*(TP1Size-1)/TP1Size*PF_Rows*HiddenSize*FP32Bytes*TotalLayers)</f>
        <v>0.0</v>
      </c>
      <c r="AL14" s="32">
        <f>(0)+(0)+(0)+(0)+(0)+(0)+(0)+(0)+(0)+(4*(TP8Size-1)/TP8Size*PF_Rows*HiddenSize*FP32Bytes*TotalLayers)</f>
        <v>20199768064.0</v>
      </c>
    </row>
    <row r="15" spans="1:38">
      <c r="A15" s="4" t="s">
        <v>59</v>
      </c>
      <c r="B15" s="33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3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124.846 TFLOPs</v>
      </c>
      <c r="D15" s="33" t="str">
        <f>TEXT(IF(ABS(AK15)&gt;=1E12,AK15/1E12,IF(ABS(AK15)&gt;=1E9,AK15/1E9,IF(ABS(AK15)&gt;=1E6,AK15/1E6,IF(ABS(AK15)&gt;=1E3,AK15/1E3,AK15)))),"#,##0.000")&amp;IF((IF(ABS(AK15)&gt;=1E12,"TB",IF(ABS(AK15)&gt;=1E9,"GB",IF(ABS(AK15)&gt;=1E6,"MB",IF(ABS(AK15)&gt;=1E3,"KB","bytes")))))="",""," "&amp;(IF(ABS(AK15)&gt;=1E12,"TB",IF(ABS(AK15)&gt;=1E9,"GB",IF(ABS(AK15)&gt;=1E6,"MB",IF(ABS(AK15)&gt;=1E3,"KB","bytes"))))))</f>
        <v>0.000 B</v>
      </c>
      <c r="E15" s="33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3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31.766 TFLOPs</v>
      </c>
      <c r="G15" s="33" t="str">
        <f>TEXT(IF(ABS(AL15)&gt;=1E12,AL15/1E12,IF(ABS(AL15)&gt;=1E9,AL15/1E9,IF(ABS(AL15)&gt;=1E6,AL15/1E6,IF(ABS(AL15)&gt;=1E3,AL15/1E3,AL15)))),"#,##0.000")&amp;IF((IF(ABS(AL15)&gt;=1E12,"TB",IF(ABS(AL15)&gt;=1E9,"GB",IF(ABS(AL15)&gt;=1E6,"MB",IF(ABS(AL15)&gt;=1E3,"KB","bytes")))))="",""," "&amp;(IF(ABS(AL15)&gt;=1E12,"TB",IF(ABS(AL15)&gt;=1E9,"GB",IF(ABS(AL15)&gt;=1E6,"MB",IF(ABS(AL15)&gt;=1E3,"KB","bytes"))))))</f>
        <v>20.200 GB</v>
      </c>
      <c r="H15" s="4" t="s">
        <v>240</v>
      </c>
      <c r="I15" s="4" t="s">
        <v>235</v>
      </c>
      <c r="J15" s="4" t="s">
        <v>239</v>
      </c>
      <c r="AE15" s="32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2">
        <f>(2*PF_Rows*TotalLayers*HiddenSize*RoutedExperts)+(PF_Rows*TotalLayers*(ActivatedExperts/TP1Size)*6*HiddenSize*ExpertInter)+(PF_Rows*TotalLayers*SharedExperts*6*HiddenSize*ExpertInter)+(0)</f>
        <v>124846109360128.0</v>
      </c>
      <c r="AG15" s="32">
        <f>((TotalLayers*RoutedExperts*HiddenSize*BF16Bytes+(TotalLayers-ActiveHashLayers)*RoutedExperts*FP32Bytes+PF_Rows*TotalLayers*HiddenSize*BF16Bytes+PF_Rows*ActiveHashLayers*ActivatedExperts*INT32Bytes)+(PF_Rows*TotalLayers*RoutedExperts*FP32Bytes))+((TotalLayers*TP1LocalExperts*PF_ExpertActiveProbability*(3*HiddenSize*ExpertInter*FP4Bytes+3*HiddenSize*ExpertInter/FP4Block*ScaleBytes)+PF_Rows*TotalLayers*(ActivatedExperts/TP1Size)*HiddenSize*BF16Bytes)+(PF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(0)+(0))</f>
        <v>191988670976.0</v>
      </c>
      <c r="AH15" s="32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2">
        <f>(2*PF_Rows*TotalLayers*HiddenSize*RoutedExperts)+(PF_Rows*TotalLayers*(ActivatedExperts/TP8Size)*6*HiddenSize*ExpertInter)+(PF_Rows*TotalLayers*SharedExperts*6*HiddenSize*ExpertInter)+(0)</f>
        <v>31765578121216.0</v>
      </c>
      <c r="AJ15" s="32">
        <f>((TotalLayers*RoutedExperts*HiddenSize*BF16Bytes+(TotalLayers-ActiveHashLayers)*RoutedExperts*FP32Bytes+PF_Rows*TotalLayers*HiddenSize*BF16Bytes+PF_Rows*ActiveHashLayers*ActivatedExperts*INT32Bytes)+(PF_Rows*TotalLayers*RoutedExperts*FP32Bytes))+((TotalLayers*TP8LocalExperts*PF_ExpertActiveProbability*(3*HiddenSize*ExpertInter*FP4Bytes+3*HiddenSize*ExpertInter/FP4Block*ScaleBytes)+PF_Rows*TotalLayers*(ActivatedExperts/TP8Size)*HiddenSize*BF16Bytes)+(PF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)+((0)+(0))</f>
        <v>32915497472.0</v>
      </c>
      <c r="AK15" s="32">
        <f>(0)+(0)+(0)+(4*(TP1Size-1)/TP1Size*PF_Rows*HiddenSize*FP32Bytes*TotalLayers)</f>
        <v>0.0</v>
      </c>
      <c r="AL15" s="32">
        <f>(0)+(0)+(0)+(4*(TP8Size-1)/TP8Size*PF_Rows*HiddenSize*FP32Bytes*TotalLayers)</f>
        <v>20199768064.0</v>
      </c>
    </row>
    <row r="16" spans="1:38">
      <c r="A16" s="4" t="s">
        <v>241</v>
      </c>
      <c r="B16" s="33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3" t="str">
        <f>TEXT(IF(ABS(AK16)&gt;=1E12,AK16/1E12,IF(ABS(AK16)&gt;=1E9,AK16/1E9,IF(ABS(AK16)&gt;=1E6,AK16/1E6,IF(ABS(AK16)&gt;=1E3,AK16/1E3,AK16)))),"#,##0.000")&amp;IF((IF(ABS(AK16)&gt;=1E12,"TB",IF(ABS(AK16)&gt;=1E9,"GB",IF(ABS(AK16)&gt;=1E6,"MB",IF(ABS(AK16)&gt;=1E3,"KB","bytes")))))="",""," "&amp;(IF(ABS(AK16)&gt;=1E12,"TB",IF(ABS(AK16)&gt;=1E9,"GB",IF(ABS(AK16)&gt;=1E6,"MB",IF(ABS(AK16)&gt;=1E3,"KB","bytes"))))))</f>
        <v>0.000 B</v>
      </c>
      <c r="E16" s="33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3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3" t="str">
        <f>TEXT(IF(ABS(AL16)&gt;=1E12,AL16/1E12,IF(ABS(AL16)&gt;=1E9,AL16/1E9,IF(ABS(AL16)&gt;=1E6,AL16/1E6,IF(ABS(AL16)&gt;=1E3,AL16/1E3,AL16)))),"#,##0.000")&amp;IF((IF(ABS(AL16)&gt;=1E12,"TB",IF(ABS(AL16)&gt;=1E9,"GB",IF(ABS(AL16)&gt;=1E6,"MB",IF(ABS(AL16)&gt;=1E3,"KB","bytes")))))="",""," "&amp;(IF(ABS(AL16)&gt;=1E12,"TB",IF(ABS(AL16)&gt;=1E9,"GB",IF(ABS(AL16)&gt;=1E6,"MB",IF(ABS(AL16)&gt;=1E3,"KB","bytes"))))))</f>
        <v>234.881 MB</v>
      </c>
      <c r="H16" s="4" t="s">
        <v>243</v>
      </c>
      <c r="I16" s="4" t="s">
        <v>244</v>
      </c>
      <c r="J16" s="4" t="s">
        <v>242</v>
      </c>
      <c r="AE16" s="32">
        <f>(TP1LocalVocab*HiddenSize*BF16Bytes)</f>
        <v>1059061760.0</v>
      </c>
      <c r="AF16" s="32">
        <f>(0)</f>
        <v>0</v>
      </c>
      <c r="AG16" s="32">
        <f>((PF_Rows*HiddenSize*BF16Bytes)+(PF_Rows*HiddenSize*BF16Bytes))</f>
        <v>134217728</v>
      </c>
      <c r="AH16" s="32">
        <f>(TP8LocalVocab*HiddenSize*BF16Bytes)</f>
        <v>132382720.0</v>
      </c>
      <c r="AI16" s="32">
        <f>(0)</f>
        <v>0</v>
      </c>
      <c r="AJ16" s="32">
        <f>((PF_Rows*HiddenSize*BF16Bytes)+(PF_Rows*HiddenSize*BF16Bytes))</f>
        <v>134217728</v>
      </c>
      <c r="AK16" s="32">
        <f>(4*(TP1Size-1)/TP1Size*PF_Rows*HiddenSize*BF16Bytes)</f>
        <v>0.0</v>
      </c>
      <c r="AL16" s="32">
        <f>(4*(TP8Size-1)/TP8Size*PF_Rows*HiddenSize*BF16Bytes)</f>
        <v>234881024.0</v>
      </c>
    </row>
    <row r="17" spans="1:38">
      <c r="A17" s="4" t="s">
        <v>245</v>
      </c>
      <c r="B17" s="33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3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3" t="str">
        <f>TEXT(IF(ABS(AK17)&gt;=1E12,AK17/1E12,IF(ABS(AK17)&gt;=1E9,AK17/1E9,IF(ABS(AK17)&gt;=1E6,AK17/1E6,IF(ABS(AK17)&gt;=1E3,AK17/1E3,AK17)))),"#,##0.000")&amp;IF((IF(ABS(AK17)&gt;=1E12,"TB",IF(ABS(AK17)&gt;=1E9,"GB",IF(ABS(AK17)&gt;=1E6,"MB",IF(ABS(AK17)&gt;=1E3,"KB","bytes")))))="",""," "&amp;(IF(ABS(AK17)&gt;=1E12,"TB",IF(ABS(AK17)&gt;=1E9,"GB",IF(ABS(AK17)&gt;=1E6,"MB",IF(ABS(AK17)&gt;=1E3,"KB","bytes"))))))</f>
        <v>0.000 B</v>
      </c>
      <c r="E17" s="33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3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3" t="str">
        <f>TEXT(IF(ABS(AL17)&gt;=1E12,AL17/1E12,IF(ABS(AL17)&gt;=1E9,AL17/1E9,IF(ABS(AL17)&gt;=1E6,AL17/1E6,IF(ABS(AL17)&gt;=1E3,AL17/1E3,AL17)))),"#,##0.000")&amp;IF((IF(ABS(AL17)&gt;=1E12,"TB",IF(ABS(AL17)&gt;=1E9,"GB",IF(ABS(AL17)&gt;=1E6,"MB",IF(ABS(AL17)&gt;=1E3,"KB","bytes")))))="",""," "&amp;(IF(ABS(AL17)&gt;=1E12,"TB",IF(ABS(AL17)&gt;=1E9,"GB",IF(ABS(AL17)&gt;=1E6,"MB",IF(ABS(AL17)&gt;=1E3,"KB","bytes"))))))</f>
        <v>904.960 KB</v>
      </c>
      <c r="H17" s="4" t="s">
        <v>247</v>
      </c>
      <c r="I17" s="4" t="s">
        <v>248</v>
      </c>
      <c r="J17" s="4" t="s">
        <v>246</v>
      </c>
      <c r="AE17" s="32">
        <f>(TP1LocalVocab*HiddenSize*FP32Bytes)</f>
        <v>2118123520.0</v>
      </c>
      <c r="AF17" s="32">
        <f>(2*PrefillBatch*HiddenSize*TP1LocalVocab)</f>
        <v>1059061760.0</v>
      </c>
      <c r="AG17" s="32">
        <f>((TP1LocalVocab*HiddenSize*FP32Bytes+PrefillBatch*HiddenSize*FP32Bytes)+(PrefillBatch*TP1LocalVocab*FP32Bytes))</f>
        <v>2118657024.0</v>
      </c>
      <c r="AH17" s="32">
        <f>(TP8LocalVocab*HiddenSize*FP32Bytes)</f>
        <v>264765440.0</v>
      </c>
      <c r="AI17" s="32">
        <f>(2*PrefillBatch*HiddenSize*TP8LocalVocab)</f>
        <v>132382720.0</v>
      </c>
      <c r="AJ17" s="32">
        <f>((TP8LocalVocab*HiddenSize*FP32Bytes+PrefillBatch*HiddenSize*FP32Bytes)+(PrefillBatch*TP8LocalVocab*FP32Bytes))</f>
        <v>264846464.0</v>
      </c>
      <c r="AK17" s="32">
        <f>(2*(TP1Size-1)*PrefillBatch*TP1LocalVocab*FP32Bytes)</f>
        <v>0.0</v>
      </c>
      <c r="AL17" s="32">
        <f>(2*(TP8Size-1)*PrefillBatch*TP8LocalVocab*FP32Bytes)</f>
        <v>904960.0</v>
      </c>
    </row>
    <row r="18" spans="1:38">
      <c r="A18" s="4" t="s">
        <v>249</v>
      </c>
      <c r="B18" s="33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3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11.678 GFLOPs</v>
      </c>
      <c r="D18" s="33" t="str">
        <f>TEXT(IF(ABS(AK18)&gt;=1E12,AK18/1E12,IF(ABS(AK18)&gt;=1E9,AK18/1E9,IF(ABS(AK18)&gt;=1E6,AK18/1E6,IF(ABS(AK18)&gt;=1E3,AK18/1E3,AK18)))),"#,##0.000")&amp;IF((IF(ABS(AK18)&gt;=1E12,"TB",IF(ABS(AK18)&gt;=1E9,"GB",IF(ABS(AK18)&gt;=1E6,"MB",IF(ABS(AK18)&gt;=1E3,"KB","bytes")))))="",""," "&amp;(IF(ABS(AK18)&gt;=1E12,"TB",IF(ABS(AK18)&gt;=1E9,"GB",IF(ABS(AK18)&gt;=1E6,"MB",IF(ABS(AK18)&gt;=1E3,"KB","bytes"))))))</f>
        <v>0.000 B</v>
      </c>
      <c r="E18" s="33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3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11.678 GFLOPs</v>
      </c>
      <c r="G18" s="33" t="str">
        <f>TEXT(IF(ABS(AL18)&gt;=1E12,AL18/1E12,IF(ABS(AL18)&gt;=1E9,AL18/1E9,IF(ABS(AL18)&gt;=1E6,AL18/1E6,IF(ABS(AL18)&gt;=1E3,AL18/1E3,AL18)))),"#,##0.000")&amp;IF((IF(ABS(AL18)&gt;=1E12,"TB",IF(ABS(AL18)&gt;=1E9,"GB",IF(ABS(AL18)&gt;=1E6,"MB",IF(ABS(AL18)&gt;=1E3,"KB","bytes")))))="",""," "&amp;(IF(ABS(AL18)&gt;=1E12,"TB",IF(ABS(AL18)&gt;=1E9,"GB",IF(ABS(AL18)&gt;=1E6,"MB",IF(ABS(AL18)&gt;=1E3,"KB","bytes"))))))</f>
        <v>0.000 B</v>
      </c>
      <c r="H18" s="4" t="s">
        <v>247</v>
      </c>
      <c r="I18" s="4" t="s">
        <v>251</v>
      </c>
      <c r="J18" s="4" t="s">
        <v>250</v>
      </c>
      <c r="AE18" s="32">
        <f>((TotalLayers*(2*HiddenSize+QLoraRank+HeadDim+TP1LocalHeads))*FP32Bytes+(HiddenSize)*FP32Bytes)</f>
        <v>1700608</v>
      </c>
      <c r="AF18" s="32">
        <f>(PF_Rows*TotalLayers*2*(4*HiddenSize+1)+PF_Rows*(4*HiddenSize+1))</f>
        <v>11677655040</v>
      </c>
      <c r="AG18" s="32">
        <f>((TotalLayers*(2*HiddenSize+QLoraRank+HeadDim+TP1LocalHeads)*FP32Bytes+HiddenSize*FP32Bytes+PF_Rows*TotalLayers*2*HiddenSize*BF16Bytes+PF_Rows*HiddenSize*BF16Bytes)+(PF_Rows*TotalLayers*2*HiddenSize*BF16Bytes+PF_Rows*HiddenSize*BF16Bytes))</f>
        <v>11678642944</v>
      </c>
      <c r="AH18" s="32">
        <f>((TotalLayers*(2*HiddenSize+QLoraRank+HeadDim+TP8LocalHeads))*FP32Bytes+(HiddenSize)*FP32Bytes)</f>
        <v>1690976</v>
      </c>
      <c r="AI18" s="32">
        <f>(PF_Rows*TotalLayers*2*(4*HiddenSize+1)+PF_Rows*(4*HiddenSize+1))</f>
        <v>11677655040</v>
      </c>
      <c r="AJ18" s="32">
        <f>((TotalLayers*(2*HiddenSize+QLoraRank+HeadDim+TP8LocalHeads)*FP32Bytes+HiddenSize*FP32Bytes+PF_Rows*TotalLayers*2*HiddenSize*BF16Bytes+PF_Rows*HiddenSize*BF16Bytes)+(PF_Rows*TotalLayers*2*HiddenSize*BF16Bytes+PF_Rows*HiddenSize*BF16Bytes))</f>
        <v>11678633312</v>
      </c>
      <c r="AK18" s="32">
        <f>(0)</f>
        <v>0</v>
      </c>
      <c r="AL18" s="32">
        <f>(0)</f>
        <v>0</v>
      </c>
    </row>
    <row r="19" spans="1:38">
      <c r="A19" s="4" t="s">
        <v>92</v>
      </c>
      <c r="B19" s="33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3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702.798 GFLOPs</v>
      </c>
      <c r="D19" s="33" t="str">
        <f>TEXT(IF(ABS(AK19)&gt;=1E12,AK19/1E12,IF(ABS(AK19)&gt;=1E9,AK19/1E9,IF(ABS(AK19)&gt;=1E6,AK19/1E6,IF(ABS(AK19)&gt;=1E3,AK19/1E3,AK19)))),"#,##0.000")&amp;IF((IF(ABS(AK19)&gt;=1E12,"TB",IF(ABS(AK19)&gt;=1E9,"GB",IF(ABS(AK19)&gt;=1E6,"MB",IF(ABS(AK19)&gt;=1E3,"KB","bytes")))))="",""," "&amp;(IF(ABS(AK19)&gt;=1E12,"TB",IF(ABS(AK19)&gt;=1E9,"GB",IF(ABS(AK19)&gt;=1E6,"MB",IF(ABS(AK19)&gt;=1E3,"KB","bytes"))))))</f>
        <v>0.000 B</v>
      </c>
      <c r="E19" s="33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3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702.798 GFLOPs</v>
      </c>
      <c r="G19" s="33" t="str">
        <f>TEXT(IF(ABS(AL19)&gt;=1E12,AL19/1E12,IF(ABS(AL19)&gt;=1E9,AL19/1E9,IF(ABS(AL19)&gt;=1E6,AL19/1E6,IF(ABS(AL19)&gt;=1E3,AL19/1E3,AL19)))),"#,##0.000")&amp;IF((IF(ABS(AL19)&gt;=1E12,"TB",IF(ABS(AL19)&gt;=1E9,"GB",IF(ABS(AL19)&gt;=1E6,"MB",IF(ABS(AL19)&gt;=1E3,"KB","bytes")))))="",""," "&amp;(IF(ABS(AL19)&gt;=1E12,"TB",IF(ABS(AL19)&gt;=1E9,"GB",IF(ABS(AL19)&gt;=1E6,"MB",IF(ABS(AL19)&gt;=1E3,"KB","bytes"))))))</f>
        <v>0.000 B</v>
      </c>
      <c r="H19" s="4" t="s">
        <v>247</v>
      </c>
      <c r="I19" s="4" t="s">
        <v>253</v>
      </c>
      <c r="J19" s="4" t="s">
        <v>252</v>
      </c>
      <c r="AE19" s="32">
        <f>((TotalLayers*2*(((2+HCSlots)*HCSlots)*HCSlots*HiddenSize+((2+HCSlots)*HCSlots)+3))*FP32Bytes+(HCSlots*HCSlots*HiddenSize+HCSlots+1)*FP32Bytes)</f>
        <v>135537756</v>
      </c>
      <c r="AF19" s="32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G19" s="32">
        <f>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</f>
        <v>92812878940.0</v>
      </c>
      <c r="AH19" s="32">
        <f>((TotalLayers*2*(((2+HCSlots)*HCSlots)*HCSlots*HiddenSize+((2+HCSlots)*HCSlots)+3))*FP32Bytes+(HCSlots*HCSlots*HiddenSize+HCSlots+1)*FP32Bytes)</f>
        <v>135537756</v>
      </c>
      <c r="AI19" s="32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J19" s="32">
        <f>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</f>
        <v>92812878940.0</v>
      </c>
      <c r="AK19" s="32">
        <f>(0)</f>
        <v>0</v>
      </c>
      <c r="AL19" s="32">
        <f>(0)</f>
        <v>0</v>
      </c>
    </row>
    <row r="20" spans="1:38">
      <c r="A20" s="4" t="s">
        <v>254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3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3" t="str">
        <f>TEXT(IF(ABS(AK20)&gt;=1E12,AK20/1E12,IF(ABS(AK20)&gt;=1E9,AK20/1E9,IF(ABS(AK20)&gt;=1E6,AK20/1E6,IF(ABS(AK20)&gt;=1E3,AK20/1E3,AK20)))),"#,##0.000")&amp;IF((IF(ABS(AK20)&gt;=1E12,"TB",IF(ABS(AK20)&gt;=1E9,"GB",IF(ABS(AK20)&gt;=1E6,"MB",IF(ABS(AK20)&gt;=1E3,"KB","bytes")))))="",""," "&amp;(IF(ABS(AK20)&gt;=1E12,"TB",IF(ABS(AK20)&gt;=1E9,"GB",IF(ABS(AK20)&gt;=1E6,"MB",IF(ABS(AK20)&gt;=1E3,"KB","bytes"))))))</f>
        <v>0.000 B</v>
      </c>
      <c r="E20" s="33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3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3" t="str">
        <f>TEXT(IF(ABS(AL20)&gt;=1E12,AL20/1E12,IF(ABS(AL20)&gt;=1E9,AL20/1E9,IF(ABS(AL20)&gt;=1E6,AL20/1E6,IF(ABS(AL20)&gt;=1E3,AL20/1E3,AL20)))),"#,##0.000")&amp;IF((IF(ABS(AL20)&gt;=1E12,"TB",IF(ABS(AL20)&gt;=1E9,"GB",IF(ABS(AL20)&gt;=1E6,"MB",IF(ABS(AL20)&gt;=1E3,"KB","bytes")))))="",""," "&amp;(IF(ABS(AL20)&gt;=1E12,"TB",IF(ABS(AL20)&gt;=1E9,"GB",IF(ABS(AL20)&gt;=1E6,"MB",IF(ABS(AL20)&gt;=1E3,"KB","bytes"))))))</f>
        <v>0.000 B</v>
      </c>
      <c r="H20" s="4" t="s">
        <v>256</v>
      </c>
      <c r="I20" s="4" t="s">
        <v>257</v>
      </c>
      <c r="J20" s="4" t="s">
        <v>255</v>
      </c>
      <c r="AE20" s="32">
        <f>(0)</f>
        <v>0</v>
      </c>
      <c r="AF20" s="32">
        <f>(0)</f>
        <v>0</v>
      </c>
      <c r="AG20" s="32">
        <f>((0)+(0))</f>
        <v>0</v>
      </c>
      <c r="AH20" s="32">
        <f>(0)</f>
        <v>0</v>
      </c>
      <c r="AI20" s="32">
        <f>(0)</f>
        <v>0</v>
      </c>
      <c r="AJ20" s="32">
        <f>((0)+(0))</f>
        <v>0</v>
      </c>
      <c r="AK20" s="32">
        <f>(0)</f>
        <v>0</v>
      </c>
      <c r="AL20" s="32">
        <f>(0)</f>
        <v>0</v>
      </c>
    </row>
    <row r="22" spans="1:38">
      <c r="A22" s="30" t="s">
        <v>258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spans="1:38">
      <c r="A23" t="s">
        <v>222</v>
      </c>
      <c r="B23" t="s">
        <v>259</v>
      </c>
      <c r="C23" t="s">
        <v>260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 t="s">
        <v>228</v>
      </c>
      <c r="J23" t="s">
        <v>229</v>
      </c>
      <c r="K23" t="s">
        <v>230</v>
      </c>
      <c r="L23" t="s">
        <v>231</v>
      </c>
    </row>
    <row r="24" spans="1:38">
      <c r="A24" s="4" t="s">
        <v>241</v>
      </c>
      <c r="B24" s="4" t="s">
        <v>241</v>
      </c>
      <c r="C24" s="4" t="s">
        <v>261</v>
      </c>
      <c r="D24" s="33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3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3" t="str">
        <f>TEXT(IF(ABS(AA24)&gt;=1E12,AA24/1E12,IF(ABS(AA24)&gt;=1E9,AA24/1E9,IF(ABS(AA24)&gt;=1E6,AA24/1E6,IF(ABS(AA24)&gt;=1E3,AA24/1E3,AA24)))),"#,##0.000")&amp;IF((IF(ABS(AA24)&gt;=1E12,"TB",IF(ABS(AA24)&gt;=1E9,"GB",IF(ABS(AA24)&gt;=1E6,"MB",IF(ABS(AA24)&gt;=1E3,"KB","bytes")))))="",""," "&amp;(IF(ABS(AA24)&gt;=1E12,"TB",IF(ABS(AA24)&gt;=1E9,"GB",IF(ABS(AA24)&gt;=1E6,"MB",IF(ABS(AA24)&gt;=1E3,"KB","bytes"))))))</f>
        <v>0.000 B</v>
      </c>
      <c r="G24" s="33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3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3" t="str">
        <f>TEXT(IF(ABS(AB24)&gt;=1E12,AB24/1E12,IF(ABS(AB24)&gt;=1E9,AB24/1E9,IF(ABS(AB24)&gt;=1E6,AB24/1E6,IF(ABS(AB24)&gt;=1E3,AB24/1E3,AB24)))),"#,##0.000")&amp;IF((IF(ABS(AB24)&gt;=1E12,"TB",IF(ABS(AB24)&gt;=1E9,"GB",IF(ABS(AB24)&gt;=1E6,"MB",IF(ABS(AB24)&gt;=1E3,"KB","bytes")))))="",""," "&amp;(IF(ABS(AB24)&gt;=1E12,"TB",IF(ABS(AB24)&gt;=1E9,"GB",IF(ABS(AB24)&gt;=1E6,"MB",IF(ABS(AB24)&gt;=1E3,"KB","bytes"))))))</f>
        <v>234.881 MB</v>
      </c>
      <c r="J24" s="4" t="s">
        <v>262</v>
      </c>
      <c r="K24" s="4" t="s">
        <v>244</v>
      </c>
      <c r="L24" s="4" t="s">
        <v>263</v>
      </c>
      <c r="U24" s="32">
        <f>TP1LocalVocab*HiddenSize*BF16Bytes</f>
        <v>1059061760.0</v>
      </c>
      <c r="V24" s="32">
        <f>0</f>
        <v>0</v>
      </c>
      <c r="W24" s="32">
        <f>(PF_Rows*HiddenSize*BF16Bytes)+(PF_Rows*HiddenSize*BF16Bytes)</f>
        <v>134217728</v>
      </c>
      <c r="X24" s="32">
        <f>TP8LocalVocab*HiddenSize*BF16Bytes</f>
        <v>132382720.0</v>
      </c>
      <c r="Y24" s="32">
        <f>0</f>
        <v>0</v>
      </c>
      <c r="Z24" s="32">
        <f>(PF_Rows*HiddenSize*BF16Bytes)+(PF_Rows*HiddenSize*BF16Bytes)</f>
        <v>134217728</v>
      </c>
      <c r="AA24" s="32">
        <f>4*(TP1Size-1)/TP1Size*PF_Rows*HiddenSize*BF16Bytes</f>
        <v>0.0</v>
      </c>
      <c r="AB24" s="32">
        <f>4*(TP8Size-1)/TP8Size*PF_Rows*HiddenSize*BF16Bytes</f>
        <v>234881024.0</v>
      </c>
    </row>
    <row r="25" spans="1:38">
      <c r="A25" s="4" t="s">
        <v>40</v>
      </c>
      <c r="B25" s="4" t="s">
        <v>264</v>
      </c>
      <c r="C25" s="4" t="s">
        <v>265</v>
      </c>
      <c r="D25" s="33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3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75.351 TFLOPs</v>
      </c>
      <c r="F25" s="33" t="str">
        <f>TEXT(IF(ABS(AA25)&gt;=1E12,AA25/1E12,IF(ABS(AA25)&gt;=1E9,AA25/1E9,IF(ABS(AA25)&gt;=1E6,AA25/1E6,IF(ABS(AA25)&gt;=1E3,AA25/1E3,AA25)))),"#,##0.000")&amp;IF((IF(ABS(AA25)&gt;=1E12,"TB",IF(ABS(AA25)&gt;=1E9,"GB",IF(ABS(AA25)&gt;=1E6,"MB",IF(ABS(AA25)&gt;=1E3,"KB","bytes")))))="",""," "&amp;(IF(ABS(AA25)&gt;=1E12,"TB",IF(ABS(AA25)&gt;=1E9,"GB",IF(ABS(AA25)&gt;=1E6,"MB",IF(ABS(AA25)&gt;=1E3,"KB","bytes"))))))</f>
        <v>0.000 B</v>
      </c>
      <c r="G25" s="33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3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13.297 TFLOPs</v>
      </c>
      <c r="I25" s="33" t="str">
        <f>TEXT(IF(ABS(AB25)&gt;=1E12,AB25/1E12,IF(ABS(AB25)&gt;=1E9,AB25/1E9,IF(ABS(AB25)&gt;=1E6,AB25/1E6,IF(ABS(AB25)&gt;=1E3,AB25/1E3,AB25)))),"#,##0.000")&amp;IF((IF(ABS(AB25)&gt;=1E12,"TB",IF(ABS(AB25)&gt;=1E9,"GB",IF(ABS(AB25)&gt;=1E6,"MB",IF(ABS(AB25)&gt;=1E3,"KB","bytes")))))="",""," "&amp;(IF(ABS(AB25)&gt;=1E12,"TB",IF(ABS(AB25)&gt;=1E9,"GB",IF(ABS(AB25)&gt;=1E6,"MB",IF(ABS(AB25)&gt;=1E3,"KB","bytes"))))))</f>
        <v>0.000 B</v>
      </c>
      <c r="J25" s="4" t="s">
        <v>266</v>
      </c>
      <c r="K25" s="4" t="s">
        <v>267</v>
      </c>
      <c r="L25" s="4" t="s">
        <v>268</v>
      </c>
      <c r="U25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2">
        <f>PF_Rows*TotalLayers*2*(HiddenSize*QLoraRank+QLoraRank*TP1LocalHeads*HeadDim+HiddenSize*HeadDim+TP1LocalHeads*HeadDim*OLoraRank+TP1LocalOGroups*OLoraRank*HiddenSize)</f>
        <v>75350906241024.0</v>
      </c>
      <c r="W25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X25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2">
        <f>PF_Rows*TotalLayers*2*(HiddenSize*QLoraRank+QLoraRank*TP8LocalHeads*HeadDim+HiddenSize*HeadDim+TP8LocalHeads*HeadDim*OLoraRank+TP8LocalOGroups*OLoraRank*HiddenSize)</f>
        <v>13297218748416.0</v>
      </c>
      <c r="Z25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  <c r="AA25" s="32">
        <f>0</f>
        <v>0</v>
      </c>
      <c r="AB25" s="32">
        <f>0</f>
        <v>0</v>
      </c>
    </row>
    <row r="26" spans="1:38">
      <c r="A26" s="4" t="s">
        <v>40</v>
      </c>
      <c r="B26" s="4" t="s">
        <v>269</v>
      </c>
      <c r="C26" s="4" t="s">
        <v>270</v>
      </c>
      <c r="D26" s="33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3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272.747 GFLOPs</v>
      </c>
      <c r="F26" s="33" t="str">
        <f>TEXT(IF(ABS(AA26)&gt;=1E12,AA26/1E12,IF(ABS(AA26)&gt;=1E9,AA26/1E9,IF(ABS(AA26)&gt;=1E6,AA26/1E6,IF(ABS(AA26)&gt;=1E3,AA26/1E3,AA26)))),"#,##0.000")&amp;IF((IF(ABS(AA26)&gt;=1E12,"TB",IF(ABS(AA26)&gt;=1E9,"GB",IF(ABS(AA26)&gt;=1E6,"MB",IF(ABS(AA26)&gt;=1E3,"KB","bytes")))))="",""," "&amp;(IF(ABS(AA26)&gt;=1E12,"TB",IF(ABS(AA26)&gt;=1E9,"GB",IF(ABS(AA26)&gt;=1E6,"MB",IF(ABS(AA26)&gt;=1E3,"KB","bytes"))))))</f>
        <v>0.000 B</v>
      </c>
      <c r="G26" s="33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3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68.187 GFLOPs</v>
      </c>
      <c r="I26" s="33" t="str">
        <f>TEXT(IF(ABS(AB26)&gt;=1E12,AB26/1E12,IF(ABS(AB26)&gt;=1E9,AB26/1E9,IF(ABS(AB26)&gt;=1E6,AB26/1E6,IF(ABS(AB26)&gt;=1E3,AB26/1E3,AB26)))),"#,##0.000")&amp;IF((IF(ABS(AB26)&gt;=1E12,"TB",IF(ABS(AB26)&gt;=1E9,"GB",IF(ABS(AB26)&gt;=1E6,"MB",IF(ABS(AB26)&gt;=1E3,"KB","bytes")))))="",""," "&amp;(IF(ABS(AB26)&gt;=1E12,"TB",IF(ABS(AB26)&gt;=1E9,"GB",IF(ABS(AB26)&gt;=1E6,"MB",IF(ABS(AB26)&gt;=1E3,"KB","bytes"))))))</f>
        <v>0.000 B</v>
      </c>
      <c r="J26" s="4" t="s">
        <v>256</v>
      </c>
      <c r="K26" s="4" t="s">
        <v>271</v>
      </c>
      <c r="L26" s="4" t="s">
        <v>272</v>
      </c>
      <c r="U26" s="32">
        <f>0</f>
        <v>0</v>
      </c>
      <c r="V26" s="32">
        <f>4*PrefillBatch*TP1KernelLocalHeads*HeadDim*(WindowLayers*PF_RawPairs)</f>
        <v>272747200512.0</v>
      </c>
      <c r="W26" s="32">
        <f>(PF_Rows*WindowLayers*TP1KernelLocalHeads*HeadDim*BF16Bytes+PrefillBatch*(WindowLayers*PF_RawPairs)*HeadDim*BF16Bytes)+(PF_Rows*WindowLayers*TP1KernelLocalHeads*HeadDim*BF16Bytes)</f>
        <v>4278321152.0</v>
      </c>
      <c r="X26" s="32">
        <f>0</f>
        <v>0</v>
      </c>
      <c r="Y26" s="32">
        <f>4*PrefillBatch*TP8KernelLocalHeads*HeadDim*(WindowLayers*PF_RawPairs)</f>
        <v>68186800128.0</v>
      </c>
      <c r="Z26" s="32">
        <f>(PF_Rows*WindowLayers*TP8KernelLocalHeads*HeadDim*BF16Bytes+PrefillBatch*(WindowLayers*PF_RawPairs)*HeadDim*BF16Bytes)+(PF_Rows*WindowLayers*TP8KernelLocalHeads*HeadDim*BF16Bytes)</f>
        <v>2667708416</v>
      </c>
      <c r="AA26" s="32">
        <f>0</f>
        <v>0</v>
      </c>
      <c r="AB26" s="32">
        <f>0</f>
        <v>0</v>
      </c>
    </row>
    <row r="27" spans="1:38">
      <c r="A27" s="4" t="s">
        <v>40</v>
      </c>
      <c r="B27" s="4" t="s">
        <v>273</v>
      </c>
      <c r="C27" s="4" t="s">
        <v>274</v>
      </c>
      <c r="D27" s="33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3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12.964 TFLOPs</v>
      </c>
      <c r="F27" s="33" t="str">
        <f>TEXT(IF(ABS(AA27)&gt;=1E12,AA27/1E12,IF(ABS(AA27)&gt;=1E9,AA27/1E9,IF(ABS(AA27)&gt;=1E6,AA27/1E6,IF(ABS(AA27)&gt;=1E3,AA27/1E3,AA27)))),"#,##0.000")&amp;IF((IF(ABS(AA27)&gt;=1E12,"TB",IF(ABS(AA27)&gt;=1E9,"GB",IF(ABS(AA27)&gt;=1E6,"MB",IF(ABS(AA27)&gt;=1E3,"KB","bytes")))))="",""," "&amp;(IF(ABS(AA27)&gt;=1E12,"TB",IF(ABS(AA27)&gt;=1E9,"GB",IF(ABS(AA27)&gt;=1E6,"MB",IF(ABS(AA27)&gt;=1E3,"KB","bytes"))))))</f>
        <v>0.000 B</v>
      </c>
      <c r="G27" s="33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3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3.241 TFLOPs</v>
      </c>
      <c r="I27" s="33" t="str">
        <f>TEXT(IF(ABS(AB27)&gt;=1E12,AB27/1E12,IF(ABS(AB27)&gt;=1E9,AB27/1E9,IF(ABS(AB27)&gt;=1E6,AB27/1E6,IF(ABS(AB27)&gt;=1E3,AB27/1E3,AB27)))),"#,##0.000")&amp;IF((IF(ABS(AB27)&gt;=1E12,"TB",IF(ABS(AB27)&gt;=1E9,"GB",IF(ABS(AB27)&gt;=1E6,"MB",IF(ABS(AB27)&gt;=1E3,"KB","bytes")))))="",""," "&amp;(IF(ABS(AB27)&gt;=1E12,"TB",IF(ABS(AB27)&gt;=1E9,"GB",IF(ABS(AB27)&gt;=1E6,"MB",IF(ABS(AB27)&gt;=1E3,"KB","bytes"))))))</f>
        <v>0.000 B</v>
      </c>
      <c r="J27" s="4" t="s">
        <v>256</v>
      </c>
      <c r="K27" s="4" t="s">
        <v>275</v>
      </c>
      <c r="L27" s="4" t="s">
        <v>272</v>
      </c>
      <c r="U27" s="32">
        <f>0</f>
        <v>0</v>
      </c>
      <c r="V27" s="32">
        <f>4*PrefillBatch*TP1KernelLocalHeads*HeadDim*(ShortLayers*(PF_RawPairs+PF_ShortPairs))</f>
        <v>12964199399424.0</v>
      </c>
      <c r="W27" s="32">
        <f>(PF_Rows*ShortLayers*TP1KernelLocalHeads*HeadDim*BF16Bytes+PrefillBatch*(ShortLayers*(PF_RawPairs+PF_ShortPairs))*HeadDim*BF16Bytes)+(PF_Rows*ShortLayers*TP1KernelLocalHeads*HeadDim*BF16Bytes)</f>
        <v>123831386112.0</v>
      </c>
      <c r="X27" s="32">
        <f>0</f>
        <v>0</v>
      </c>
      <c r="Y27" s="32">
        <f>4*PrefillBatch*TP8KernelLocalHeads*HeadDim*(ShortLayers*(PF_RawPairs+PF_ShortPairs))</f>
        <v>3241049849856.0</v>
      </c>
      <c r="Z27" s="32">
        <f>(PF_Rows*ShortLayers*TP8KernelLocalHeads*HeadDim*BF16Bytes+PrefillBatch*(ShortLayers*(PF_RawPairs+PF_ShortPairs))*HeadDim*BF16Bytes)+(PF_Rows*ShortLayers*TP8KernelLocalHeads*HeadDim*BF16Bytes)</f>
        <v>106919952384</v>
      </c>
      <c r="AA27" s="32">
        <f>0</f>
        <v>0</v>
      </c>
      <c r="AB27" s="32">
        <f>0</f>
        <v>0</v>
      </c>
    </row>
    <row r="28" spans="1:38">
      <c r="A28" s="4" t="s">
        <v>40</v>
      </c>
      <c r="B28" s="4" t="s">
        <v>276</v>
      </c>
      <c r="C28" s="4" t="s">
        <v>277</v>
      </c>
      <c r="D28" s="33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3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3.404 TFLOPs</v>
      </c>
      <c r="F28" s="33" t="str">
        <f>TEXT(IF(ABS(AA28)&gt;=1E12,AA28/1E12,IF(ABS(AA28)&gt;=1E9,AA28/1E9,IF(ABS(AA28)&gt;=1E6,AA28/1E6,IF(ABS(AA28)&gt;=1E3,AA28/1E3,AA28)))),"#,##0.000")&amp;IF((IF(ABS(AA28)&gt;=1E12,"TB",IF(ABS(AA28)&gt;=1E9,"GB",IF(ABS(AA28)&gt;=1E6,"MB",IF(ABS(AA28)&gt;=1E3,"KB","bytes")))))="",""," "&amp;(IF(ABS(AA28)&gt;=1E12,"TB",IF(ABS(AA28)&gt;=1E9,"GB",IF(ABS(AA28)&gt;=1E6,"MB",IF(ABS(AA28)&gt;=1E3,"KB","bytes"))))))</f>
        <v>0.000 B</v>
      </c>
      <c r="G28" s="33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3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851.024 GFLOPs</v>
      </c>
      <c r="I28" s="33" t="str">
        <f>TEXT(IF(ABS(AB28)&gt;=1E12,AB28/1E12,IF(ABS(AB28)&gt;=1E9,AB28/1E9,IF(ABS(AB28)&gt;=1E6,AB28/1E6,IF(ABS(AB28)&gt;=1E3,AB28/1E3,AB28)))),"#,##0.000")&amp;IF((IF(ABS(AB28)&gt;=1E12,"TB",IF(ABS(AB28)&gt;=1E9,"GB",IF(ABS(AB28)&gt;=1E6,"MB",IF(ABS(AB28)&gt;=1E3,"KB","bytes")))))="",""," "&amp;(IF(ABS(AB28)&gt;=1E12,"TB",IF(ABS(AB28)&gt;=1E9,"GB",IF(ABS(AB28)&gt;=1E6,"MB",IF(ABS(AB28)&gt;=1E3,"KB","bytes"))))))</f>
        <v>0.000 B</v>
      </c>
      <c r="J28" s="4" t="s">
        <v>256</v>
      </c>
      <c r="K28" s="4" t="s">
        <v>275</v>
      </c>
      <c r="L28" s="4" t="s">
        <v>272</v>
      </c>
      <c r="U28" s="32">
        <f>0</f>
        <v>0</v>
      </c>
      <c r="V28" s="32">
        <f>4*PrefillBatch*TP1KernelLocalHeads*HeadDim*(LongLayers*(PF_RawPairs+PF_LongPairs))</f>
        <v>3404097126400.0</v>
      </c>
      <c r="W28" s="32">
        <f>(PF_Rows*LongLayers*TP1KernelLocalHeads*HeadDim*BF16Bytes+PrefillBatch*(LongLayers*(PF_RawPairs+PF_LongPairs))*HeadDim*BF16Bytes)+(PF_Rows*LongLayers*TP1KernelLocalHeads*HeadDim*BF16Bytes)</f>
        <v>48069345280.0</v>
      </c>
      <c r="X28" s="32">
        <f>0</f>
        <v>0</v>
      </c>
      <c r="Y28" s="32">
        <f>4*PrefillBatch*TP8KernelLocalHeads*HeadDim*(LongLayers*(PF_RawPairs+PF_LongPairs))</f>
        <v>851024281600.0</v>
      </c>
      <c r="Z28" s="32">
        <f>(PF_Rows*LongLayers*TP8KernelLocalHeads*HeadDim*BF16Bytes+PrefillBatch*(LongLayers*(PF_RawPairs+PF_LongPairs))*HeadDim*BF16Bytes)+(PF_Rows*LongLayers*TP8KernelLocalHeads*HeadDim*BF16Bytes)</f>
        <v>31963217920</v>
      </c>
      <c r="AA28" s="32">
        <f>0</f>
        <v>0</v>
      </c>
      <c r="AB28" s="32">
        <f>0</f>
        <v>0</v>
      </c>
    </row>
    <row r="29" spans="1:38">
      <c r="A29" s="4" t="s">
        <v>40</v>
      </c>
      <c r="B29" s="4" t="s">
        <v>278</v>
      </c>
      <c r="C29" s="4" t="s">
        <v>158</v>
      </c>
      <c r="D29" s="33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3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2.976 TFLOPs</v>
      </c>
      <c r="F29" s="33" t="str">
        <f>TEXT(IF(ABS(AA29)&gt;=1E12,AA29/1E12,IF(ABS(AA29)&gt;=1E9,AA29/1E9,IF(ABS(AA29)&gt;=1E6,AA29/1E6,IF(ABS(AA29)&gt;=1E3,AA29/1E3,AA29)))),"#,##0.000")&amp;IF((IF(ABS(AA29)&gt;=1E12,"TB",IF(ABS(AA29)&gt;=1E9,"GB",IF(ABS(AA29)&gt;=1E6,"MB",IF(ABS(AA29)&gt;=1E3,"KB","bytes")))))="",""," "&amp;(IF(ABS(AA29)&gt;=1E12,"TB",IF(ABS(AA29)&gt;=1E9,"GB",IF(ABS(AA29)&gt;=1E6,"MB",IF(ABS(AA29)&gt;=1E3,"KB","bytes"))))))</f>
        <v>0.000 B</v>
      </c>
      <c r="G29" s="33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3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372.052 GFLOPs</v>
      </c>
      <c r="I29" s="33" t="str">
        <f>TEXT(IF(ABS(AB29)&gt;=1E12,AB29/1E12,IF(ABS(AB29)&gt;=1E9,AB29/1E9,IF(ABS(AB29)&gt;=1E6,AB29/1E6,IF(ABS(AB29)&gt;=1E3,AB29/1E3,AB29)))),"#,##0.000")&amp;IF((IF(ABS(AB29)&gt;=1E12,"TB",IF(ABS(AB29)&gt;=1E9,"GB",IF(ABS(AB29)&gt;=1E6,"MB",IF(ABS(AB29)&gt;=1E3,"KB","bytes")))))="",""," "&amp;(IF(ABS(AB29)&gt;=1E12,"TB",IF(ABS(AB29)&gt;=1E9,"GB",IF(ABS(AB29)&gt;=1E6,"MB",IF(ABS(AB29)&gt;=1E3,"KB","bytes"))))))</f>
        <v>0.000 B</v>
      </c>
      <c r="J29" s="4" t="s">
        <v>279</v>
      </c>
      <c r="K29" s="4" t="s">
        <v>280</v>
      </c>
      <c r="L29" s="4" t="s">
        <v>281</v>
      </c>
      <c r="U29" s="32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2">
        <f>2*PF_Rows*ShortLayers*(QLoraRank*TP1LocalIndexHeads*IndexHeadDim+HiddenSize*TP1LocalIndexHeads)</f>
        <v>2976412336128.0</v>
      </c>
      <c r="W29" s="32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X29" s="32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2">
        <f>2*PF_Rows*ShortLayers*(QLoraRank*TP8LocalIndexHeads*IndexHeadDim+HiddenSize*TP8LocalIndexHeads)</f>
        <v>372051542016.0</v>
      </c>
      <c r="Z29" s="32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  <c r="AA29" s="32">
        <f>0</f>
        <v>0</v>
      </c>
      <c r="AB29" s="32">
        <f>0</f>
        <v>0</v>
      </c>
    </row>
    <row r="30" spans="1:38">
      <c r="A30" s="4" t="s">
        <v>40</v>
      </c>
      <c r="B30" s="4" t="s">
        <v>282</v>
      </c>
      <c r="C30" s="4" t="s">
        <v>158</v>
      </c>
      <c r="D30" s="33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3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2.886 TFLOPs</v>
      </c>
      <c r="F30" s="33" t="str">
        <f>TEXT(IF(ABS(AA30)&gt;=1E12,AA30/1E12,IF(ABS(AA30)&gt;=1E9,AA30/1E9,IF(ABS(AA30)&gt;=1E6,AA30/1E6,IF(ABS(AA30)&gt;=1E3,AA30/1E3,AA30)))),"#,##0.000")&amp;IF((IF(ABS(AA30)&gt;=1E12,"TB",IF(ABS(AA30)&gt;=1E9,"GB",IF(ABS(AA30)&gt;=1E6,"MB",IF(ABS(AA30)&gt;=1E3,"KB","bytes")))))="",""," "&amp;(IF(ABS(AA30)&gt;=1E12,"TB",IF(ABS(AA30)&gt;=1E9,"GB",IF(ABS(AA30)&gt;=1E6,"MB",IF(ABS(AA30)&gt;=1E3,"KB","bytes"))))))</f>
        <v>0.000 B</v>
      </c>
      <c r="G30" s="33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3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360.689 GFLOPs</v>
      </c>
      <c r="I30" s="33" t="str">
        <f>TEXT(IF(ABS(AB30)&gt;=1E12,AB30/1E12,IF(ABS(AB30)&gt;=1E9,AB30/1E9,IF(ABS(AB30)&gt;=1E6,AB30/1E6,IF(ABS(AB30)&gt;=1E3,AB30/1E3,AB30)))),"#,##0.000")&amp;IF((IF(ABS(AB30)&gt;=1E12,"TB",IF(ABS(AB30)&gt;=1E9,"GB",IF(ABS(AB30)&gt;=1E6,"MB",IF(ABS(AB30)&gt;=1E3,"KB","bytes")))))="",""," "&amp;(IF(ABS(AB30)&gt;=1E12,"TB",IF(ABS(AB30)&gt;=1E9,"GB",IF(ABS(AB30)&gt;=1E6,"MB",IF(ABS(AB30)&gt;=1E3,"KB","bytes"))))))</f>
        <v>0.000 B</v>
      </c>
      <c r="J30" s="4" t="s">
        <v>256</v>
      </c>
      <c r="K30" s="4" t="s">
        <v>283</v>
      </c>
      <c r="L30" s="4" t="s">
        <v>284</v>
      </c>
      <c r="U30" s="32">
        <f>0</f>
        <v>0</v>
      </c>
      <c r="V30" s="32">
        <f>2*PrefillBatch*ShortLayers*TP1LocalIndexHeads*IndexHeadDim*PF_IndexPairs</f>
        <v>2885513379840.0</v>
      </c>
      <c r="W30" s="32">
        <f>(PrefillBatch*ShortLayers*PF_IndexPairs*(IndexHeadDim*BF16Bytes+TP1LocalIndexHeads*BF16Bytes))+(PrefillBatch*ShortLayers*PF_IndexPairs*(TP1LocalIndexHeads*BF16Bytes+FP32Bytes))</f>
        <v>90876764160.0</v>
      </c>
      <c r="X30" s="32">
        <f>0</f>
        <v>0</v>
      </c>
      <c r="Y30" s="32">
        <f>2*PrefillBatch*ShortLayers*TP8LocalIndexHeads*IndexHeadDim*PF_IndexPairs</f>
        <v>360689172480.0</v>
      </c>
      <c r="Z30" s="32">
        <f>(PrefillBatch*ShortLayers*PF_IndexPairs*(IndexHeadDim*BF16Bytes+TP8LocalIndexHeads*BF16Bytes))+(PrefillBatch*ShortLayers*PF_IndexPairs*(TP8LocalIndexHeads*BF16Bytes+FP32Bytes))</f>
        <v>51426385920.0</v>
      </c>
      <c r="AA30" s="32">
        <f>0</f>
        <v>0</v>
      </c>
      <c r="AB30" s="32">
        <f>0</f>
        <v>0</v>
      </c>
    </row>
    <row r="31" spans="1:38">
      <c r="A31" s="4" t="s">
        <v>40</v>
      </c>
      <c r="B31" s="4" t="s">
        <v>285</v>
      </c>
      <c r="C31" s="4" t="s">
        <v>274</v>
      </c>
      <c r="D31" s="33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3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2.886 TFLOPs</v>
      </c>
      <c r="F31" s="33" t="str">
        <f>TEXT(IF(ABS(AA31)&gt;=1E12,AA31/1E12,IF(ABS(AA31)&gt;=1E9,AA31/1E9,IF(ABS(AA31)&gt;=1E6,AA31/1E6,IF(ABS(AA31)&gt;=1E3,AA31/1E3,AA31)))),"#,##0.000")&amp;IF((IF(ABS(AA31)&gt;=1E12,"TB",IF(ABS(AA31)&gt;=1E9,"GB",IF(ABS(AA31)&gt;=1E6,"MB",IF(ABS(AA31)&gt;=1E3,"KB","bytes")))))="",""," "&amp;(IF(ABS(AA31)&gt;=1E12,"TB",IF(ABS(AA31)&gt;=1E9,"GB",IF(ABS(AA31)&gt;=1E6,"MB",IF(ABS(AA31)&gt;=1E3,"KB","bytes"))))))</f>
        <v>0.000 B</v>
      </c>
      <c r="G31" s="33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3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2.886 TFLOPs</v>
      </c>
      <c r="I31" s="33" t="str">
        <f>TEXT(IF(ABS(AB31)&gt;=1E12,AB31/1E12,IF(ABS(AB31)&gt;=1E9,AB31/1E9,IF(ABS(AB31)&gt;=1E6,AB31/1E6,IF(ABS(AB31)&gt;=1E3,AB31/1E3,AB31)))),"#,##0.000")&amp;IF((IF(ABS(AB31)&gt;=1E12,"TB",IF(ABS(AB31)&gt;=1E9,"GB",IF(ABS(AB31)&gt;=1E6,"MB",IF(ABS(AB31)&gt;=1E3,"KB","bytes")))))="",""," "&amp;(IF(ABS(AB31)&gt;=1E12,"TB",IF(ABS(AB31)&gt;=1E9,"GB",IF(ABS(AB31)&gt;=1E6,"MB",IF(ABS(AB31)&gt;=1E3,"KB","bytes"))))))</f>
        <v>0.000 B</v>
      </c>
      <c r="J31" s="4" t="s">
        <v>286</v>
      </c>
      <c r="K31" s="4" t="s">
        <v>287</v>
      </c>
      <c r="L31" s="4" t="s">
        <v>288</v>
      </c>
      <c r="U31" s="32">
        <f>ShortLayers*(2*HiddenSize*(2*HeadDim)*FP32Bytes+ShortRatio*2*HeadDim*FP32Bytes+HeadDim*FP32Bytes)</f>
        <v>705030144</v>
      </c>
      <c r="V31" s="32">
        <f>PF_Rows*ShortLayers*8*HiddenSize*HeadDim</f>
        <v>2886218022912</v>
      </c>
      <c r="W31" s="32">
        <f>(ShortLayers*(2*HiddenSize*(2*HeadDim)*FP32Bytes+ShortRatio*2*HeadDim*FP32Bytes+HeadDim*FP32Bytes)+PF_Rows*ShortLayers*HiddenSize*FP32Bytes)+(PF_Rows*ShortLayers*4*HeadDim*FP32Bytes)</f>
        <v>4932888576</v>
      </c>
      <c r="X31" s="32">
        <f>ShortLayers*(2*HiddenSize*(2*HeadDim)*FP32Bytes+ShortRatio*2*HeadDim*FP32Bytes+HeadDim*FP32Bytes)</f>
        <v>705030144</v>
      </c>
      <c r="Y31" s="32">
        <f>PF_Rows*ShortLayers*8*HiddenSize*HeadDim</f>
        <v>2886218022912</v>
      </c>
      <c r="Z31" s="32">
        <f>(ShortLayers*(2*HiddenSize*(2*HeadDim)*FP32Bytes+ShortRatio*2*HeadDim*FP32Bytes+HeadDim*FP32Bytes)+PF_Rows*ShortLayers*HiddenSize*FP32Bytes)+(PF_Rows*ShortLayers*4*HeadDim*FP32Bytes)</f>
        <v>4932888576</v>
      </c>
      <c r="AA31" s="32">
        <f>0</f>
        <v>0</v>
      </c>
      <c r="AB31" s="32">
        <f>0</f>
        <v>0</v>
      </c>
    </row>
    <row r="32" spans="1:38">
      <c r="A32" s="4" t="s">
        <v>40</v>
      </c>
      <c r="B32" s="4" t="s">
        <v>289</v>
      </c>
      <c r="C32" s="4" t="s">
        <v>277</v>
      </c>
      <c r="D32" s="33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3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1.374 TFLOPs</v>
      </c>
      <c r="F32" s="33" t="str">
        <f>TEXT(IF(ABS(AA32)&gt;=1E12,AA32/1E12,IF(ABS(AA32)&gt;=1E9,AA32/1E9,IF(ABS(AA32)&gt;=1E6,AA32/1E6,IF(ABS(AA32)&gt;=1E3,AA32/1E3,AA32)))),"#,##0.000")&amp;IF((IF(ABS(AA32)&gt;=1E12,"TB",IF(ABS(AA32)&gt;=1E9,"GB",IF(ABS(AA32)&gt;=1E6,"MB",IF(ABS(AA32)&gt;=1E3,"KB","bytes")))))="",""," "&amp;(IF(ABS(AA32)&gt;=1E12,"TB",IF(ABS(AA32)&gt;=1E9,"GB",IF(ABS(AA32)&gt;=1E6,"MB",IF(ABS(AA32)&gt;=1E3,"KB","bytes"))))))</f>
        <v>0.000 B</v>
      </c>
      <c r="G32" s="33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3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1.374 TFLOPs</v>
      </c>
      <c r="I32" s="33" t="str">
        <f>TEXT(IF(ABS(AB32)&gt;=1E12,AB32/1E12,IF(ABS(AB32)&gt;=1E9,AB32/1E9,IF(ABS(AB32)&gt;=1E6,AB32/1E6,IF(ABS(AB32)&gt;=1E3,AB32/1E3,AB32)))),"#,##0.000")&amp;IF((IF(ABS(AB32)&gt;=1E12,"TB",IF(ABS(AB32)&gt;=1E9,"GB",IF(ABS(AB32)&gt;=1E6,"MB",IF(ABS(AB32)&gt;=1E3,"KB","bytes")))))="",""," "&amp;(IF(ABS(AB32)&gt;=1E12,"TB",IF(ABS(AB32)&gt;=1E9,"GB",IF(ABS(AB32)&gt;=1E6,"MB",IF(ABS(AB32)&gt;=1E3,"KB","bytes"))))))</f>
        <v>0.000 B</v>
      </c>
      <c r="J32" s="4" t="s">
        <v>286</v>
      </c>
      <c r="K32" s="4" t="s">
        <v>287</v>
      </c>
      <c r="L32" s="4" t="s">
        <v>290</v>
      </c>
      <c r="U32" s="32">
        <f>LongLayers*(2*HiddenSize*HeadDim*FP32Bytes+LongRatio*HeadDim*FP32Bytes+HeadDim*FP32Bytes)</f>
        <v>340828160</v>
      </c>
      <c r="V32" s="32">
        <f>PF_Rows*LongLayers*4*HiddenSize*HeadDim</f>
        <v>1374389534720</v>
      </c>
      <c r="W32" s="32">
        <f>(LongLayers*(2*HiddenSize*HeadDim*FP32Bytes+LongRatio*HeadDim*FP32Bytes+HeadDim*FP32Bytes)+PF_Rows*LongLayers*HiddenSize*FP32Bytes)+(PF_Rows*LongLayers*2*HeadDim*FP32Bytes)</f>
        <v>3696271360</v>
      </c>
      <c r="X32" s="32">
        <f>LongLayers*(2*HiddenSize*HeadDim*FP32Bytes+LongRatio*HeadDim*FP32Bytes+HeadDim*FP32Bytes)</f>
        <v>340828160</v>
      </c>
      <c r="Y32" s="32">
        <f>PF_Rows*LongLayers*4*HiddenSize*HeadDim</f>
        <v>1374389534720</v>
      </c>
      <c r="Z32" s="32">
        <f>(LongLayers*(2*HiddenSize*HeadDim*FP32Bytes+LongRatio*HeadDim*FP32Bytes+HeadDim*FP32Bytes)+PF_Rows*LongLayers*HiddenSize*FP32Bytes)+(PF_Rows*LongLayers*2*HeadDim*FP32Bytes)</f>
        <v>3696271360</v>
      </c>
      <c r="AA32" s="32">
        <f>0</f>
        <v>0</v>
      </c>
      <c r="AB32" s="32">
        <f>0</f>
        <v>0</v>
      </c>
    </row>
    <row r="33" spans="1:50">
      <c r="A33" s="4" t="s">
        <v>40</v>
      </c>
      <c r="B33" s="4" t="s">
        <v>291</v>
      </c>
      <c r="C33" s="4" t="s">
        <v>158</v>
      </c>
      <c r="D33" s="33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3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721.555 GFLOPs</v>
      </c>
      <c r="F33" s="33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G33" s="33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3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721.555 GFLOPs</v>
      </c>
      <c r="I33" s="33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292</v>
      </c>
      <c r="K33" s="4" t="s">
        <v>293</v>
      </c>
      <c r="L33" s="4" t="s">
        <v>294</v>
      </c>
      <c r="U33" s="32">
        <f>ShortLayers*(2*HiddenSize*(2*IndexHeadDim)*FP32Bytes+ShortRatio*2*IndexHeadDim*FP32Bytes+IndexHeadDim*FP32Bytes)</f>
        <v>176257536</v>
      </c>
      <c r="V33" s="32">
        <f>PF_Rows*ShortLayers*8*HiddenSize*IndexHeadDim</f>
        <v>721554505728</v>
      </c>
      <c r="W33" s="32">
        <f>(ShortLayers*(2*HiddenSize*(2*IndexHeadDim)*FP32Bytes+ShortRatio*2*IndexHeadDim*FP32Bytes+IndexHeadDim*FP32Bytes)+PF_Rows*ShortLayers*HiddenSize*FP32Bytes)+(PF_Rows*ShortLayers*4*IndexHeadDim*FP32Bytes)</f>
        <v>3347151360</v>
      </c>
      <c r="X33" s="32">
        <f>ShortLayers*(2*HiddenSize*(2*IndexHeadDim)*FP32Bytes+ShortRatio*2*IndexHeadDim*FP32Bytes+IndexHeadDim*FP32Bytes)</f>
        <v>176257536</v>
      </c>
      <c r="Y33" s="32">
        <f>PF_Rows*ShortLayers*8*HiddenSize*IndexHeadDim</f>
        <v>721554505728</v>
      </c>
      <c r="Z33" s="32">
        <f>(ShortLayers*(2*HiddenSize*(2*IndexHeadDim)*FP32Bytes+ShortRatio*2*IndexHeadDim*FP32Bytes+IndexHeadDim*FP32Bytes)+PF_Rows*ShortLayers*HiddenSize*FP32Bytes)+(PF_Rows*ShortLayers*4*IndexHeadDim*FP32Bytes)</f>
        <v>3347151360</v>
      </c>
      <c r="AA33" s="32">
        <f>0</f>
        <v>0</v>
      </c>
      <c r="AB33" s="32">
        <f>0</f>
        <v>0</v>
      </c>
    </row>
    <row r="34" spans="1:50">
      <c r="A34" s="4" t="s">
        <v>40</v>
      </c>
      <c r="B34" s="4" t="s">
        <v>295</v>
      </c>
      <c r="C34" s="4" t="s">
        <v>296</v>
      </c>
      <c r="D34" s="33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3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3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G34" s="33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3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3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20.200 GB</v>
      </c>
      <c r="J34" s="4" t="s">
        <v>256</v>
      </c>
      <c r="K34" s="4" t="s">
        <v>297</v>
      </c>
      <c r="L34" s="4" t="s">
        <v>298</v>
      </c>
      <c r="U34" s="32">
        <f>0</f>
        <v>0</v>
      </c>
      <c r="V34" s="32">
        <f>0</f>
        <v>0</v>
      </c>
      <c r="W34" s="32">
        <f>(0)+(0)</f>
        <v>0</v>
      </c>
      <c r="X34" s="32">
        <f>0</f>
        <v>0</v>
      </c>
      <c r="Y34" s="32">
        <f>0</f>
        <v>0</v>
      </c>
      <c r="Z34" s="32">
        <f>(0)+(0)</f>
        <v>0</v>
      </c>
      <c r="AA34" s="32">
        <f>4*(TP1Size-1)/TP1Size*PF_Rows*HiddenSize*FP32Bytes*TotalLayers</f>
        <v>0.0</v>
      </c>
      <c r="AB34" s="32">
        <f>4*(TP8Size-1)/TP8Size*PF_Rows*HiddenSize*FP32Bytes*TotalLayers</f>
        <v>20199768064.0</v>
      </c>
    </row>
    <row r="35" spans="1:50">
      <c r="A35" s="4" t="s">
        <v>40</v>
      </c>
      <c r="B35" s="4" t="s">
        <v>299</v>
      </c>
      <c r="C35" s="4" t="s">
        <v>300</v>
      </c>
      <c r="D35" s="33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50.987 MB</v>
      </c>
      <c r="E35" s="33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3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G35" s="33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50.987 MB</v>
      </c>
      <c r="H35" s="33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3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256</v>
      </c>
      <c r="K35" s="4" t="s">
        <v>301</v>
      </c>
      <c r="L35" s="4" t="s">
        <v>302</v>
      </c>
      <c r="U35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V35" s="32">
        <f>0</f>
        <v>0</v>
      </c>
      <c r="W35" s="32">
        <f>(0)+(0)</f>
        <v>0</v>
      </c>
      <c r="X35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Y35" s="32">
        <f>0</f>
        <v>0</v>
      </c>
      <c r="Z35" s="32">
        <f>(0)+(0)</f>
        <v>0</v>
      </c>
      <c r="AA35" s="32">
        <f>0</f>
        <v>0</v>
      </c>
      <c r="AB35" s="32">
        <f>0</f>
        <v>0</v>
      </c>
    </row>
    <row r="36" spans="1:50">
      <c r="A36" s="4" t="s">
        <v>40</v>
      </c>
      <c r="B36" s="4" t="s">
        <v>303</v>
      </c>
      <c r="C36" s="4" t="s">
        <v>300</v>
      </c>
      <c r="D36" s="33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11.010 MB</v>
      </c>
      <c r="E36" s="33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3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G36" s="33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11.010 MB</v>
      </c>
      <c r="H36" s="33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3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256</v>
      </c>
      <c r="K36" s="4" t="s">
        <v>304</v>
      </c>
      <c r="L36" s="4" t="s">
        <v>305</v>
      </c>
      <c r="U36" s="32">
        <f>PrefillBatch*ShortLayers*INT(PrefillSequence/ShortRatio)*IndexHeadDim*BF16Bytes</f>
        <v>11010048</v>
      </c>
      <c r="V36" s="32">
        <f>0</f>
        <v>0</v>
      </c>
      <c r="W36" s="32">
        <f>(0)+(0)</f>
        <v>0</v>
      </c>
      <c r="X36" s="32">
        <f>PrefillBatch*ShortLayers*INT(PrefillSequence/ShortRatio)*IndexHeadDim*BF16Bytes</f>
        <v>11010048</v>
      </c>
      <c r="Y36" s="32">
        <f>0</f>
        <v>0</v>
      </c>
      <c r="Z36" s="32">
        <f>(0)+(0)</f>
        <v>0</v>
      </c>
      <c r="AA36" s="32">
        <f>0</f>
        <v>0</v>
      </c>
      <c r="AB36" s="32">
        <f>0</f>
        <v>0</v>
      </c>
    </row>
    <row r="37" spans="1:50">
      <c r="A37" s="4" t="s">
        <v>40</v>
      </c>
      <c r="B37" s="4" t="s">
        <v>306</v>
      </c>
      <c r="C37" s="4" t="s">
        <v>300</v>
      </c>
      <c r="D37" s="33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3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3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G37" s="33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3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3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256</v>
      </c>
      <c r="K37" s="4" t="s">
        <v>307</v>
      </c>
      <c r="L37" s="4" t="s">
        <v>308</v>
      </c>
      <c r="U37" s="32">
        <f>PrefillBatch*FP32Bytes*(ShortLayers*2*(2*ShortRatio)*(2*HeadDim)+LongLayers*2*LongRatio*HeadDim+ShortLayers*2*(2*ShortRatio)*(2*IndexHeadDim))</f>
        <v>12206080</v>
      </c>
      <c r="V37" s="32">
        <f>0</f>
        <v>0</v>
      </c>
      <c r="W37" s="32">
        <f>(0)+(0)</f>
        <v>0</v>
      </c>
      <c r="X37" s="32">
        <f>PrefillBatch*FP32Bytes*(ShortLayers*2*(2*ShortRatio)*(2*HeadDim)+LongLayers*2*LongRatio*HeadDim+ShortLayers*2*(2*ShortRatio)*(2*IndexHeadDim))</f>
        <v>12206080</v>
      </c>
      <c r="Y37" s="32">
        <f>0</f>
        <v>0</v>
      </c>
      <c r="Z37" s="32">
        <f>(0)+(0)</f>
        <v>0</v>
      </c>
      <c r="AA37" s="32">
        <f>0</f>
        <v>0</v>
      </c>
      <c r="AB37" s="32">
        <f>0</f>
        <v>0</v>
      </c>
    </row>
    <row r="38" spans="1:50">
      <c r="A38" s="4" t="s">
        <v>40</v>
      </c>
      <c r="B38" s="4" t="s">
        <v>309</v>
      </c>
      <c r="C38" s="4" t="s">
        <v>300</v>
      </c>
      <c r="D38" s="33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3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3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G38" s="33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3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3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256</v>
      </c>
      <c r="K38" s="4" t="s">
        <v>310</v>
      </c>
      <c r="L38" s="4" t="s">
        <v>311</v>
      </c>
      <c r="U38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V38" s="32">
        <f>0</f>
        <v>0</v>
      </c>
      <c r="W38" s="32">
        <f>(0)+(0)</f>
        <v>0</v>
      </c>
      <c r="X38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Y38" s="32">
        <f>0</f>
        <v>0</v>
      </c>
      <c r="Z38" s="32">
        <f>(0)+(0)</f>
        <v>0</v>
      </c>
      <c r="AA38" s="32">
        <f>0</f>
        <v>0</v>
      </c>
      <c r="AB38" s="32">
        <f>0</f>
        <v>0</v>
      </c>
    </row>
    <row r="39" spans="1:50">
      <c r="A39" s="4" t="s">
        <v>59</v>
      </c>
      <c r="B39" s="4" t="s">
        <v>312</v>
      </c>
      <c r="C39" s="4" t="s">
        <v>265</v>
      </c>
      <c r="D39" s="33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3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3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G39" s="33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3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738.734 GFLOPs</v>
      </c>
      <c r="I39" s="33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313</v>
      </c>
      <c r="K39" s="4" t="s">
        <v>314</v>
      </c>
      <c r="L39" s="4" t="s">
        <v>315</v>
      </c>
      <c r="U39" s="32">
        <f>TotalLayers*RoutedExperts*HiddenSize*BF16Bytes+(TotalLayers-ActiveHashLayers)*RoutedExperts*FP32Bytes+ActiveHashLayers*VocabSize*ActivatedExperts*INT32Bytes</f>
        <v>99526656</v>
      </c>
      <c r="V39" s="32">
        <f>2*PF_Rows*TotalLayers*HiddenSize*RoutedExperts</f>
        <v>738734374912</v>
      </c>
      <c r="W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X39" s="32">
        <f>TotalLayers*RoutedExperts*HiddenSize*BF16Bytes+(TotalLayers-ActiveHashLayers)*RoutedExperts*FP32Bytes+ActiveHashLayers*VocabSize*ActivatedExperts*INT32Bytes</f>
        <v>99526656</v>
      </c>
      <c r="Y39" s="32">
        <f>2*PF_Rows*TotalLayers*HiddenSize*RoutedExperts</f>
        <v>738734374912</v>
      </c>
      <c r="Z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A39" s="32">
        <f>0</f>
        <v>0</v>
      </c>
      <c r="AB39" s="32">
        <f>0</f>
        <v>0</v>
      </c>
    </row>
    <row r="40" spans="1:50">
      <c r="A40" s="4" t="s">
        <v>59</v>
      </c>
      <c r="B40" s="4" t="s">
        <v>316</v>
      </c>
      <c r="C40" s="4" t="s">
        <v>265</v>
      </c>
      <c r="D40" s="33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3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106.378 TFLOPs</v>
      </c>
      <c r="F40" s="33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G40" s="33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3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13.297 TFLOPs</v>
      </c>
      <c r="I40" s="33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317</v>
      </c>
      <c r="K40" s="4" t="s">
        <v>318</v>
      </c>
      <c r="L40" s="4" t="s">
        <v>319</v>
      </c>
      <c r="U40" s="32">
        <f>TotalLayers*TP1LocalExperts*(3*HiddenSize*ExpertInter*FP4Bytes+3*HiddenSize*ExpertInter/FP4Block*ScaleBytes)</f>
        <v>147169738752.0</v>
      </c>
      <c r="V40" s="32">
        <f>PF_Rows*TotalLayers*(ActivatedExperts/TP1Size)*6*HiddenSize*ExpertInter</f>
        <v>106377749987328.0</v>
      </c>
      <c r="W40" s="32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X40" s="32">
        <f>TotalLayers*TP8LocalExperts*(3*HiddenSize*ExpertInter*FP4Bytes+3*HiddenSize*ExpertInter/FP4Block*ScaleBytes)</f>
        <v>18396217344.0</v>
      </c>
      <c r="Y40" s="32">
        <f>PF_Rows*TotalLayers*(ActivatedExperts/TP8Size)*6*HiddenSize*ExpertInter</f>
        <v>13297218748416.0</v>
      </c>
      <c r="Z40" s="32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  <c r="AA40" s="32">
        <f>0</f>
        <v>0</v>
      </c>
      <c r="AB40" s="32">
        <f>0</f>
        <v>0</v>
      </c>
    </row>
    <row r="41" spans="1:50">
      <c r="A41" s="4" t="s">
        <v>59</v>
      </c>
      <c r="B41" s="4" t="s">
        <v>320</v>
      </c>
      <c r="C41" s="4" t="s">
        <v>265</v>
      </c>
      <c r="D41" s="33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3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3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G41" s="33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3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17.730 TFLOPs</v>
      </c>
      <c r="I41" s="33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321</v>
      </c>
      <c r="K41" s="4" t="s">
        <v>318</v>
      </c>
      <c r="L41" s="4" t="s">
        <v>322</v>
      </c>
      <c r="U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2">
        <f>PF_Rows*TotalLayers*SharedExperts*6*HiddenSize*ExpertInter</f>
        <v>17729624997888</v>
      </c>
      <c r="W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X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2">
        <f>PF_Rows*TotalLayers*SharedExperts*6*HiddenSize*ExpertInter</f>
        <v>17729624997888</v>
      </c>
      <c r="Z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A41" s="32">
        <f>0</f>
        <v>0</v>
      </c>
      <c r="AB41" s="32">
        <f>0</f>
        <v>0</v>
      </c>
    </row>
    <row r="42" spans="1:50">
      <c r="A42" s="4" t="s">
        <v>59</v>
      </c>
      <c r="B42" s="4" t="s">
        <v>323</v>
      </c>
      <c r="C42" s="4" t="s">
        <v>296</v>
      </c>
      <c r="D42" s="33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3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3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G42" s="33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3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3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20.200 GB</v>
      </c>
      <c r="J42" s="4" t="s">
        <v>256</v>
      </c>
      <c r="K42" s="4" t="s">
        <v>297</v>
      </c>
      <c r="L42" s="4" t="s">
        <v>324</v>
      </c>
      <c r="U42" s="32">
        <f>0</f>
        <v>0</v>
      </c>
      <c r="V42" s="32">
        <f>0</f>
        <v>0</v>
      </c>
      <c r="W42" s="32">
        <f>(0)+(0)</f>
        <v>0</v>
      </c>
      <c r="X42" s="32">
        <f>0</f>
        <v>0</v>
      </c>
      <c r="Y42" s="32">
        <f>0</f>
        <v>0</v>
      </c>
      <c r="Z42" s="32">
        <f>(0)+(0)</f>
        <v>0</v>
      </c>
      <c r="AA42" s="32">
        <f>4*(TP1Size-1)/TP1Size*PF_Rows*HiddenSize*FP32Bytes*TotalLayers</f>
        <v>0.0</v>
      </c>
      <c r="AB42" s="32">
        <f>4*(TP8Size-1)/TP8Size*PF_Rows*HiddenSize*FP32Bytes*TotalLayers</f>
        <v>20199768064.0</v>
      </c>
    </row>
    <row r="43" spans="1:50">
      <c r="A43" s="4" t="s">
        <v>92</v>
      </c>
      <c r="B43" s="4" t="s">
        <v>325</v>
      </c>
      <c r="C43" s="4" t="s">
        <v>326</v>
      </c>
      <c r="D43" s="33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3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702.798 GFLOPs</v>
      </c>
      <c r="F43" s="33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G43" s="33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3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702.798 GFLOPs</v>
      </c>
      <c r="I43" s="33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327</v>
      </c>
      <c r="K43" s="4" t="s">
        <v>328</v>
      </c>
      <c r="L43" s="4" t="s">
        <v>329</v>
      </c>
      <c r="U43" s="32">
        <f>(TotalLayers*2*(((2+HCSlots)*HCSlots)*HCSlots*HiddenSize+((2+HCSlots)*HCSlots)+3))*FP32Bytes+(HCSlots*HCSlots*HiddenSize+HCSlots+1)*FP32Bytes</f>
        <v>135537756</v>
      </c>
      <c r="V43" s="32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W43" s="32">
        <f>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</f>
        <v>92812878940.0</v>
      </c>
      <c r="X43" s="32">
        <f>(TotalLayers*2*(((2+HCSlots)*HCSlots)*HCSlots*HiddenSize+((2+HCSlots)*HCSlots)+3))*FP32Bytes+(HCSlots*HCSlots*HiddenSize+HCSlots+1)*FP32Bytes</f>
        <v>135537756</v>
      </c>
      <c r="Y43" s="32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Z43" s="32">
        <f>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</f>
        <v>92812878940.0</v>
      </c>
      <c r="AA43" s="32">
        <f>0</f>
        <v>0</v>
      </c>
      <c r="AB43" s="32">
        <f>0</f>
        <v>0</v>
      </c>
    </row>
    <row r="44" spans="1:50">
      <c r="A44" s="4" t="s">
        <v>249</v>
      </c>
      <c r="B44" s="4" t="s">
        <v>249</v>
      </c>
      <c r="C44" s="4" t="s">
        <v>330</v>
      </c>
      <c r="D44" s="33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3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11.678 GFLOPs</v>
      </c>
      <c r="F44" s="33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G44" s="33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3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11.678 GFLOPs</v>
      </c>
      <c r="I44" s="33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0.000 B</v>
      </c>
      <c r="J44" s="4" t="s">
        <v>331</v>
      </c>
      <c r="K44" s="4" t="s">
        <v>332</v>
      </c>
      <c r="L44" s="4" t="s">
        <v>333</v>
      </c>
      <c r="U44" s="32">
        <f>(TotalLayers*(2*HiddenSize+QLoraRank+HeadDim+TP1LocalHeads))*FP32Bytes+(HiddenSize)*FP32Bytes</f>
        <v>1700608</v>
      </c>
      <c r="V44" s="32">
        <f>PF_Rows*TotalLayers*2*(4*HiddenSize+1)+PF_Rows*(4*HiddenSize+1)</f>
        <v>11677655040</v>
      </c>
      <c r="W44" s="32">
        <f>(TotalLayers*(2*HiddenSize+QLoraRank+HeadDim+TP1LocalHeads)*FP32Bytes+HiddenSize*FP32Bytes+PF_Rows*TotalLayers*2*HiddenSize*BF16Bytes+PF_Rows*HiddenSize*BF16Bytes)+(PF_Rows*TotalLayers*2*HiddenSize*BF16Bytes+PF_Rows*HiddenSize*BF16Bytes)</f>
        <v>11678642944</v>
      </c>
      <c r="X44" s="32">
        <f>(TotalLayers*(2*HiddenSize+QLoraRank+HeadDim+TP8LocalHeads))*FP32Bytes+(HiddenSize)*FP32Bytes</f>
        <v>1690976</v>
      </c>
      <c r="Y44" s="32">
        <f>PF_Rows*TotalLayers*2*(4*HiddenSize+1)+PF_Rows*(4*HiddenSize+1)</f>
        <v>11677655040</v>
      </c>
      <c r="Z44" s="32">
        <f>(TotalLayers*(2*HiddenSize+QLoraRank+HeadDim+TP8LocalHeads)*FP32Bytes+HiddenSize*FP32Bytes+PF_Rows*TotalLayers*2*HiddenSize*BF16Bytes+PF_Rows*HiddenSize*BF16Bytes)+(PF_Rows*TotalLayers*2*HiddenSize*BF16Bytes+PF_Rows*HiddenSize*BF16Bytes)</f>
        <v>11678633312</v>
      </c>
      <c r="AA44" s="32">
        <f>0</f>
        <v>0</v>
      </c>
      <c r="AB44" s="32">
        <f>0</f>
        <v>0</v>
      </c>
    </row>
    <row r="45" spans="1:50">
      <c r="A45" s="4" t="s">
        <v>254</v>
      </c>
      <c r="B45" s="4" t="s">
        <v>254</v>
      </c>
      <c r="C45" s="4" t="s">
        <v>334</v>
      </c>
      <c r="D45" s="33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3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3" t="str">
        <f>TEXT(IF(ABS(AA45)&gt;=1E12,AA45/1E12,IF(ABS(AA45)&gt;=1E9,AA45/1E9,IF(ABS(AA45)&gt;=1E6,AA45/1E6,IF(ABS(AA45)&gt;=1E3,AA45/1E3,AA45)))),"#,##0.000")&amp;IF((IF(ABS(AA45)&gt;=1E12,"TB",IF(ABS(AA45)&gt;=1E9,"GB",IF(ABS(AA45)&gt;=1E6,"MB",IF(ABS(AA45)&gt;=1E3,"KB","bytes")))))="",""," "&amp;(IF(ABS(AA45)&gt;=1E12,"TB",IF(ABS(AA45)&gt;=1E9,"GB",IF(ABS(AA45)&gt;=1E6,"MB",IF(ABS(AA45)&gt;=1E3,"KB","bytes"))))))</f>
        <v>0.000 B</v>
      </c>
      <c r="G45" s="33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3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3" t="str">
        <f>TEXT(IF(ABS(AB45)&gt;=1E12,AB45/1E12,IF(ABS(AB45)&gt;=1E9,AB45/1E9,IF(ABS(AB45)&gt;=1E6,AB45/1E6,IF(ABS(AB45)&gt;=1E3,AB45/1E3,AB45)))),"#,##0.000")&amp;IF((IF(ABS(AB45)&gt;=1E12,"TB",IF(ABS(AB45)&gt;=1E9,"GB",IF(ABS(AB45)&gt;=1E6,"MB",IF(ABS(AB45)&gt;=1E3,"KB","bytes")))))="",""," "&amp;(IF(ABS(AB45)&gt;=1E12,"TB",IF(ABS(AB45)&gt;=1E9,"GB",IF(ABS(AB45)&gt;=1E6,"MB",IF(ABS(AB45)&gt;=1E3,"KB","bytes"))))))</f>
        <v>0.000 B</v>
      </c>
      <c r="J45" s="4" t="s">
        <v>256</v>
      </c>
      <c r="K45" s="4" t="s">
        <v>257</v>
      </c>
      <c r="L45" s="4" t="s">
        <v>335</v>
      </c>
      <c r="U45" s="32">
        <f>0</f>
        <v>0</v>
      </c>
      <c r="V45" s="32">
        <f>0</f>
        <v>0</v>
      </c>
      <c r="W45" s="32">
        <f>(0)+(0)</f>
        <v>0</v>
      </c>
      <c r="X45" s="32">
        <f>0</f>
        <v>0</v>
      </c>
      <c r="Y45" s="32">
        <f>0</f>
        <v>0</v>
      </c>
      <c r="Z45" s="32">
        <f>(0)+(0)</f>
        <v>0</v>
      </c>
      <c r="AA45" s="32">
        <f>0</f>
        <v>0</v>
      </c>
      <c r="AB45" s="32">
        <f>0</f>
        <v>0</v>
      </c>
    </row>
    <row r="46" spans="1:50">
      <c r="A46" s="4" t="s">
        <v>245</v>
      </c>
      <c r="B46" s="4" t="s">
        <v>245</v>
      </c>
      <c r="C46" s="4" t="s">
        <v>336</v>
      </c>
      <c r="D46" s="33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3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3" t="str">
        <f>TEXT(IF(ABS(AA46)&gt;=1E12,AA46/1E12,IF(ABS(AA46)&gt;=1E9,AA46/1E9,IF(ABS(AA46)&gt;=1E6,AA46/1E6,IF(ABS(AA46)&gt;=1E3,AA46/1E3,AA46)))),"#,##0.000")&amp;IF((IF(ABS(AA46)&gt;=1E12,"TB",IF(ABS(AA46)&gt;=1E9,"GB",IF(ABS(AA46)&gt;=1E6,"MB",IF(ABS(AA46)&gt;=1E3,"KB","bytes")))))="",""," "&amp;(IF(ABS(AA46)&gt;=1E12,"TB",IF(ABS(AA46)&gt;=1E9,"GB",IF(ABS(AA46)&gt;=1E6,"MB",IF(ABS(AA46)&gt;=1E3,"KB","bytes"))))))</f>
        <v>0.000 B</v>
      </c>
      <c r="G46" s="33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3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3" t="str">
        <f>TEXT(IF(ABS(AB46)&gt;=1E12,AB46/1E12,IF(ABS(AB46)&gt;=1E9,AB46/1E9,IF(ABS(AB46)&gt;=1E6,AB46/1E6,IF(ABS(AB46)&gt;=1E3,AB46/1E3,AB46)))),"#,##0.000")&amp;IF((IF(ABS(AB46)&gt;=1E12,"TB",IF(ABS(AB46)&gt;=1E9,"GB",IF(ABS(AB46)&gt;=1E6,"MB",IF(ABS(AB46)&gt;=1E3,"KB","bytes")))))="",""," "&amp;(IF(ABS(AB46)&gt;=1E12,"TB",IF(ABS(AB46)&gt;=1E9,"GB",IF(ABS(AB46)&gt;=1E6,"MB",IF(ABS(AB46)&gt;=1E3,"KB","bytes"))))))</f>
        <v>904.960 KB</v>
      </c>
      <c r="J46" s="4" t="s">
        <v>337</v>
      </c>
      <c r="K46" s="4" t="s">
        <v>248</v>
      </c>
      <c r="L46" s="4" t="s">
        <v>338</v>
      </c>
      <c r="U46" s="32">
        <f>TP1LocalVocab*HiddenSize*FP32Bytes</f>
        <v>2118123520.0</v>
      </c>
      <c r="V46" s="32">
        <f>2*PrefillBatch*HiddenSize*TP1LocalVocab</f>
        <v>1059061760.0</v>
      </c>
      <c r="W46" s="32">
        <f>(TP1LocalVocab*HiddenSize*FP32Bytes+PrefillBatch*HiddenSize*FP32Bytes)+(PrefillBatch*TP1LocalVocab*FP32Bytes)</f>
        <v>2118657024.0</v>
      </c>
      <c r="X46" s="32">
        <f>TP8LocalVocab*HiddenSize*FP32Bytes</f>
        <v>264765440.0</v>
      </c>
      <c r="Y46" s="32">
        <f>2*PrefillBatch*HiddenSize*TP8LocalVocab</f>
        <v>132382720.0</v>
      </c>
      <c r="Z46" s="32">
        <f>(TP8LocalVocab*HiddenSize*FP32Bytes+PrefillBatch*HiddenSize*FP32Bytes)+(PrefillBatch*TP8LocalVocab*FP32Bytes)</f>
        <v>264846464.0</v>
      </c>
      <c r="AA46" s="32">
        <f>2*(TP1Size-1)*PrefillBatch*TP1LocalVocab*FP32Bytes</f>
        <v>0.0</v>
      </c>
      <c r="AB46" s="32">
        <f>2*(TP8Size-1)*PrefillBatch*TP8LocalVocab*FP32Bytes</f>
        <v>904960.0</v>
      </c>
    </row>
    <row r="48" spans="1:50" hidden="1">
      <c r="AO48" s="32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</f>
        <v>715535007744.0</v>
      </c>
      <c r="AP48" s="32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</f>
        <v>714608328704.0</v>
      </c>
      <c r="AQ48" s="32">
        <f>((PF_Rows*HiddenSize*BF16Bytes)+(PF_Row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1LocalHeads)*FP32Bytes+HiddenSize*FP32Bytes+PF_Rows*TotalLayers*2*HiddenSize*BF16Bytes+PF_Rows*HiddenSize*BF16Bytes)+(PF_Rows*TotalLayers*2*HiddenSize*BF16Bytes+PF_Rows*HiddenSize*BF16Bytes))+((0)+(0))+((TP1LocalVocab*HiddenSize*FP32Bytes+PrefillBatch*HiddenSize*FP32Bytes)+(PrefillBatch*TP1LocalVocab*FP32Bytes))</f>
        <v>106744396636.0</v>
      </c>
      <c r="AR48" s="32">
        <f>((PF_Rows*HiddenSize*BF16Bytes)+(PF_Rows*HiddenSize*BF16Bytes))+((TotalLayers*2*((2+HCSlots)*HCSlots*HCSlots*HiddenSize*FP32Bytes+((2+HCSlots)*HCSlots+3)*FP32Bytes)+PF_Rows*TotalLayers*4*HCSlots*HiddenSize*BF16Bytes+(HCSlots*HCSlots*HiddenSize+HCSlots+1)*FP32Bytes+PF_Rows*HCSlots*HiddenSize*BF16Bytes)+(PF_Rows*TotalLayers*4*HCSlots*HiddenSize*BF16Bytes+PF_Rows*HiddenSize*BF16Bytes))+((TotalLayers*(2*HiddenSize+QLoraRank+HeadDim+TP8LocalHeads)*FP32Bytes+HiddenSize*FP32Bytes+PF_Rows*TotalLayers*2*HiddenSize*BF16Bytes+PF_Rows*HiddenSize*BF16Bytes)+(PF_Rows*TotalLayers*2*HiddenSize*BF16Bytes+PF_Rows*HiddenSize*BF16Bytes))+((0)+(0))+((TP8LocalVocab*HiddenSize*FP32Bytes+PrefillBatch*HiddenSize*FP32Bytes)+(PrefillBatch*TP8LocalVocab*FP32Bytes))</f>
        <v>104890576444.0</v>
      </c>
      <c r="AS48" s="32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T48" s="32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  <c r="AU48" s="32">
        <f>'Prefill_8K'!$AF$13/'Prefill_8K'!$AG$13</f>
        <v>347.75853858634815</v>
      </c>
      <c r="AV48" s="32">
        <f>'Prefill_8K'!$AI$13/'Prefill_8K'!$AJ$13</f>
        <v>150.68199584276348</v>
      </c>
      <c r="AW48" s="32">
        <f>'Prefill_8K'!$AG$13/(PrefillTargetMs/1000)/1E9</f>
        <v>656.770882012</v>
      </c>
      <c r="AX48" s="32">
        <f>'Prefill_8K'!$AJ$13/(PrefillTargetMs/1000)/1E9</f>
        <v>369.33788006</v>
      </c>
    </row>
    <row r="49" spans="51:54" hidden="1">
      <c r="AY49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2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2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2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2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2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2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2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2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8" width="0" hidden="1" customWidth="1"/>
    <col min="31" max="38" width="0" hidden="1" customWidth="1"/>
    <col min="41" max="54" width="0" hidden="1" customWidth="1"/>
  </cols>
  <sheetData>
    <row r="1" spans="1:38">
      <c r="A1" s="1" t="s">
        <v>339</v>
      </c>
    </row>
    <row r="2" spans="1:38">
      <c r="A2" s="2" t="s">
        <v>203</v>
      </c>
    </row>
    <row r="3" spans="1:38" hidden="1">
      <c r="A3" s="3" t="s">
        <v>204</v>
      </c>
      <c r="B3" s="3" t="s">
        <v>5</v>
      </c>
      <c r="C3" s="3" t="s">
        <v>205</v>
      </c>
      <c r="D3" s="3" t="s">
        <v>6</v>
      </c>
    </row>
    <row r="4" spans="1:38" ht="54" hidden="1" customHeight="1">
      <c r="A4" s="4" t="s">
        <v>206</v>
      </c>
      <c r="B4" s="27">
        <f>DecodeBatch*DecodeTokens</f>
        <v>1</v>
      </c>
      <c r="C4" s="4" t="s">
        <v>207</v>
      </c>
      <c r="D4" s="4" t="s">
        <v>208</v>
      </c>
    </row>
    <row r="5" spans="1:38" ht="54" hidden="1" customHeight="1">
      <c r="A5" s="4" t="s">
        <v>340</v>
      </c>
      <c r="B5" s="28">
        <f>DecodeTokens*MIN(WindowSize,DecodeContext)</f>
        <v>128</v>
      </c>
      <c r="C5" s="4" t="s">
        <v>210</v>
      </c>
      <c r="D5" s="4" t="s">
        <v>341</v>
      </c>
    </row>
    <row r="6" spans="1:38" ht="54" hidden="1" customHeight="1">
      <c r="A6" s="4" t="s">
        <v>342</v>
      </c>
      <c r="B6" s="28">
        <f>DecodeTokens*MIN(IndexTopK,INT(DecodeContext/ShortRatio))</f>
        <v>512</v>
      </c>
      <c r="C6" s="4" t="s">
        <v>210</v>
      </c>
      <c r="D6" s="4" t="s">
        <v>343</v>
      </c>
    </row>
    <row r="7" spans="1:38" ht="54" hidden="1" customHeight="1">
      <c r="A7" s="4" t="s">
        <v>344</v>
      </c>
      <c r="B7" s="28">
        <f>DecodeTokens*INT(DecodeContext/LongRatio)</f>
        <v>8192</v>
      </c>
      <c r="C7" s="4" t="s">
        <v>210</v>
      </c>
      <c r="D7" s="4" t="s">
        <v>345</v>
      </c>
    </row>
    <row r="8" spans="1:38" ht="54" hidden="1" customHeight="1">
      <c r="A8" s="4" t="s">
        <v>346</v>
      </c>
      <c r="B8" s="28">
        <f>DecodeTokens*INT(DecodeContext/ShortRatio)</f>
        <v>262144</v>
      </c>
      <c r="C8" s="4" t="s">
        <v>210</v>
      </c>
      <c r="D8" s="4" t="s">
        <v>347</v>
      </c>
    </row>
    <row r="9" spans="1:38" ht="54" hidden="1" customHeight="1">
      <c r="A9" s="4" t="s">
        <v>218</v>
      </c>
      <c r="B9" s="29">
        <f>1-(1-ActivatedExperts/RoutedExperts)^DC_Rows</f>
        <v>0.0234375</v>
      </c>
      <c r="C9" s="4" t="s">
        <v>219</v>
      </c>
      <c r="D9" s="4" t="s">
        <v>220</v>
      </c>
    </row>
    <row r="11" spans="1:38">
      <c r="A11" s="30" t="s">
        <v>221</v>
      </c>
      <c r="B11" s="30"/>
      <c r="C11" s="30"/>
      <c r="D11" s="30"/>
      <c r="E11" s="30"/>
      <c r="F11" s="30"/>
      <c r="G11" s="30"/>
      <c r="H11" s="30"/>
      <c r="I11" s="30"/>
      <c r="J11" s="30"/>
    </row>
    <row r="12" spans="1:38">
      <c r="A12" t="s">
        <v>222</v>
      </c>
      <c r="B12" t="s">
        <v>223</v>
      </c>
      <c r="C12" t="s">
        <v>224</v>
      </c>
      <c r="D12" t="s">
        <v>225</v>
      </c>
      <c r="E12" t="s">
        <v>226</v>
      </c>
      <c r="F12" t="s">
        <v>227</v>
      </c>
      <c r="G12" t="s">
        <v>228</v>
      </c>
      <c r="H12" t="s">
        <v>229</v>
      </c>
      <c r="I12" t="s">
        <v>230</v>
      </c>
      <c r="J12" t="s">
        <v>231</v>
      </c>
    </row>
    <row r="13" spans="1:38">
      <c r="A13" s="31" t="s">
        <v>232</v>
      </c>
      <c r="B13" s="31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140.356 GFLOPs</v>
      </c>
      <c r="D13" s="31" t="str">
        <f>TEXT(IF(ABS(AK13)&gt;=1E12,AK13/1E12,IF(ABS(AK13)&gt;=1E9,AK13/1E9,IF(ABS(AK13)&gt;=1E6,AK13/1E6,IF(ABS(AK13)&gt;=1E3,AK13/1E3,AK13)))),"#,##0.000")&amp;IF((IF(ABS(AK13)&gt;=1E12,"TB",IF(ABS(AK13)&gt;=1E9,"GB",IF(ABS(AK13)&gt;=1E6,"MB",IF(ABS(AK13)&gt;=1E3,"KB","bytes")))))="",""," "&amp;(IF(ABS(AK13)&gt;=1E12,"TB",IF(ABS(AK13)&gt;=1E9,"GB",IF(ABS(AK13)&gt;=1E6,"MB",IF(ABS(AK13)&gt;=1E3,"KB","bytes"))))))</f>
        <v>0.000 B</v>
      </c>
      <c r="E13" s="31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31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23.550 GFLOPs</v>
      </c>
      <c r="G13" s="31" t="str">
        <f>TEXT(IF(ABS(AL13)&gt;=1E12,AL13/1E12,IF(ABS(AL13)&gt;=1E9,AL13/1E9,IF(ABS(AL13)&gt;=1E6,AL13/1E6,IF(ABS(AL13)&gt;=1E3,AL13/1E3,AL13)))),"#,##0.000")&amp;IF((IF(ABS(AL13)&gt;=1E12,"TB",IF(ABS(AL13)&gt;=1E9,"GB",IF(ABS(AL13)&gt;=1E6,"MB",IF(ABS(AL13)&gt;=1E3,"KB","bytes")))))="",""," "&amp;(IF(ABS(AL13)&gt;=1E12,"TB",IF(ABS(AL13)&gt;=1E9,"GB",IF(ABS(AL13)&gt;=1E6,"MB",IF(ABS(AL13)&gt;=1E3,"KB","bytes"))))))</f>
        <v>5.865 MB</v>
      </c>
      <c r="H13" s="4" t="s">
        <v>234</v>
      </c>
      <c r="I13" s="4" t="s">
        <v>235</v>
      </c>
      <c r="J13" s="4" t="s">
        <v>233</v>
      </c>
      <c r="AE13" s="32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166349315548.0</v>
      </c>
      <c r="AF13" s="32">
        <f>(0)+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(2*DC_Rows*TotalLayers*HiddenSize*RoutedExperts)+(DC_Rows*TotalLayers*(ActivatedExperts/TP1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+(0)+(0)</f>
        <v>140355752110.0</v>
      </c>
      <c r="AG13" s="32">
        <f>((DC_Rows*HiddenSize*BF16Bytes)+(DC_Rows*HiddenSize*BF16Bytes))+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)+((DC_Rows*WindowLayers*TP1KernelLocalHeads*HeadDim*BF16Bytes+DecodeBatch*(WindowLayers*DC_RawPairs)*HeadDim*BF16Bytes)+(DC_Rows*WindowLayers*TP1KernelLocalHeads*HeadDim*BF16Bytes))+((DC_Rows*ShortLayers*TP1KernelLocalHeads*HeadDim*BF16Bytes+DecodeBatch*(ShortLayers*(DC_RawPairs+DC_ShortPairs))*HeadDim*BF16Bytes)+(DC_Rows*ShortLayers*TP1KernelLocalHeads*HeadDim*BF16Bytes))+((DC_Rows*LongLayers*TP1KernelLocalHeads*HeadDim*BF16Bytes+DecodeBatch*(LongLayers*(DC_RawPairs+DC_LongPairs))*HeadDim*BF16Bytes)+(DC_Rows*LongLayers*TP1KernelLocalHeads*HeadDim*BF16Bytes))+(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)+((DecodeBatch*ShortLayers*DC_IndexPairs*(IndexHeadDim*BF16Bytes+TP1LocalIndexHeads*BF16Bytes))+(DecodeBatch*ShortLayers*DC_IndexPairs*(TP1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TotalLayers*RoutedExperts*HiddenSize*BF16Bytes+(TotalLayers-ActiveHashLayers)*RoutedExperts*FP32Bytes+DC_Rows*TotalLayers*HiddenSize*BF16Bytes+DC_Rows*ActiveHashLayers*ActivatedExperts*INT32Bytes)+(DC_Rows*TotalLayers*RoutedExperts*FP32Bytes))+((TotalLayers*TP1LocalExperts*DC_ExpertActiveProbability*(3*HiddenSize*ExpertInter*FP4Bytes+3*HiddenSize*ExpertInter/FP4Block*ScaleBytes)+DC_Rows*TotalLayers*(ActivatedExperts/TP1Size)*HiddenSize*BF16Bytes)+(DC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1LocalHeads)*FP32Bytes+HiddenSize*FP32Bytes+DC_Rows*TotalLayers*2*HiddenSize*BF16Bytes+DC_Rows*HiddenSize*BF16Bytes)+(DC_Rows*TotalLayers*2*HiddenSize*BF16Bytes+DC_Rows*HiddenSize*BF16Bytes))+((0)+(0))+((TP1LocalVocab*HiddenSize*FP32Bytes+DC_Rows*HiddenSize*FP32Bytes)+(DC_Rows*TP1LocalVocab*FP32Bytes))+((0)+(0))+((0)+(0))</f>
        <v>17387912356.0</v>
      </c>
      <c r="AH13" s="32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29581867388.0</v>
      </c>
      <c r="AI13" s="32">
        <f>(0)+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(2*DC_Rows*TotalLayers*HiddenSize*RoutedExperts)+(DC_Rows*TotalLayers*(ActivatedExperts/TP8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+(0)+(0)</f>
        <v>23549694126.0</v>
      </c>
      <c r="AJ13" s="32">
        <f>((DC_Rows*HiddenSize*BF16Bytes)+(DC_Rows*HiddenSize*BF16Bytes))+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)+((DC_Rows*WindowLayers*TP8KernelLocalHeads*HeadDim*BF16Bytes+DecodeBatch*(WindowLayers*DC_RawPairs)*HeadDim*BF16Bytes)+(DC_Rows*WindowLayers*TP8KernelLocalHeads*HeadDim*BF16Bytes))+((DC_Rows*ShortLayers*TP8KernelLocalHeads*HeadDim*BF16Bytes+DecodeBatch*(ShortLayers*(DC_RawPairs+DC_ShortPairs))*HeadDim*BF16Bytes)+(DC_Rows*ShortLayers*TP8KernelLocalHeads*HeadDim*BF16Bytes))+((DC_Rows*LongLayers*TP8KernelLocalHeads*HeadDim*BF16Bytes+DecodeBatch*(LongLayers*(DC_RawPairs+DC_LongPairs))*HeadDim*BF16Bytes)+(DC_Rows*LongLayers*TP8KernelLocalHeads*HeadDim*BF16Bytes))+(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)+((DecodeBatch*ShortLayers*DC_IndexPairs*(IndexHeadDim*BF16Bytes+TP8LocalIndexHeads*BF16Bytes))+(DecodeBatch*ShortLayers*DC_IndexPairs*(TP8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TotalLayers*RoutedExperts*HiddenSize*BF16Bytes+(TotalLayers-ActiveHashLayers)*RoutedExperts*FP32Bytes+DC_Rows*TotalLayers*HiddenSize*BF16Bytes+DC_Rows*ActiveHashLayers*ActivatedExperts*INT32Bytes)+(DC_Rows*TotalLayers*RoutedExperts*FP32Bytes))+((TotalLayers*TP8LocalExperts*DC_ExpertActiveProbability*(3*HiddenSize*ExpertInter*FP4Bytes+3*HiddenSize*ExpertInter/FP4Block*ScaleBytes)+DC_Rows*TotalLayers*(ActivatedExperts/TP8Size)*HiddenSize*BF16Bytes)+(DC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8LocalHeads)*FP32Bytes+HiddenSize*FP32Bytes+DC_Rows*TotalLayers*2*HiddenSize*BF16Bytes+DC_Rows*HiddenSize*BF16Bytes)+(DC_Rows*TotalLayers*2*HiddenSize*BF16Bytes+DC_Rows*HiddenSize*BF16Bytes))+((0)+(0))+((TP8LocalVocab*HiddenSize*FP32Bytes+DC_Rows*HiddenSize*FP32Bytes)+(DC_Rows*TP8LocalVocab*FP32Bytes))+((0)+(0))+((0)+(0))</f>
        <v>6055268244.0</v>
      </c>
      <c r="AK13" s="32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L13" s="32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14" spans="1:38">
      <c r="A14" s="4" t="s">
        <v>40</v>
      </c>
      <c r="B14" s="33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3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123.969 GFLOPs</v>
      </c>
      <c r="D14" s="33" t="str">
        <f>TEXT(IF(ABS(AK14)&gt;=1E12,AK14/1E12,IF(ABS(AK14)&gt;=1E9,AK14/1E9,IF(ABS(AK14)&gt;=1E6,AK14/1E6,IF(ABS(AK14)&gt;=1E3,AK14/1E3,AK14)))),"#,##0.000")&amp;IF((IF(ABS(AK14)&gt;=1E12,"TB",IF(ABS(AK14)&gt;=1E9,"GB",IF(ABS(AK14)&gt;=1E6,"MB",IF(ABS(AK14)&gt;=1E3,"KB","bytes")))))="",""," "&amp;(IF(ABS(AK14)&gt;=1E12,"TB",IF(ABS(AK14)&gt;=1E9,"GB",IF(ABS(AK14)&gt;=1E6,"MB",IF(ABS(AK14)&gt;=1E3,"KB","bytes"))))))</f>
        <v>0.000 B</v>
      </c>
      <c r="E14" s="33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3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19.452 GFLOPs</v>
      </c>
      <c r="G14" s="33" t="str">
        <f>TEXT(IF(ABS(AL14)&gt;=1E12,AL14/1E12,IF(ABS(AL14)&gt;=1E9,AL14/1E9,IF(ABS(AL14)&gt;=1E6,AL14/1E6,IF(ABS(AL14)&gt;=1E3,AL14/1E3,AL14)))),"#,##0.000")&amp;IF((IF(ABS(AL14)&gt;=1E12,"TB",IF(ABS(AL14)&gt;=1E9,"GB",IF(ABS(AL14)&gt;=1E6,"MB",IF(ABS(AL14)&gt;=1E3,"KB","bytes")))))="",""," "&amp;(IF(ABS(AL14)&gt;=1E12,"TB",IF(ABS(AL14)&gt;=1E9,"GB",IF(ABS(AL14)&gt;=1E6,"MB",IF(ABS(AL14)&gt;=1E3,"KB","bytes"))))))</f>
        <v>2.466 MB</v>
      </c>
      <c r="H14" s="4" t="s">
        <v>237</v>
      </c>
      <c r="I14" s="4" t="s">
        <v>238</v>
      </c>
      <c r="J14" s="4" t="s">
        <v>236</v>
      </c>
      <c r="AE14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2">
        <f>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(0)</f>
        <v>123969470464.0</v>
      </c>
      <c r="AG14" s="32">
        <f>(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)+((DC_Rows*WindowLayers*TP1KernelLocalHeads*HeadDim*BF16Bytes+DecodeBatch*(WindowLayers*DC_RawPairs)*HeadDim*BF16Bytes)+(DC_Rows*WindowLayers*TP1KernelLocalHeads*HeadDim*BF16Bytes))+((DC_Rows*ShortLayers*TP1KernelLocalHeads*HeadDim*BF16Bytes+DecodeBatch*(ShortLayers*(DC_RawPairs+DC_ShortPairs))*HeadDim*BF16Bytes)+(DC_Rows*ShortLayers*TP1KernelLocalHeads*HeadDim*BF16Bytes))+((DC_Rows*LongLayers*TP1KernelLocalHeads*HeadDim*BF16Bytes+DecodeBatch*(LongLayers*(DC_RawPairs+DC_LongPairs))*HeadDim*BF16Bytes)+(DC_Rows*LongLayers*TP1KernelLocalHeads*HeadDim*BF16Bytes))+(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)+((DecodeBatch*ShortLayers*DC_IndexPairs*(IndexHeadDim*BF16Bytes+TP1LocalIndexHeads*BF16Bytes))+(DecodeBatch*ShortLayers*DC_IndexPairs*(TP1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(0)+(0))</f>
        <v>10492228352.0</v>
      </c>
      <c r="AH14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2">
        <f>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(0)</f>
        <v>19452461056.0</v>
      </c>
      <c r="AJ14" s="32">
        <f>(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)+((DC_Rows*WindowLayers*TP8KernelLocalHeads*HeadDim*BF16Bytes+DecodeBatch*(WindowLayers*DC_RawPairs)*HeadDim*BF16Bytes)+(DC_Rows*WindowLayers*TP8KernelLocalHeads*HeadDim*BF16Bytes))+((DC_Rows*ShortLayers*TP8KernelLocalHeads*HeadDim*BF16Bytes+DecodeBatch*(ShortLayers*(DC_RawPairs+DC_ShortPairs))*HeadDim*BF16Bytes)+(DC_Rows*ShortLayers*TP8KernelLocalHeads*HeadDim*BF16Bytes))+((DC_Rows*LongLayers*TP8KernelLocalHeads*HeadDim*BF16Bytes+DecodeBatch*(LongLayers*(DC_RawPairs+DC_LongPairs))*HeadDim*BF16Bytes)+(DC_Rows*LongLayers*TP8KernelLocalHeads*HeadDim*BF16Bytes))+(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)+((DecodeBatch*ShortLayers*DC_IndexPairs*(IndexHeadDim*BF16Bytes+TP8LocalIndexHeads*BF16Bytes))+(DecodeBatch*ShortLayers*DC_IndexPairs*(TP8LocalIndexHeads*BF16Bytes+FP32Bytes)))+((ShortLayers*(2*HiddenSize*(2*HeadDim)*FP32Bytes+ShortRatio*2*HeadDim*FP32Bytes+HeadDim*FP32Bytes)+DC_Rows*ShortLayers*HiddenSize*FP32Bytes)+(DC_Rows*ShortLayers*4*HeadDim*FP32Bytes))+((LongLayers*(2*HiddenSize*HeadDim*FP32Bytes+LongRatio*HeadDim*FP32Bytes+HeadDim*FP32Bytes)+DC_Rows*LongLayers*HiddenSize*FP32Bytes)+(DC_Rows*LongLayers*2*HeadDim*FP32Bytes))+((ShortLayers*(2*HiddenSize*(2*IndexHeadDim)*FP32Bytes+ShortRatio*2*IndexHeadDim*FP32Bytes+IndexHeadDim*FP32Bytes)+DC_Rows*ShortLayers*HiddenSize*FP32Bytes)+(DC_Rows*ShortLayers*4*IndexHeadDim*FP32Bytes))+((0)+(0))</f>
        <v>4035232528.0</v>
      </c>
      <c r="AK14" s="32">
        <f>(0)+(0)+(0)+(0)+(0)+(0)+(0)+(0)+(0)+(4*(TP1Size-1)/TP1Size*DC_Rows*HiddenSize*FP32Bytes*TotalLayers)</f>
        <v>0.0</v>
      </c>
      <c r="AL14" s="32">
        <f>(0)+(0)+(0)+(0)+(0)+(0)+(0)+(0)+(0)+(4*(TP8Size-1)/TP8Size*DC_Rows*HiddenSize*FP32Bytes*TotalLayers)</f>
        <v>2465792.0</v>
      </c>
    </row>
    <row r="15" spans="1:38">
      <c r="A15" s="4" t="s">
        <v>59</v>
      </c>
      <c r="B15" s="33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3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15.240 GFLOPs</v>
      </c>
      <c r="D15" s="33" t="str">
        <f>TEXT(IF(ABS(AK15)&gt;=1E12,AK15/1E12,IF(ABS(AK15)&gt;=1E9,AK15/1E9,IF(ABS(AK15)&gt;=1E6,AK15/1E6,IF(ABS(AK15)&gt;=1E3,AK15/1E3,AK15)))),"#,##0.000")&amp;IF((IF(ABS(AK15)&gt;=1E12,"TB",IF(ABS(AK15)&gt;=1E9,"GB",IF(ABS(AK15)&gt;=1E6,"MB",IF(ABS(AK15)&gt;=1E3,"KB","bytes")))))="",""," "&amp;(IF(ABS(AK15)&gt;=1E12,"TB",IF(ABS(AK15)&gt;=1E9,"GB",IF(ABS(AK15)&gt;=1E6,"MB",IF(ABS(AK15)&gt;=1E3,"KB","bytes"))))))</f>
        <v>0.000 B</v>
      </c>
      <c r="E15" s="33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3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3.878 GFLOPs</v>
      </c>
      <c r="G15" s="33" t="str">
        <f>TEXT(IF(ABS(AL15)&gt;=1E12,AL15/1E12,IF(ABS(AL15)&gt;=1E9,AL15/1E9,IF(ABS(AL15)&gt;=1E6,AL15/1E6,IF(ABS(AL15)&gt;=1E3,AL15/1E3,AL15)))),"#,##0.000")&amp;IF((IF(ABS(AL15)&gt;=1E12,"TB",IF(ABS(AL15)&gt;=1E9,"GB",IF(ABS(AL15)&gt;=1E6,"MB",IF(ABS(AL15)&gt;=1E3,"KB","bytes")))))="",""," "&amp;(IF(ABS(AL15)&gt;=1E12,"TB",IF(ABS(AL15)&gt;=1E9,"GB",IF(ABS(AL15)&gt;=1E6,"MB",IF(ABS(AL15)&gt;=1E3,"KB","bytes"))))))</f>
        <v>2.466 MB</v>
      </c>
      <c r="H15" s="4" t="s">
        <v>240</v>
      </c>
      <c r="I15" s="4" t="s">
        <v>235</v>
      </c>
      <c r="J15" s="4" t="s">
        <v>239</v>
      </c>
      <c r="AE15" s="32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2">
        <f>(2*DC_Rows*TotalLayers*HiddenSize*RoutedExperts)+(DC_Rows*TotalLayers*(ActivatedExperts/TP1Size)*6*HiddenSize*ExpertInter)+(DC_Rows*TotalLayers*SharedExperts*6*HiddenSize*ExpertInter)+(0)</f>
        <v>15240003584.0</v>
      </c>
      <c r="AG15" s="32">
        <f>((TotalLayers*RoutedExperts*HiddenSize*BF16Bytes+(TotalLayers-ActiveHashLayers)*RoutedExperts*FP32Bytes+DC_Rows*TotalLayers*HiddenSize*BF16Bytes+DC_Rows*ActiveHashLayers*ActivatedExperts*INT32Bytes)+(DC_Rows*TotalLayers*RoutedExperts*FP32Bytes))+((TotalLayers*TP1LocalExperts*DC_ExpertActiveProbability*(3*HiddenSize*ExpertInter*FP4Bytes+3*HiddenSize*ExpertInter/FP4Block*ScaleBytes)+DC_Rows*TotalLayers*(ActivatedExperts/TP1Size)*HiddenSize*BF16Bytes)+(DC_Rows*TotalLayers*(ActivatedExperts/TP1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(0)+(0))</f>
        <v>4627033672.0</v>
      </c>
      <c r="AH15" s="32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2">
        <f>(2*DC_Rows*TotalLayers*HiddenSize*RoutedExperts)+(DC_Rows*TotalLayers*(ActivatedExperts/TP8Size)*6*HiddenSize*ExpertInter)+(DC_Rows*TotalLayers*SharedExperts*6*HiddenSize*ExpertInter)+(0)</f>
        <v>3877634048.0</v>
      </c>
      <c r="AJ15" s="32">
        <f>((TotalLayers*RoutedExperts*HiddenSize*BF16Bytes+(TotalLayers-ActiveHashLayers)*RoutedExperts*FP32Bytes+DC_Rows*TotalLayers*HiddenSize*BF16Bytes+DC_Rows*ActiveHashLayers*ActivatedExperts*INT32Bytes)+(DC_Rows*TotalLayers*RoutedExperts*FP32Bytes))+((TotalLayers*TP8LocalExperts*DC_ExpertActiveProbability*(3*HiddenSize*ExpertInter*FP4Bytes+3*HiddenSize*ExpertInter/FP4Block*ScaleBytes)+DC_Rows*TotalLayers*(ActivatedExperts/TP8Size)*HiddenSize*BF16Bytes)+(DC_Rows*TotalLayers*(ActivatedExperts/TP8Size)*HiddenSize*BF16Bytes))+(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)+((0)+(0))</f>
        <v>1605205576.0</v>
      </c>
      <c r="AK15" s="32">
        <f>(0)+(0)+(0)+(4*(TP1Size-1)/TP1Size*DC_Rows*HiddenSize*FP32Bytes*TotalLayers)</f>
        <v>0.0</v>
      </c>
      <c r="AL15" s="32">
        <f>(0)+(0)+(0)+(4*(TP8Size-1)/TP8Size*DC_Rows*HiddenSize*FP32Bytes*TotalLayers)</f>
        <v>2465792.0</v>
      </c>
    </row>
    <row r="16" spans="1:38">
      <c r="A16" s="4" t="s">
        <v>241</v>
      </c>
      <c r="B16" s="33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3" t="str">
        <f>TEXT(IF(ABS(AK16)&gt;=1E12,AK16/1E12,IF(ABS(AK16)&gt;=1E9,AK16/1E9,IF(ABS(AK16)&gt;=1E6,AK16/1E6,IF(ABS(AK16)&gt;=1E3,AK16/1E3,AK16)))),"#,##0.000")&amp;IF((IF(ABS(AK16)&gt;=1E12,"TB",IF(ABS(AK16)&gt;=1E9,"GB",IF(ABS(AK16)&gt;=1E6,"MB",IF(ABS(AK16)&gt;=1E3,"KB","bytes")))))="",""," "&amp;(IF(ABS(AK16)&gt;=1E12,"TB",IF(ABS(AK16)&gt;=1E9,"GB",IF(ABS(AK16)&gt;=1E6,"MB",IF(ABS(AK16)&gt;=1E3,"KB","bytes"))))))</f>
        <v>0.000 B</v>
      </c>
      <c r="E16" s="33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3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3" t="str">
        <f>TEXT(IF(ABS(AL16)&gt;=1E12,AL16/1E12,IF(ABS(AL16)&gt;=1E9,AL16/1E9,IF(ABS(AL16)&gt;=1E6,AL16/1E6,IF(ABS(AL16)&gt;=1E3,AL16/1E3,AL16)))),"#,##0.000")&amp;IF((IF(ABS(AL16)&gt;=1E12,"TB",IF(ABS(AL16)&gt;=1E9,"GB",IF(ABS(AL16)&gt;=1E6,"MB",IF(ABS(AL16)&gt;=1E3,"KB","bytes")))))="",""," "&amp;(IF(ABS(AL16)&gt;=1E12,"TB",IF(ABS(AL16)&gt;=1E9,"GB",IF(ABS(AL16)&gt;=1E6,"MB",IF(ABS(AL16)&gt;=1E3,"KB","bytes"))))))</f>
        <v>28.672 KB</v>
      </c>
      <c r="H16" s="4" t="s">
        <v>243</v>
      </c>
      <c r="I16" s="4" t="s">
        <v>244</v>
      </c>
      <c r="J16" s="4" t="s">
        <v>242</v>
      </c>
      <c r="AE16" s="32">
        <f>(TP1LocalVocab*HiddenSize*BF16Bytes)</f>
        <v>1059061760.0</v>
      </c>
      <c r="AF16" s="32">
        <f>(0)</f>
        <v>0</v>
      </c>
      <c r="AG16" s="32">
        <f>((DC_Rows*HiddenSize*BF16Bytes)+(DC_Rows*HiddenSize*BF16Bytes))</f>
        <v>16384</v>
      </c>
      <c r="AH16" s="32">
        <f>(TP8LocalVocab*HiddenSize*BF16Bytes)</f>
        <v>132382720.0</v>
      </c>
      <c r="AI16" s="32">
        <f>(0)</f>
        <v>0</v>
      </c>
      <c r="AJ16" s="32">
        <f>((DC_Rows*HiddenSize*BF16Bytes)+(DC_Rows*HiddenSize*BF16Bytes))</f>
        <v>16384</v>
      </c>
      <c r="AK16" s="32">
        <f>(4*(TP1Size-1)/TP1Size*DC_Rows*HiddenSize*BF16Bytes)</f>
        <v>0.0</v>
      </c>
      <c r="AL16" s="32">
        <f>(4*(TP8Size-1)/TP8Size*DC_Rows*HiddenSize*BF16Bytes)</f>
        <v>28672.0</v>
      </c>
    </row>
    <row r="17" spans="1:38">
      <c r="A17" s="4" t="s">
        <v>245</v>
      </c>
      <c r="B17" s="33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3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3" t="str">
        <f>TEXT(IF(ABS(AK17)&gt;=1E12,AK17/1E12,IF(ABS(AK17)&gt;=1E9,AK17/1E9,IF(ABS(AK17)&gt;=1E6,AK17/1E6,IF(ABS(AK17)&gt;=1E3,AK17/1E3,AK17)))),"#,##0.000")&amp;IF((IF(ABS(AK17)&gt;=1E12,"TB",IF(ABS(AK17)&gt;=1E9,"GB",IF(ABS(AK17)&gt;=1E6,"MB",IF(ABS(AK17)&gt;=1E3,"KB","bytes")))))="",""," "&amp;(IF(ABS(AK17)&gt;=1E12,"TB",IF(ABS(AK17)&gt;=1E9,"GB",IF(ABS(AK17)&gt;=1E6,"MB",IF(ABS(AK17)&gt;=1E3,"KB","bytes"))))))</f>
        <v>0.000 B</v>
      </c>
      <c r="E17" s="33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3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3" t="str">
        <f>TEXT(IF(ABS(AL17)&gt;=1E12,AL17/1E12,IF(ABS(AL17)&gt;=1E9,AL17/1E9,IF(ABS(AL17)&gt;=1E6,AL17/1E6,IF(ABS(AL17)&gt;=1E3,AL17/1E3,AL17)))),"#,##0.000")&amp;IF((IF(ABS(AL17)&gt;=1E12,"TB",IF(ABS(AL17)&gt;=1E9,"GB",IF(ABS(AL17)&gt;=1E6,"MB",IF(ABS(AL17)&gt;=1E3,"KB","bytes")))))="",""," "&amp;(IF(ABS(AL17)&gt;=1E12,"TB",IF(ABS(AL17)&gt;=1E9,"GB",IF(ABS(AL17)&gt;=1E6,"MB",IF(ABS(AL17)&gt;=1E3,"KB","bytes"))))))</f>
        <v>904.960 KB</v>
      </c>
      <c r="H17" s="4" t="s">
        <v>247</v>
      </c>
      <c r="I17" s="4" t="s">
        <v>248</v>
      </c>
      <c r="J17" s="4" t="s">
        <v>246</v>
      </c>
      <c r="AE17" s="32">
        <f>(TP1LocalVocab*HiddenSize*FP32Bytes)</f>
        <v>2118123520.0</v>
      </c>
      <c r="AF17" s="32">
        <f>(2*DC_Rows*HiddenSize*TP1LocalVocab)</f>
        <v>1059061760.0</v>
      </c>
      <c r="AG17" s="32">
        <f>((TP1LocalVocab*HiddenSize*FP32Bytes+DC_Rows*HiddenSize*FP32Bytes)+(DC_Rows*TP1LocalVocab*FP32Bytes))</f>
        <v>2118657024.0</v>
      </c>
      <c r="AH17" s="32">
        <f>(TP8LocalVocab*HiddenSize*FP32Bytes)</f>
        <v>264765440.0</v>
      </c>
      <c r="AI17" s="32">
        <f>(2*DC_Rows*HiddenSize*TP8LocalVocab)</f>
        <v>132382720.0</v>
      </c>
      <c r="AJ17" s="32">
        <f>((TP8LocalVocab*HiddenSize*FP32Bytes+DC_Rows*HiddenSize*FP32Bytes)+(DC_Rows*TP8LocalVocab*FP32Bytes))</f>
        <v>264846464.0</v>
      </c>
      <c r="AK17" s="32">
        <f>(2*(TP1Size-1)*DC_Rows*TP1LocalVocab*FP32Bytes)</f>
        <v>0.0</v>
      </c>
      <c r="AL17" s="32">
        <f>(2*(TP8Size-1)*DC_Rows*TP8LocalVocab*FP32Bytes)</f>
        <v>904960.0</v>
      </c>
    </row>
    <row r="18" spans="1:38">
      <c r="A18" s="4" t="s">
        <v>249</v>
      </c>
      <c r="B18" s="33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3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1.425 MFLOPs</v>
      </c>
      <c r="D18" s="33" t="str">
        <f>TEXT(IF(ABS(AK18)&gt;=1E12,AK18/1E12,IF(ABS(AK18)&gt;=1E9,AK18/1E9,IF(ABS(AK18)&gt;=1E6,AK18/1E6,IF(ABS(AK18)&gt;=1E3,AK18/1E3,AK18)))),"#,##0.000")&amp;IF((IF(ABS(AK18)&gt;=1E12,"TB",IF(ABS(AK18)&gt;=1E9,"GB",IF(ABS(AK18)&gt;=1E6,"MB",IF(ABS(AK18)&gt;=1E3,"KB","bytes")))))="",""," "&amp;(IF(ABS(AK18)&gt;=1E12,"TB",IF(ABS(AK18)&gt;=1E9,"GB",IF(ABS(AK18)&gt;=1E6,"MB",IF(ABS(AK18)&gt;=1E3,"KB","bytes"))))))</f>
        <v>0.000 B</v>
      </c>
      <c r="E18" s="33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3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1.425 MFLOPs</v>
      </c>
      <c r="G18" s="33" t="str">
        <f>TEXT(IF(ABS(AL18)&gt;=1E12,AL18/1E12,IF(ABS(AL18)&gt;=1E9,AL18/1E9,IF(ABS(AL18)&gt;=1E6,AL18/1E6,IF(ABS(AL18)&gt;=1E3,AL18/1E3,AL18)))),"#,##0.000")&amp;IF((IF(ABS(AL18)&gt;=1E12,"TB",IF(ABS(AL18)&gt;=1E9,"GB",IF(ABS(AL18)&gt;=1E6,"MB",IF(ABS(AL18)&gt;=1E3,"KB","bytes")))))="",""," "&amp;(IF(ABS(AL18)&gt;=1E12,"TB",IF(ABS(AL18)&gt;=1E9,"GB",IF(ABS(AL18)&gt;=1E6,"MB",IF(ABS(AL18)&gt;=1E3,"KB","bytes"))))))</f>
        <v>0.000 B</v>
      </c>
      <c r="H18" s="4" t="s">
        <v>247</v>
      </c>
      <c r="I18" s="4" t="s">
        <v>251</v>
      </c>
      <c r="J18" s="4" t="s">
        <v>250</v>
      </c>
      <c r="AE18" s="32">
        <f>((TotalLayers*(2*HiddenSize+QLoraRank+HeadDim+TP1LocalHeads))*FP32Bytes+(HiddenSize)*FP32Bytes)</f>
        <v>1700608</v>
      </c>
      <c r="AF18" s="32">
        <f>(DC_Rows*TotalLayers*2*(4*HiddenSize+1)+DC_Rows*(4*HiddenSize+1))</f>
        <v>1425495</v>
      </c>
      <c r="AG18" s="32">
        <f>((TotalLayers*(2*HiddenSize+QLoraRank+HeadDim+TP1LocalHeads)*FP32Bytes+HiddenSize*FP32Bytes+DC_Rows*TotalLayers*2*HiddenSize*BF16Bytes+DC_Rows*HiddenSize*BF16Bytes)+(DC_Rows*TotalLayers*2*HiddenSize*BF16Bytes+DC_Rows*HiddenSize*BF16Bytes))</f>
        <v>3126016</v>
      </c>
      <c r="AH18" s="32">
        <f>((TotalLayers*(2*HiddenSize+QLoraRank+HeadDim+TP8LocalHeads))*FP32Bytes+(HiddenSize)*FP32Bytes)</f>
        <v>1690976</v>
      </c>
      <c r="AI18" s="32">
        <f>(DC_Rows*TotalLayers*2*(4*HiddenSize+1)+DC_Rows*(4*HiddenSize+1))</f>
        <v>1425495</v>
      </c>
      <c r="AJ18" s="32">
        <f>((TotalLayers*(2*HiddenSize+QLoraRank+HeadDim+TP8LocalHeads)*FP32Bytes+HiddenSize*FP32Bytes+DC_Rows*TotalLayers*2*HiddenSize*BF16Bytes+DC_Rows*HiddenSize*BF16Bytes)+(DC_Rows*TotalLayers*2*HiddenSize*BF16Bytes+DC_Rows*HiddenSize*BF16Bytes))</f>
        <v>3116384</v>
      </c>
      <c r="AK18" s="32">
        <f>(0)</f>
        <v>0</v>
      </c>
      <c r="AL18" s="32">
        <f>(0)</f>
        <v>0</v>
      </c>
    </row>
    <row r="19" spans="1:38">
      <c r="A19" s="4" t="s">
        <v>92</v>
      </c>
      <c r="B19" s="33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3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85.791 MFLOPs</v>
      </c>
      <c r="D19" s="33" t="str">
        <f>TEXT(IF(ABS(AK19)&gt;=1E12,AK19/1E12,IF(ABS(AK19)&gt;=1E9,AK19/1E9,IF(ABS(AK19)&gt;=1E6,AK19/1E6,IF(ABS(AK19)&gt;=1E3,AK19/1E3,AK19)))),"#,##0.000")&amp;IF((IF(ABS(AK19)&gt;=1E12,"TB",IF(ABS(AK19)&gt;=1E9,"GB",IF(ABS(AK19)&gt;=1E6,"MB",IF(ABS(AK19)&gt;=1E3,"KB","bytes")))))="",""," "&amp;(IF(ABS(AK19)&gt;=1E12,"TB",IF(ABS(AK19)&gt;=1E9,"GB",IF(ABS(AK19)&gt;=1E6,"MB",IF(ABS(AK19)&gt;=1E3,"KB","bytes"))))))</f>
        <v>0.000 B</v>
      </c>
      <c r="E19" s="33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3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85.791 MFLOPs</v>
      </c>
      <c r="G19" s="33" t="str">
        <f>TEXT(IF(ABS(AL19)&gt;=1E12,AL19/1E12,IF(ABS(AL19)&gt;=1E9,AL19/1E9,IF(ABS(AL19)&gt;=1E6,AL19/1E6,IF(ABS(AL19)&gt;=1E3,AL19/1E3,AL19)))),"#,##0.000")&amp;IF((IF(ABS(AL19)&gt;=1E12,"TB",IF(ABS(AL19)&gt;=1E9,"GB",IF(ABS(AL19)&gt;=1E6,"MB",IF(ABS(AL19)&gt;=1E3,"KB","bytes")))))="",""," "&amp;(IF(ABS(AL19)&gt;=1E12,"TB",IF(ABS(AL19)&gt;=1E9,"GB",IF(ABS(AL19)&gt;=1E6,"MB",IF(ABS(AL19)&gt;=1E3,"KB","bytes"))))))</f>
        <v>0.000 B</v>
      </c>
      <c r="H19" s="4" t="s">
        <v>247</v>
      </c>
      <c r="I19" s="4" t="s">
        <v>253</v>
      </c>
      <c r="J19" s="4" t="s">
        <v>252</v>
      </c>
      <c r="AE19" s="32">
        <f>((TotalLayers*2*(((2+HCSlots)*HCSlots)*HCSlots*HiddenSize+((2+HCSlots)*HCSlots)+3))*FP32Bytes+(HCSlots*HCSlots*HiddenSize+HCSlots+1)*FP32Bytes)</f>
        <v>135537756</v>
      </c>
      <c r="AF19" s="32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G19" s="32">
        <f>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</f>
        <v>146850908.0</v>
      </c>
      <c r="AH19" s="32">
        <f>((TotalLayers*2*(((2+HCSlots)*HCSlots)*HCSlots*HiddenSize+((2+HCSlots)*HCSlots)+3))*FP32Bytes+(HCSlots*HCSlots*HiddenSize+HCSlots+1)*FP32Bytes)</f>
        <v>135537756</v>
      </c>
      <c r="AI19" s="32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J19" s="32">
        <f>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</f>
        <v>146850908.0</v>
      </c>
      <c r="AK19" s="32">
        <f>(0)</f>
        <v>0</v>
      </c>
      <c r="AL19" s="32">
        <f>(0)</f>
        <v>0</v>
      </c>
    </row>
    <row r="20" spans="1:38">
      <c r="A20" s="4" t="s">
        <v>254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3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3" t="str">
        <f>TEXT(IF(ABS(AK20)&gt;=1E12,AK20/1E12,IF(ABS(AK20)&gt;=1E9,AK20/1E9,IF(ABS(AK20)&gt;=1E6,AK20/1E6,IF(ABS(AK20)&gt;=1E3,AK20/1E3,AK20)))),"#,##0.000")&amp;IF((IF(ABS(AK20)&gt;=1E12,"TB",IF(ABS(AK20)&gt;=1E9,"GB",IF(ABS(AK20)&gt;=1E6,"MB",IF(ABS(AK20)&gt;=1E3,"KB","bytes")))))="",""," "&amp;(IF(ABS(AK20)&gt;=1E12,"TB",IF(ABS(AK20)&gt;=1E9,"GB",IF(ABS(AK20)&gt;=1E6,"MB",IF(ABS(AK20)&gt;=1E3,"KB","bytes"))))))</f>
        <v>0.000 B</v>
      </c>
      <c r="E20" s="33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3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3" t="str">
        <f>TEXT(IF(ABS(AL20)&gt;=1E12,AL20/1E12,IF(ABS(AL20)&gt;=1E9,AL20/1E9,IF(ABS(AL20)&gt;=1E6,AL20/1E6,IF(ABS(AL20)&gt;=1E3,AL20/1E3,AL20)))),"#,##0.000")&amp;IF((IF(ABS(AL20)&gt;=1E12,"TB",IF(ABS(AL20)&gt;=1E9,"GB",IF(ABS(AL20)&gt;=1E6,"MB",IF(ABS(AL20)&gt;=1E3,"KB","bytes")))))="",""," "&amp;(IF(ABS(AL20)&gt;=1E12,"TB",IF(ABS(AL20)&gt;=1E9,"GB",IF(ABS(AL20)&gt;=1E6,"MB",IF(ABS(AL20)&gt;=1E3,"KB","bytes"))))))</f>
        <v>0.000 B</v>
      </c>
      <c r="H20" s="4" t="s">
        <v>256</v>
      </c>
      <c r="I20" s="4" t="s">
        <v>257</v>
      </c>
      <c r="J20" s="4" t="s">
        <v>255</v>
      </c>
      <c r="AE20" s="32">
        <f>(0)</f>
        <v>0</v>
      </c>
      <c r="AF20" s="32">
        <f>(0)</f>
        <v>0</v>
      </c>
      <c r="AG20" s="32">
        <f>((0)+(0))</f>
        <v>0</v>
      </c>
      <c r="AH20" s="32">
        <f>(0)</f>
        <v>0</v>
      </c>
      <c r="AI20" s="32">
        <f>(0)</f>
        <v>0</v>
      </c>
      <c r="AJ20" s="32">
        <f>((0)+(0))</f>
        <v>0</v>
      </c>
      <c r="AK20" s="32">
        <f>(0)</f>
        <v>0</v>
      </c>
      <c r="AL20" s="32">
        <f>(0)</f>
        <v>0</v>
      </c>
    </row>
    <row r="22" spans="1:38">
      <c r="A22" s="30" t="s">
        <v>258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</row>
    <row r="23" spans="1:38">
      <c r="A23" t="s">
        <v>222</v>
      </c>
      <c r="B23" t="s">
        <v>259</v>
      </c>
      <c r="C23" t="s">
        <v>260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 t="s">
        <v>228</v>
      </c>
      <c r="J23" t="s">
        <v>229</v>
      </c>
      <c r="K23" t="s">
        <v>230</v>
      </c>
      <c r="L23" t="s">
        <v>231</v>
      </c>
    </row>
    <row r="24" spans="1:38">
      <c r="A24" s="4" t="s">
        <v>241</v>
      </c>
      <c r="B24" s="4" t="s">
        <v>241</v>
      </c>
      <c r="C24" s="4" t="s">
        <v>261</v>
      </c>
      <c r="D24" s="33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3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3" t="str">
        <f>TEXT(IF(ABS(AA24)&gt;=1E12,AA24/1E12,IF(ABS(AA24)&gt;=1E9,AA24/1E9,IF(ABS(AA24)&gt;=1E6,AA24/1E6,IF(ABS(AA24)&gt;=1E3,AA24/1E3,AA24)))),"#,##0.000")&amp;IF((IF(ABS(AA24)&gt;=1E12,"TB",IF(ABS(AA24)&gt;=1E9,"GB",IF(ABS(AA24)&gt;=1E6,"MB",IF(ABS(AA24)&gt;=1E3,"KB","bytes")))))="",""," "&amp;(IF(ABS(AA24)&gt;=1E12,"TB",IF(ABS(AA24)&gt;=1E9,"GB",IF(ABS(AA24)&gt;=1E6,"MB",IF(ABS(AA24)&gt;=1E3,"KB","bytes"))))))</f>
        <v>0.000 B</v>
      </c>
      <c r="G24" s="33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3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3" t="str">
        <f>TEXT(IF(ABS(AB24)&gt;=1E12,AB24/1E12,IF(ABS(AB24)&gt;=1E9,AB24/1E9,IF(ABS(AB24)&gt;=1E6,AB24/1E6,IF(ABS(AB24)&gt;=1E3,AB24/1E3,AB24)))),"#,##0.000")&amp;IF((IF(ABS(AB24)&gt;=1E12,"TB",IF(ABS(AB24)&gt;=1E9,"GB",IF(ABS(AB24)&gt;=1E6,"MB",IF(ABS(AB24)&gt;=1E3,"KB","bytes")))))="",""," "&amp;(IF(ABS(AB24)&gt;=1E12,"TB",IF(ABS(AB24)&gt;=1E9,"GB",IF(ABS(AB24)&gt;=1E6,"MB",IF(ABS(AB24)&gt;=1E3,"KB","bytes"))))))</f>
        <v>28.672 KB</v>
      </c>
      <c r="J24" s="4" t="s">
        <v>262</v>
      </c>
      <c r="K24" s="4" t="s">
        <v>244</v>
      </c>
      <c r="L24" s="4" t="s">
        <v>263</v>
      </c>
      <c r="U24" s="32">
        <f>TP1LocalVocab*HiddenSize*BF16Bytes</f>
        <v>1059061760.0</v>
      </c>
      <c r="V24" s="32">
        <f>0</f>
        <v>0</v>
      </c>
      <c r="W24" s="32">
        <f>(DC_Rows*HiddenSize*BF16Bytes)+(DC_Rows*HiddenSize*BF16Bytes)</f>
        <v>16384</v>
      </c>
      <c r="X24" s="32">
        <f>TP8LocalVocab*HiddenSize*BF16Bytes</f>
        <v>132382720.0</v>
      </c>
      <c r="Y24" s="32">
        <f>0</f>
        <v>0</v>
      </c>
      <c r="Z24" s="32">
        <f>(DC_Rows*HiddenSize*BF16Bytes)+(DC_Rows*HiddenSize*BF16Bytes)</f>
        <v>16384</v>
      </c>
      <c r="AA24" s="32">
        <f>4*(TP1Size-1)/TP1Size*DC_Rows*HiddenSize*BF16Bytes</f>
        <v>0.0</v>
      </c>
      <c r="AB24" s="32">
        <f>4*(TP8Size-1)/TP8Size*DC_Rows*HiddenSize*BF16Bytes</f>
        <v>28672.0</v>
      </c>
    </row>
    <row r="25" spans="1:38">
      <c r="A25" s="4" t="s">
        <v>40</v>
      </c>
      <c r="B25" s="4" t="s">
        <v>264</v>
      </c>
      <c r="C25" s="4" t="s">
        <v>265</v>
      </c>
      <c r="D25" s="33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3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9.198 GFLOPs</v>
      </c>
      <c r="F25" s="33" t="str">
        <f>TEXT(IF(ABS(AA25)&gt;=1E12,AA25/1E12,IF(ABS(AA25)&gt;=1E9,AA25/1E9,IF(ABS(AA25)&gt;=1E6,AA25/1E6,IF(ABS(AA25)&gt;=1E3,AA25/1E3,AA25)))),"#,##0.000")&amp;IF((IF(ABS(AA25)&gt;=1E12,"TB",IF(ABS(AA25)&gt;=1E9,"GB",IF(ABS(AA25)&gt;=1E6,"MB",IF(ABS(AA25)&gt;=1E3,"KB","bytes")))))="",""," "&amp;(IF(ABS(AA25)&gt;=1E12,"TB",IF(ABS(AA25)&gt;=1E9,"GB",IF(ABS(AA25)&gt;=1E6,"MB",IF(ABS(AA25)&gt;=1E3,"KB","bytes"))))))</f>
        <v>0.000 B</v>
      </c>
      <c r="G25" s="33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3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1.623 GFLOPs</v>
      </c>
      <c r="I25" s="33" t="str">
        <f>TEXT(IF(ABS(AB25)&gt;=1E12,AB25/1E12,IF(ABS(AB25)&gt;=1E9,AB25/1E9,IF(ABS(AB25)&gt;=1E6,AB25/1E6,IF(ABS(AB25)&gt;=1E3,AB25/1E3,AB25)))),"#,##0.000")&amp;IF((IF(ABS(AB25)&gt;=1E12,"TB",IF(ABS(AB25)&gt;=1E9,"GB",IF(ABS(AB25)&gt;=1E6,"MB",IF(ABS(AB25)&gt;=1E3,"KB","bytes")))))="",""," "&amp;(IF(ABS(AB25)&gt;=1E12,"TB",IF(ABS(AB25)&gt;=1E9,"GB",IF(ABS(AB25)&gt;=1E6,"MB",IF(ABS(AB25)&gt;=1E3,"KB","bytes"))))))</f>
        <v>0.000 B</v>
      </c>
      <c r="J25" s="4" t="s">
        <v>266</v>
      </c>
      <c r="K25" s="4" t="s">
        <v>267</v>
      </c>
      <c r="L25" s="4" t="s">
        <v>268</v>
      </c>
      <c r="U25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2">
        <f>DC_Rows*TotalLayers*2*(HiddenSize*QLoraRank+QLoraRank*TP1LocalHeads*HeadDim+HiddenSize*HeadDim+TP1LocalHeads*HeadDim*OLoraRank+TP1LocalOGroups*OLoraRank*HiddenSize)</f>
        <v>9198108672.0</v>
      </c>
      <c r="W25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X25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2">
        <f>DC_Rows*TotalLayers*2*(HiddenSize*QLoraRank+QLoraRank*TP8LocalHeads*HeadDim+HiddenSize*HeadDim+TP8LocalHeads*HeadDim*OLoraRank+TP8LocalOGroups*OLoraRank*HiddenSize)</f>
        <v>1623195648.0</v>
      </c>
      <c r="Z25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  <c r="AA25" s="32">
        <f>0</f>
        <v>0</v>
      </c>
      <c r="AB25" s="32">
        <f>0</f>
        <v>0</v>
      </c>
    </row>
    <row r="26" spans="1:38">
      <c r="A26" s="4" t="s">
        <v>40</v>
      </c>
      <c r="B26" s="4" t="s">
        <v>269</v>
      </c>
      <c r="C26" s="4" t="s">
        <v>270</v>
      </c>
      <c r="D26" s="33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3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33.554 MFLOPs</v>
      </c>
      <c r="F26" s="33" t="str">
        <f>TEXT(IF(ABS(AA26)&gt;=1E12,AA26/1E12,IF(ABS(AA26)&gt;=1E9,AA26/1E9,IF(ABS(AA26)&gt;=1E6,AA26/1E6,IF(ABS(AA26)&gt;=1E3,AA26/1E3,AA26)))),"#,##0.000")&amp;IF((IF(ABS(AA26)&gt;=1E12,"TB",IF(ABS(AA26)&gt;=1E9,"GB",IF(ABS(AA26)&gt;=1E6,"MB",IF(ABS(AA26)&gt;=1E3,"KB","bytes")))))="",""," "&amp;(IF(ABS(AA26)&gt;=1E12,"TB",IF(ABS(AA26)&gt;=1E9,"GB",IF(ABS(AA26)&gt;=1E6,"MB",IF(ABS(AA26)&gt;=1E3,"KB","bytes"))))))</f>
        <v>0.000 B</v>
      </c>
      <c r="G26" s="33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3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8.389 MFLOPs</v>
      </c>
      <c r="I26" s="33" t="str">
        <f>TEXT(IF(ABS(AB26)&gt;=1E12,AB26/1E12,IF(ABS(AB26)&gt;=1E9,AB26/1E9,IF(ABS(AB26)&gt;=1E6,AB26/1E6,IF(ABS(AB26)&gt;=1E3,AB26/1E3,AB26)))),"#,##0.000")&amp;IF((IF(ABS(AB26)&gt;=1E12,"TB",IF(ABS(AB26)&gt;=1E9,"GB",IF(ABS(AB26)&gt;=1E6,"MB",IF(ABS(AB26)&gt;=1E3,"KB","bytes")))))="",""," "&amp;(IF(ABS(AB26)&gt;=1E12,"TB",IF(ABS(AB26)&gt;=1E9,"GB",IF(ABS(AB26)&gt;=1E6,"MB",IF(ABS(AB26)&gt;=1E3,"KB","bytes"))))))</f>
        <v>0.000 B</v>
      </c>
      <c r="J26" s="4" t="s">
        <v>256</v>
      </c>
      <c r="K26" s="4" t="s">
        <v>271</v>
      </c>
      <c r="L26" s="4" t="s">
        <v>272</v>
      </c>
      <c r="U26" s="32">
        <f>0</f>
        <v>0</v>
      </c>
      <c r="V26" s="32">
        <f>4*DecodeBatch*TP1KernelLocalHeads*HeadDim*(WindowLayers*DC_RawPairs)</f>
        <v>33554432.0</v>
      </c>
      <c r="W26" s="32">
        <f>(DC_Rows*WindowLayers*TP1KernelLocalHeads*HeadDim*BF16Bytes+DecodeBatch*(WindowLayers*DC_RawPairs)*HeadDim*BF16Bytes)+(DC_Rows*WindowLayers*TP1KernelLocalHeads*HeadDim*BF16Bytes)</f>
        <v>524288.0</v>
      </c>
      <c r="X26" s="32">
        <f>0</f>
        <v>0</v>
      </c>
      <c r="Y26" s="32">
        <f>4*DecodeBatch*TP8KernelLocalHeads*HeadDim*(WindowLayers*DC_RawPairs)</f>
        <v>8388608.0</v>
      </c>
      <c r="Z26" s="32">
        <f>(DC_Rows*WindowLayers*TP8KernelLocalHeads*HeadDim*BF16Bytes+DecodeBatch*(WindowLayers*DC_RawPairs)*HeadDim*BF16Bytes)+(DC_Rows*WindowLayers*TP8KernelLocalHeads*HeadDim*BF16Bytes)</f>
        <v>327680</v>
      </c>
      <c r="AA26" s="32">
        <f>0</f>
        <v>0</v>
      </c>
      <c r="AB26" s="32">
        <f>0</f>
        <v>0</v>
      </c>
    </row>
    <row r="27" spans="1:38">
      <c r="A27" s="4" t="s">
        <v>40</v>
      </c>
      <c r="B27" s="4" t="s">
        <v>273</v>
      </c>
      <c r="C27" s="4" t="s">
        <v>274</v>
      </c>
      <c r="D27" s="33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3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1.762 GFLOPs</v>
      </c>
      <c r="F27" s="33" t="str">
        <f>TEXT(IF(ABS(AA27)&gt;=1E12,AA27/1E12,IF(ABS(AA27)&gt;=1E9,AA27/1E9,IF(ABS(AA27)&gt;=1E6,AA27/1E6,IF(ABS(AA27)&gt;=1E3,AA27/1E3,AA27)))),"#,##0.000")&amp;IF((IF(ABS(AA27)&gt;=1E12,"TB",IF(ABS(AA27)&gt;=1E9,"GB",IF(ABS(AA27)&gt;=1E6,"MB",IF(ABS(AA27)&gt;=1E3,"KB","bytes")))))="",""," "&amp;(IF(ABS(AA27)&gt;=1E12,"TB",IF(ABS(AA27)&gt;=1E9,"GB",IF(ABS(AA27)&gt;=1E6,"MB",IF(ABS(AA27)&gt;=1E3,"KB","bytes"))))))</f>
        <v>0.000 B</v>
      </c>
      <c r="G27" s="33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3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440.402 MFLOPs</v>
      </c>
      <c r="I27" s="33" t="str">
        <f>TEXT(IF(ABS(AB27)&gt;=1E12,AB27/1E12,IF(ABS(AB27)&gt;=1E9,AB27/1E9,IF(ABS(AB27)&gt;=1E6,AB27/1E6,IF(ABS(AB27)&gt;=1E3,AB27/1E3,AB27)))),"#,##0.000")&amp;IF((IF(ABS(AB27)&gt;=1E12,"TB",IF(ABS(AB27)&gt;=1E9,"GB",IF(ABS(AB27)&gt;=1E6,"MB",IF(ABS(AB27)&gt;=1E3,"KB","bytes")))))="",""," "&amp;(IF(ABS(AB27)&gt;=1E12,"TB",IF(ABS(AB27)&gt;=1E9,"GB",IF(ABS(AB27)&gt;=1E6,"MB",IF(ABS(AB27)&gt;=1E3,"KB","bytes"))))))</f>
        <v>0.000 B</v>
      </c>
      <c r="J27" s="4" t="s">
        <v>256</v>
      </c>
      <c r="K27" s="4" t="s">
        <v>275</v>
      </c>
      <c r="L27" s="4" t="s">
        <v>272</v>
      </c>
      <c r="U27" s="32">
        <f>0</f>
        <v>0</v>
      </c>
      <c r="V27" s="32">
        <f>4*DecodeBatch*TP1KernelLocalHeads*HeadDim*(ShortLayers*(DC_RawPairs+DC_ShortPairs))</f>
        <v>1761607680.0</v>
      </c>
      <c r="W27" s="32">
        <f>(DC_Rows*ShortLayers*TP1KernelLocalHeads*HeadDim*BF16Bytes+DecodeBatch*(ShortLayers*(DC_RawPairs+DC_ShortPairs))*HeadDim*BF16Bytes)+(DC_Rows*ShortLayers*TP1KernelLocalHeads*HeadDim*BF16Bytes)</f>
        <v>16515072.0</v>
      </c>
      <c r="X27" s="32">
        <f>0</f>
        <v>0</v>
      </c>
      <c r="Y27" s="32">
        <f>4*DecodeBatch*TP8KernelLocalHeads*HeadDim*(ShortLayers*(DC_RawPairs+DC_ShortPairs))</f>
        <v>440401920.0</v>
      </c>
      <c r="Z27" s="32">
        <f>(DC_Rows*ShortLayers*TP8KernelLocalHeads*HeadDim*BF16Bytes+DecodeBatch*(ShortLayers*(DC_RawPairs+DC_ShortPairs))*HeadDim*BF16Bytes)+(DC_Rows*ShortLayers*TP8KernelLocalHeads*HeadDim*BF16Bytes)</f>
        <v>14450688</v>
      </c>
      <c r="AA27" s="32">
        <f>0</f>
        <v>0</v>
      </c>
      <c r="AB27" s="32">
        <f>0</f>
        <v>0</v>
      </c>
    </row>
    <row r="28" spans="1:38">
      <c r="A28" s="4" t="s">
        <v>40</v>
      </c>
      <c r="B28" s="4" t="s">
        <v>276</v>
      </c>
      <c r="C28" s="4" t="s">
        <v>277</v>
      </c>
      <c r="D28" s="33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3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21.810 GFLOPs</v>
      </c>
      <c r="F28" s="33" t="str">
        <f>TEXT(IF(ABS(AA28)&gt;=1E12,AA28/1E12,IF(ABS(AA28)&gt;=1E9,AA28/1E9,IF(ABS(AA28)&gt;=1E6,AA28/1E6,IF(ABS(AA28)&gt;=1E3,AA28/1E3,AA28)))),"#,##0.000")&amp;IF((IF(ABS(AA28)&gt;=1E12,"TB",IF(ABS(AA28)&gt;=1E9,"GB",IF(ABS(AA28)&gt;=1E6,"MB",IF(ABS(AA28)&gt;=1E3,"KB","bytes")))))="",""," "&amp;(IF(ABS(AA28)&gt;=1E12,"TB",IF(ABS(AA28)&gt;=1E9,"GB",IF(ABS(AA28)&gt;=1E6,"MB",IF(ABS(AA28)&gt;=1E3,"KB","bytes"))))))</f>
        <v>0.000 B</v>
      </c>
      <c r="G28" s="33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3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5.453 GFLOPs</v>
      </c>
      <c r="I28" s="33" t="str">
        <f>TEXT(IF(ABS(AB28)&gt;=1E12,AB28/1E12,IF(ABS(AB28)&gt;=1E9,AB28/1E9,IF(ABS(AB28)&gt;=1E6,AB28/1E6,IF(ABS(AB28)&gt;=1E3,AB28/1E3,AB28)))),"#,##0.000")&amp;IF((IF(ABS(AB28)&gt;=1E12,"TB",IF(ABS(AB28)&gt;=1E9,"GB",IF(ABS(AB28)&gt;=1E6,"MB",IF(ABS(AB28)&gt;=1E3,"KB","bytes")))))="",""," "&amp;(IF(ABS(AB28)&gt;=1E12,"TB",IF(ABS(AB28)&gt;=1E9,"GB",IF(ABS(AB28)&gt;=1E6,"MB",IF(ABS(AB28)&gt;=1E3,"KB","bytes"))))))</f>
        <v>0.000 B</v>
      </c>
      <c r="J28" s="4" t="s">
        <v>256</v>
      </c>
      <c r="K28" s="4" t="s">
        <v>275</v>
      </c>
      <c r="L28" s="4" t="s">
        <v>272</v>
      </c>
      <c r="U28" s="32">
        <f>0</f>
        <v>0</v>
      </c>
      <c r="V28" s="32">
        <f>4*DecodeBatch*TP1KernelLocalHeads*HeadDim*(LongLayers*(DC_RawPairs+DC_LongPairs))</f>
        <v>21810380800.0</v>
      </c>
      <c r="W28" s="32">
        <f>(DC_Rows*LongLayers*TP1KernelLocalHeads*HeadDim*BF16Bytes+DecodeBatch*(LongLayers*(DC_RawPairs+DC_LongPairs))*HeadDim*BF16Bytes)+(DC_Rows*LongLayers*TP1KernelLocalHeads*HeadDim*BF16Bytes)</f>
        <v>173015040.0</v>
      </c>
      <c r="X28" s="32">
        <f>0</f>
        <v>0</v>
      </c>
      <c r="Y28" s="32">
        <f>4*DecodeBatch*TP8KernelLocalHeads*HeadDim*(LongLayers*(DC_RawPairs+DC_LongPairs))</f>
        <v>5452595200.0</v>
      </c>
      <c r="Z28" s="32">
        <f>(DC_Rows*LongLayers*TP8KernelLocalHeads*HeadDim*BF16Bytes+DecodeBatch*(LongLayers*(DC_RawPairs+DC_LongPairs))*HeadDim*BF16Bytes)+(DC_Rows*LongLayers*TP8KernelLocalHeads*HeadDim*BF16Bytes)</f>
        <v>171048960</v>
      </c>
      <c r="AA28" s="32">
        <f>0</f>
        <v>0</v>
      </c>
      <c r="AB28" s="32">
        <f>0</f>
        <v>0</v>
      </c>
    </row>
    <row r="29" spans="1:38">
      <c r="A29" s="4" t="s">
        <v>40</v>
      </c>
      <c r="B29" s="4" t="s">
        <v>278</v>
      </c>
      <c r="C29" s="4" t="s">
        <v>158</v>
      </c>
      <c r="D29" s="33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3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363.332 MFLOPs</v>
      </c>
      <c r="F29" s="33" t="str">
        <f>TEXT(IF(ABS(AA29)&gt;=1E12,AA29/1E12,IF(ABS(AA29)&gt;=1E9,AA29/1E9,IF(ABS(AA29)&gt;=1E6,AA29/1E6,IF(ABS(AA29)&gt;=1E3,AA29/1E3,AA29)))),"#,##0.000")&amp;IF((IF(ABS(AA29)&gt;=1E12,"TB",IF(ABS(AA29)&gt;=1E9,"GB",IF(ABS(AA29)&gt;=1E6,"MB",IF(ABS(AA29)&gt;=1E3,"KB","bytes")))))="",""," "&amp;(IF(ABS(AA29)&gt;=1E12,"TB",IF(ABS(AA29)&gt;=1E9,"GB",IF(ABS(AA29)&gt;=1E6,"MB",IF(ABS(AA29)&gt;=1E3,"KB","bytes"))))))</f>
        <v>0.000 B</v>
      </c>
      <c r="G29" s="33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3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45.416 MFLOPs</v>
      </c>
      <c r="I29" s="33" t="str">
        <f>TEXT(IF(ABS(AB29)&gt;=1E12,AB29/1E12,IF(ABS(AB29)&gt;=1E9,AB29/1E9,IF(ABS(AB29)&gt;=1E6,AB29/1E6,IF(ABS(AB29)&gt;=1E3,AB29/1E3,AB29)))),"#,##0.000")&amp;IF((IF(ABS(AB29)&gt;=1E12,"TB",IF(ABS(AB29)&gt;=1E9,"GB",IF(ABS(AB29)&gt;=1E6,"MB",IF(ABS(AB29)&gt;=1E3,"KB","bytes")))))="",""," "&amp;(IF(ABS(AB29)&gt;=1E12,"TB",IF(ABS(AB29)&gt;=1E9,"GB",IF(ABS(AB29)&gt;=1E6,"MB",IF(ABS(AB29)&gt;=1E3,"KB","bytes"))))))</f>
        <v>0.000 B</v>
      </c>
      <c r="J29" s="4" t="s">
        <v>279</v>
      </c>
      <c r="K29" s="4" t="s">
        <v>280</v>
      </c>
      <c r="L29" s="4" t="s">
        <v>281</v>
      </c>
      <c r="U29" s="32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2">
        <f>2*DC_Rows*ShortLayers*(QLoraRank*TP1LocalIndexHeads*IndexHeadDim+HiddenSize*TP1LocalIndexHeads)</f>
        <v>363331584.0</v>
      </c>
      <c r="W29" s="32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X29" s="32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2">
        <f>2*DC_Rows*ShortLayers*(QLoraRank*TP8LocalIndexHeads*IndexHeadDim+HiddenSize*TP8LocalIndexHeads)</f>
        <v>45416448.0</v>
      </c>
      <c r="Z29" s="32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  <c r="AA29" s="32">
        <f>0</f>
        <v>0</v>
      </c>
      <c r="AB29" s="32">
        <f>0</f>
        <v>0</v>
      </c>
    </row>
    <row r="30" spans="1:38">
      <c r="A30" s="4" t="s">
        <v>40</v>
      </c>
      <c r="B30" s="4" t="s">
        <v>282</v>
      </c>
      <c r="C30" s="4" t="s">
        <v>158</v>
      </c>
      <c r="D30" s="33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3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90.194 GFLOPs</v>
      </c>
      <c r="F30" s="33" t="str">
        <f>TEXT(IF(ABS(AA30)&gt;=1E12,AA30/1E12,IF(ABS(AA30)&gt;=1E9,AA30/1E9,IF(ABS(AA30)&gt;=1E6,AA30/1E6,IF(ABS(AA30)&gt;=1E3,AA30/1E3,AA30)))),"#,##0.000")&amp;IF((IF(ABS(AA30)&gt;=1E12,"TB",IF(ABS(AA30)&gt;=1E9,"GB",IF(ABS(AA30)&gt;=1E6,"MB",IF(ABS(AA30)&gt;=1E3,"KB","bytes")))))="",""," "&amp;(IF(ABS(AA30)&gt;=1E12,"TB",IF(ABS(AA30)&gt;=1E9,"GB",IF(ABS(AA30)&gt;=1E6,"MB",IF(ABS(AA30)&gt;=1E3,"KB","bytes"))))))</f>
        <v>0.000 B</v>
      </c>
      <c r="G30" s="33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3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11.274 GFLOPs</v>
      </c>
      <c r="I30" s="33" t="str">
        <f>TEXT(IF(ABS(AB30)&gt;=1E12,AB30/1E12,IF(ABS(AB30)&gt;=1E9,AB30/1E9,IF(ABS(AB30)&gt;=1E6,AB30/1E6,IF(ABS(AB30)&gt;=1E3,AB30/1E3,AB30)))),"#,##0.000")&amp;IF((IF(ABS(AB30)&gt;=1E12,"TB",IF(ABS(AB30)&gt;=1E9,"GB",IF(ABS(AB30)&gt;=1E6,"MB",IF(ABS(AB30)&gt;=1E3,"KB","bytes")))))="",""," "&amp;(IF(ABS(AB30)&gt;=1E12,"TB",IF(ABS(AB30)&gt;=1E9,"GB",IF(ABS(AB30)&gt;=1E6,"MB",IF(ABS(AB30)&gt;=1E3,"KB","bytes"))))))</f>
        <v>0.000 B</v>
      </c>
      <c r="J30" s="4" t="s">
        <v>256</v>
      </c>
      <c r="K30" s="4" t="s">
        <v>283</v>
      </c>
      <c r="L30" s="4" t="s">
        <v>284</v>
      </c>
      <c r="U30" s="32">
        <f>0</f>
        <v>0</v>
      </c>
      <c r="V30" s="32">
        <f>2*DecodeBatch*ShortLayers*TP1LocalIndexHeads*IndexHeadDim*DC_IndexPairs</f>
        <v>90194313216.0</v>
      </c>
      <c r="W30" s="32">
        <f>(DecodeBatch*ShortLayers*DC_IndexPairs*(IndexHeadDim*BF16Bytes+TP1LocalIndexHeads*BF16Bytes))+(DecodeBatch*ShortLayers*DC_IndexPairs*(TP1LocalIndexHeads*BF16Bytes+FP32Bytes))</f>
        <v>2840592384.0</v>
      </c>
      <c r="X30" s="32">
        <f>0</f>
        <v>0</v>
      </c>
      <c r="Y30" s="32">
        <f>2*DecodeBatch*ShortLayers*TP8LocalIndexHeads*IndexHeadDim*DC_IndexPairs</f>
        <v>11274289152.0</v>
      </c>
      <c r="Z30" s="32">
        <f>(DecodeBatch*ShortLayers*DC_IndexPairs*(IndexHeadDim*BF16Bytes+TP8LocalIndexHeads*BF16Bytes))+(DecodeBatch*ShortLayers*DC_IndexPairs*(TP8LocalIndexHeads*BF16Bytes+FP32Bytes))</f>
        <v>1607467008.0</v>
      </c>
      <c r="AA30" s="32">
        <f>0</f>
        <v>0</v>
      </c>
      <c r="AB30" s="32">
        <f>0</f>
        <v>0</v>
      </c>
    </row>
    <row r="31" spans="1:38">
      <c r="A31" s="4" t="s">
        <v>40</v>
      </c>
      <c r="B31" s="4" t="s">
        <v>285</v>
      </c>
      <c r="C31" s="4" t="s">
        <v>274</v>
      </c>
      <c r="D31" s="33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3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352.322 MFLOPs</v>
      </c>
      <c r="F31" s="33" t="str">
        <f>TEXT(IF(ABS(AA31)&gt;=1E12,AA31/1E12,IF(ABS(AA31)&gt;=1E9,AA31/1E9,IF(ABS(AA31)&gt;=1E6,AA31/1E6,IF(ABS(AA31)&gt;=1E3,AA31/1E3,AA31)))),"#,##0.000")&amp;IF((IF(ABS(AA31)&gt;=1E12,"TB",IF(ABS(AA31)&gt;=1E9,"GB",IF(ABS(AA31)&gt;=1E6,"MB",IF(ABS(AA31)&gt;=1E3,"KB","bytes")))))="",""," "&amp;(IF(ABS(AA31)&gt;=1E12,"TB",IF(ABS(AA31)&gt;=1E9,"GB",IF(ABS(AA31)&gt;=1E6,"MB",IF(ABS(AA31)&gt;=1E3,"KB","bytes"))))))</f>
        <v>0.000 B</v>
      </c>
      <c r="G31" s="33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3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352.322 MFLOPs</v>
      </c>
      <c r="I31" s="33" t="str">
        <f>TEXT(IF(ABS(AB31)&gt;=1E12,AB31/1E12,IF(ABS(AB31)&gt;=1E9,AB31/1E9,IF(ABS(AB31)&gt;=1E6,AB31/1E6,IF(ABS(AB31)&gt;=1E3,AB31/1E3,AB31)))),"#,##0.000")&amp;IF((IF(ABS(AB31)&gt;=1E12,"TB",IF(ABS(AB31)&gt;=1E9,"GB",IF(ABS(AB31)&gt;=1E6,"MB",IF(ABS(AB31)&gt;=1E3,"KB","bytes")))))="",""," "&amp;(IF(ABS(AB31)&gt;=1E12,"TB",IF(ABS(AB31)&gt;=1E9,"GB",IF(ABS(AB31)&gt;=1E6,"MB",IF(ABS(AB31)&gt;=1E3,"KB","bytes"))))))</f>
        <v>0.000 B</v>
      </c>
      <c r="J31" s="4" t="s">
        <v>286</v>
      </c>
      <c r="K31" s="4" t="s">
        <v>287</v>
      </c>
      <c r="L31" s="4" t="s">
        <v>288</v>
      </c>
      <c r="U31" s="32">
        <f>ShortLayers*(2*HiddenSize*(2*HeadDim)*FP32Bytes+ShortRatio*2*HeadDim*FP32Bytes+HeadDim*FP32Bytes)</f>
        <v>705030144</v>
      </c>
      <c r="V31" s="32">
        <f>DC_Rows*ShortLayers*8*HiddenSize*HeadDim</f>
        <v>352321536</v>
      </c>
      <c r="W31" s="32">
        <f>(ShortLayers*(2*HiddenSize*(2*HeadDim)*FP32Bytes+ShortRatio*2*HeadDim*FP32Bytes+HeadDim*FP32Bytes)+DC_Rows*ShortLayers*HiddenSize*FP32Bytes)+(DC_Rows*ShortLayers*4*HeadDim*FP32Bytes)</f>
        <v>705546240</v>
      </c>
      <c r="X31" s="32">
        <f>ShortLayers*(2*HiddenSize*(2*HeadDim)*FP32Bytes+ShortRatio*2*HeadDim*FP32Bytes+HeadDim*FP32Bytes)</f>
        <v>705030144</v>
      </c>
      <c r="Y31" s="32">
        <f>DC_Rows*ShortLayers*8*HiddenSize*HeadDim</f>
        <v>352321536</v>
      </c>
      <c r="Z31" s="32">
        <f>(ShortLayers*(2*HiddenSize*(2*HeadDim)*FP32Bytes+ShortRatio*2*HeadDim*FP32Bytes+HeadDim*FP32Bytes)+DC_Rows*ShortLayers*HiddenSize*FP32Bytes)+(DC_Rows*ShortLayers*4*HeadDim*FP32Bytes)</f>
        <v>705546240</v>
      </c>
      <c r="AA31" s="32">
        <f>0</f>
        <v>0</v>
      </c>
      <c r="AB31" s="32">
        <f>0</f>
        <v>0</v>
      </c>
    </row>
    <row r="32" spans="1:38">
      <c r="A32" s="4" t="s">
        <v>40</v>
      </c>
      <c r="B32" s="4" t="s">
        <v>289</v>
      </c>
      <c r="C32" s="4" t="s">
        <v>277</v>
      </c>
      <c r="D32" s="33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3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167.772 MFLOPs</v>
      </c>
      <c r="F32" s="33" t="str">
        <f>TEXT(IF(ABS(AA32)&gt;=1E12,AA32/1E12,IF(ABS(AA32)&gt;=1E9,AA32/1E9,IF(ABS(AA32)&gt;=1E6,AA32/1E6,IF(ABS(AA32)&gt;=1E3,AA32/1E3,AA32)))),"#,##0.000")&amp;IF((IF(ABS(AA32)&gt;=1E12,"TB",IF(ABS(AA32)&gt;=1E9,"GB",IF(ABS(AA32)&gt;=1E6,"MB",IF(ABS(AA32)&gt;=1E3,"KB","bytes")))))="",""," "&amp;(IF(ABS(AA32)&gt;=1E12,"TB",IF(ABS(AA32)&gt;=1E9,"GB",IF(ABS(AA32)&gt;=1E6,"MB",IF(ABS(AA32)&gt;=1E3,"KB","bytes"))))))</f>
        <v>0.000 B</v>
      </c>
      <c r="G32" s="33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3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167.772 MFLOPs</v>
      </c>
      <c r="I32" s="33" t="str">
        <f>TEXT(IF(ABS(AB32)&gt;=1E12,AB32/1E12,IF(ABS(AB32)&gt;=1E9,AB32/1E9,IF(ABS(AB32)&gt;=1E6,AB32/1E6,IF(ABS(AB32)&gt;=1E3,AB32/1E3,AB32)))),"#,##0.000")&amp;IF((IF(ABS(AB32)&gt;=1E12,"TB",IF(ABS(AB32)&gt;=1E9,"GB",IF(ABS(AB32)&gt;=1E6,"MB",IF(ABS(AB32)&gt;=1E3,"KB","bytes")))))="",""," "&amp;(IF(ABS(AB32)&gt;=1E12,"TB",IF(ABS(AB32)&gt;=1E9,"GB",IF(ABS(AB32)&gt;=1E6,"MB",IF(ABS(AB32)&gt;=1E3,"KB","bytes"))))))</f>
        <v>0.000 B</v>
      </c>
      <c r="J32" s="4" t="s">
        <v>286</v>
      </c>
      <c r="K32" s="4" t="s">
        <v>287</v>
      </c>
      <c r="L32" s="4" t="s">
        <v>290</v>
      </c>
      <c r="U32" s="32">
        <f>LongLayers*(2*HiddenSize*HeadDim*FP32Bytes+LongRatio*HeadDim*FP32Bytes+HeadDim*FP32Bytes)</f>
        <v>340828160</v>
      </c>
      <c r="V32" s="32">
        <f>DC_Rows*LongLayers*4*HiddenSize*HeadDim</f>
        <v>167772160</v>
      </c>
      <c r="W32" s="32">
        <f>(LongLayers*(2*HiddenSize*HeadDim*FP32Bytes+LongRatio*HeadDim*FP32Bytes+HeadDim*FP32Bytes)+DC_Rows*LongLayers*HiddenSize*FP32Bytes)+(DC_Rows*LongLayers*2*HeadDim*FP32Bytes)</f>
        <v>341237760</v>
      </c>
      <c r="X32" s="32">
        <f>LongLayers*(2*HiddenSize*HeadDim*FP32Bytes+LongRatio*HeadDim*FP32Bytes+HeadDim*FP32Bytes)</f>
        <v>340828160</v>
      </c>
      <c r="Y32" s="32">
        <f>DC_Rows*LongLayers*4*HiddenSize*HeadDim</f>
        <v>167772160</v>
      </c>
      <c r="Z32" s="32">
        <f>(LongLayers*(2*HiddenSize*HeadDim*FP32Bytes+LongRatio*HeadDim*FP32Bytes+HeadDim*FP32Bytes)+DC_Rows*LongLayers*HiddenSize*FP32Bytes)+(DC_Rows*LongLayers*2*HeadDim*FP32Bytes)</f>
        <v>341237760</v>
      </c>
      <c r="AA32" s="32">
        <f>0</f>
        <v>0</v>
      </c>
      <c r="AB32" s="32">
        <f>0</f>
        <v>0</v>
      </c>
    </row>
    <row r="33" spans="1:50">
      <c r="A33" s="4" t="s">
        <v>40</v>
      </c>
      <c r="B33" s="4" t="s">
        <v>291</v>
      </c>
      <c r="C33" s="4" t="s">
        <v>158</v>
      </c>
      <c r="D33" s="33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3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88.080 MFLOPs</v>
      </c>
      <c r="F33" s="33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G33" s="33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3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88.080 MFLOPs</v>
      </c>
      <c r="I33" s="33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292</v>
      </c>
      <c r="K33" s="4" t="s">
        <v>293</v>
      </c>
      <c r="L33" s="4" t="s">
        <v>294</v>
      </c>
      <c r="U33" s="32">
        <f>ShortLayers*(2*HiddenSize*(2*IndexHeadDim)*FP32Bytes+ShortRatio*2*IndexHeadDim*FP32Bytes+IndexHeadDim*FP32Bytes)</f>
        <v>176257536</v>
      </c>
      <c r="V33" s="32">
        <f>DC_Rows*ShortLayers*8*HiddenSize*IndexHeadDim</f>
        <v>88080384</v>
      </c>
      <c r="W33" s="32">
        <f>(ShortLayers*(2*HiddenSize*(2*IndexHeadDim)*FP32Bytes+ShortRatio*2*IndexHeadDim*FP32Bytes+IndexHeadDim*FP32Bytes)+DC_Rows*ShortLayers*HiddenSize*FP32Bytes)+(DC_Rows*ShortLayers*4*IndexHeadDim*FP32Bytes)</f>
        <v>176644608</v>
      </c>
      <c r="X33" s="32">
        <f>ShortLayers*(2*HiddenSize*(2*IndexHeadDim)*FP32Bytes+ShortRatio*2*IndexHeadDim*FP32Bytes+IndexHeadDim*FP32Bytes)</f>
        <v>176257536</v>
      </c>
      <c r="Y33" s="32">
        <f>DC_Rows*ShortLayers*8*HiddenSize*IndexHeadDim</f>
        <v>88080384</v>
      </c>
      <c r="Z33" s="32">
        <f>(ShortLayers*(2*HiddenSize*(2*IndexHeadDim)*FP32Bytes+ShortRatio*2*IndexHeadDim*FP32Bytes+IndexHeadDim*FP32Bytes)+DC_Rows*ShortLayers*HiddenSize*FP32Bytes)+(DC_Rows*ShortLayers*4*IndexHeadDim*FP32Bytes)</f>
        <v>176644608</v>
      </c>
      <c r="AA33" s="32">
        <f>0</f>
        <v>0</v>
      </c>
      <c r="AB33" s="32">
        <f>0</f>
        <v>0</v>
      </c>
    </row>
    <row r="34" spans="1:50">
      <c r="A34" s="4" t="s">
        <v>40</v>
      </c>
      <c r="B34" s="4" t="s">
        <v>295</v>
      </c>
      <c r="C34" s="4" t="s">
        <v>296</v>
      </c>
      <c r="D34" s="33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3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3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G34" s="33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3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3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2.466 MB</v>
      </c>
      <c r="J34" s="4" t="s">
        <v>256</v>
      </c>
      <c r="K34" s="4" t="s">
        <v>297</v>
      </c>
      <c r="L34" s="4" t="s">
        <v>298</v>
      </c>
      <c r="U34" s="32">
        <f>0</f>
        <v>0</v>
      </c>
      <c r="V34" s="32">
        <f>0</f>
        <v>0</v>
      </c>
      <c r="W34" s="32">
        <f>(0)+(0)</f>
        <v>0</v>
      </c>
      <c r="X34" s="32">
        <f>0</f>
        <v>0</v>
      </c>
      <c r="Y34" s="32">
        <f>0</f>
        <v>0</v>
      </c>
      <c r="Z34" s="32">
        <f>(0)+(0)</f>
        <v>0</v>
      </c>
      <c r="AA34" s="32">
        <f>4*(TP1Size-1)/TP1Size*DC_Rows*HiddenSize*FP32Bytes*TotalLayers</f>
        <v>0.0</v>
      </c>
      <c r="AB34" s="32">
        <f>4*(TP8Size-1)/TP8Size*DC_Rows*HiddenSize*FP32Bytes*TotalLayers</f>
        <v>2465792.0</v>
      </c>
    </row>
    <row r="35" spans="1:50">
      <c r="A35" s="4" t="s">
        <v>40</v>
      </c>
      <c r="B35" s="4" t="s">
        <v>348</v>
      </c>
      <c r="C35" s="4" t="s">
        <v>300</v>
      </c>
      <c r="D35" s="33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5.811 GB</v>
      </c>
      <c r="E35" s="33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3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G35" s="33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5.811 GB</v>
      </c>
      <c r="H35" s="33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3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256</v>
      </c>
      <c r="K35" s="4" t="s">
        <v>301</v>
      </c>
      <c r="L35" s="4" t="s">
        <v>349</v>
      </c>
      <c r="U35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V35" s="32">
        <f>0</f>
        <v>0</v>
      </c>
      <c r="W35" s="32">
        <f>(0)+(0)</f>
        <v>0</v>
      </c>
      <c r="X35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Y35" s="32">
        <f>0</f>
        <v>0</v>
      </c>
      <c r="Z35" s="32">
        <f>(0)+(0)</f>
        <v>0</v>
      </c>
      <c r="AA35" s="32">
        <f>0</f>
        <v>0</v>
      </c>
      <c r="AB35" s="32">
        <f>0</f>
        <v>0</v>
      </c>
    </row>
    <row r="36" spans="1:50">
      <c r="A36" s="4" t="s">
        <v>40</v>
      </c>
      <c r="B36" s="4" t="s">
        <v>350</v>
      </c>
      <c r="C36" s="4" t="s">
        <v>300</v>
      </c>
      <c r="D36" s="33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1.409 GB</v>
      </c>
      <c r="E36" s="33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3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G36" s="33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1.409 GB</v>
      </c>
      <c r="H36" s="33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3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256</v>
      </c>
      <c r="K36" s="4" t="s">
        <v>304</v>
      </c>
      <c r="L36" s="4" t="s">
        <v>351</v>
      </c>
      <c r="U36" s="32">
        <f>DecodeBatch*ShortLayers*INT(DecodeContext/ShortRatio)*IndexHeadDim*BF16Bytes</f>
        <v>1409286144</v>
      </c>
      <c r="V36" s="32">
        <f>0</f>
        <v>0</v>
      </c>
      <c r="W36" s="32">
        <f>(0)+(0)</f>
        <v>0</v>
      </c>
      <c r="X36" s="32">
        <f>DecodeBatch*ShortLayers*INT(DecodeContext/ShortRatio)*IndexHeadDim*BF16Bytes</f>
        <v>1409286144</v>
      </c>
      <c r="Y36" s="32">
        <f>0</f>
        <v>0</v>
      </c>
      <c r="Z36" s="32">
        <f>(0)+(0)</f>
        <v>0</v>
      </c>
      <c r="AA36" s="32">
        <f>0</f>
        <v>0</v>
      </c>
      <c r="AB36" s="32">
        <f>0</f>
        <v>0</v>
      </c>
    </row>
    <row r="37" spans="1:50">
      <c r="A37" s="4" t="s">
        <v>40</v>
      </c>
      <c r="B37" s="4" t="s">
        <v>352</v>
      </c>
      <c r="C37" s="4" t="s">
        <v>300</v>
      </c>
      <c r="D37" s="33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3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3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G37" s="33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3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3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256</v>
      </c>
      <c r="K37" s="4" t="s">
        <v>307</v>
      </c>
      <c r="L37" s="4" t="s">
        <v>353</v>
      </c>
      <c r="U37" s="32">
        <f>DecodeBatch*FP32Bytes*(ShortLayers*2*(2*ShortRatio)*(2*HeadDim)+LongLayers*2*LongRatio*HeadDim+ShortLayers*2*(2*ShortRatio)*(2*IndexHeadDim))</f>
        <v>12206080</v>
      </c>
      <c r="V37" s="32">
        <f>0</f>
        <v>0</v>
      </c>
      <c r="W37" s="32">
        <f>(0)+(0)</f>
        <v>0</v>
      </c>
      <c r="X37" s="32">
        <f>DecodeBatch*FP32Bytes*(ShortLayers*2*(2*ShortRatio)*(2*HeadDim)+LongLayers*2*LongRatio*HeadDim+ShortLayers*2*(2*ShortRatio)*(2*IndexHeadDim))</f>
        <v>12206080</v>
      </c>
      <c r="Y37" s="32">
        <f>0</f>
        <v>0</v>
      </c>
      <c r="Z37" s="32">
        <f>(0)+(0)</f>
        <v>0</v>
      </c>
      <c r="AA37" s="32">
        <f>0</f>
        <v>0</v>
      </c>
      <c r="AB37" s="32">
        <f>0</f>
        <v>0</v>
      </c>
    </row>
    <row r="38" spans="1:50">
      <c r="A38" s="4" t="s">
        <v>40</v>
      </c>
      <c r="B38" s="4" t="s">
        <v>354</v>
      </c>
      <c r="C38" s="4" t="s">
        <v>300</v>
      </c>
      <c r="D38" s="33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3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3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G38" s="33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3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3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256</v>
      </c>
      <c r="K38" s="4" t="s">
        <v>310</v>
      </c>
      <c r="L38" s="4" t="s">
        <v>355</v>
      </c>
      <c r="U38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V38" s="32">
        <f>0</f>
        <v>0</v>
      </c>
      <c r="W38" s="32">
        <f>(0)+(0)</f>
        <v>0</v>
      </c>
      <c r="X38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Y38" s="32">
        <f>0</f>
        <v>0</v>
      </c>
      <c r="Z38" s="32">
        <f>(0)+(0)</f>
        <v>0</v>
      </c>
      <c r="AA38" s="32">
        <f>0</f>
        <v>0</v>
      </c>
      <c r="AB38" s="32">
        <f>0</f>
        <v>0</v>
      </c>
    </row>
    <row r="39" spans="1:50">
      <c r="A39" s="4" t="s">
        <v>59</v>
      </c>
      <c r="B39" s="4" t="s">
        <v>312</v>
      </c>
      <c r="C39" s="4" t="s">
        <v>265</v>
      </c>
      <c r="D39" s="33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3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3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G39" s="33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3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90.178 MFLOPs</v>
      </c>
      <c r="I39" s="33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313</v>
      </c>
      <c r="K39" s="4" t="s">
        <v>314</v>
      </c>
      <c r="L39" s="4" t="s">
        <v>315</v>
      </c>
      <c r="U39" s="32">
        <f>TotalLayers*RoutedExperts*HiddenSize*BF16Bytes+(TotalLayers-ActiveHashLayers)*RoutedExperts*FP32Bytes+ActiveHashLayers*VocabSize*ActivatedExperts*INT32Bytes</f>
        <v>99526656</v>
      </c>
      <c r="V39" s="32">
        <f>2*DC_Rows*TotalLayers*HiddenSize*RoutedExperts</f>
        <v>90177536</v>
      </c>
      <c r="W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X39" s="32">
        <f>TotalLayers*RoutedExperts*HiddenSize*BF16Bytes+(TotalLayers-ActiveHashLayers)*RoutedExperts*FP32Bytes+ActiveHashLayers*VocabSize*ActivatedExperts*INT32Bytes</f>
        <v>99526656</v>
      </c>
      <c r="Y39" s="32">
        <f>2*DC_Rows*TotalLayers*HiddenSize*RoutedExperts</f>
        <v>90177536</v>
      </c>
      <c r="Z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A39" s="32">
        <f>0</f>
        <v>0</v>
      </c>
      <c r="AB39" s="32">
        <f>0</f>
        <v>0</v>
      </c>
    </row>
    <row r="40" spans="1:50">
      <c r="A40" s="4" t="s">
        <v>59</v>
      </c>
      <c r="B40" s="4" t="s">
        <v>316</v>
      </c>
      <c r="C40" s="4" t="s">
        <v>265</v>
      </c>
      <c r="D40" s="33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3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12.986 GFLOPs</v>
      </c>
      <c r="F40" s="33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G40" s="33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3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1.623 GFLOPs</v>
      </c>
      <c r="I40" s="33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317</v>
      </c>
      <c r="K40" s="4" t="s">
        <v>318</v>
      </c>
      <c r="L40" s="4" t="s">
        <v>319</v>
      </c>
      <c r="U40" s="32">
        <f>TotalLayers*TP1LocalExperts*(3*HiddenSize*ExpertInter*FP4Bytes+3*HiddenSize*ExpertInter/FP4Block*ScaleBytes)</f>
        <v>147169738752.0</v>
      </c>
      <c r="V40" s="32">
        <f>DC_Rows*TotalLayers*(ActivatedExperts/TP1Size)*6*HiddenSize*ExpertInter</f>
        <v>12985565184.0</v>
      </c>
      <c r="W40" s="32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X40" s="32">
        <f>TotalLayers*TP8LocalExperts*(3*HiddenSize*ExpertInter*FP4Bytes+3*HiddenSize*ExpertInter/FP4Block*ScaleBytes)</f>
        <v>18396217344.0</v>
      </c>
      <c r="Y40" s="32">
        <f>DC_Rows*TotalLayers*(ActivatedExperts/TP8Size)*6*HiddenSize*ExpertInter</f>
        <v>1623195648.0</v>
      </c>
      <c r="Z40" s="32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  <c r="AA40" s="32">
        <f>0</f>
        <v>0</v>
      </c>
      <c r="AB40" s="32">
        <f>0</f>
        <v>0</v>
      </c>
    </row>
    <row r="41" spans="1:50">
      <c r="A41" s="4" t="s">
        <v>59</v>
      </c>
      <c r="B41" s="4" t="s">
        <v>320</v>
      </c>
      <c r="C41" s="4" t="s">
        <v>265</v>
      </c>
      <c r="D41" s="33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3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3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G41" s="33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3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2.164 GFLOPs</v>
      </c>
      <c r="I41" s="33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321</v>
      </c>
      <c r="K41" s="4" t="s">
        <v>318</v>
      </c>
      <c r="L41" s="4" t="s">
        <v>322</v>
      </c>
      <c r="U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2">
        <f>DC_Rows*TotalLayers*SharedExperts*6*HiddenSize*ExpertInter</f>
        <v>2164260864</v>
      </c>
      <c r="W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X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2">
        <f>DC_Rows*TotalLayers*SharedExperts*6*HiddenSize*ExpertInter</f>
        <v>2164260864</v>
      </c>
      <c r="Z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A41" s="32">
        <f>0</f>
        <v>0</v>
      </c>
      <c r="AB41" s="32">
        <f>0</f>
        <v>0</v>
      </c>
    </row>
    <row r="42" spans="1:50">
      <c r="A42" s="4" t="s">
        <v>59</v>
      </c>
      <c r="B42" s="4" t="s">
        <v>323</v>
      </c>
      <c r="C42" s="4" t="s">
        <v>296</v>
      </c>
      <c r="D42" s="33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3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3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G42" s="33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3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3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2.466 MB</v>
      </c>
      <c r="J42" s="4" t="s">
        <v>256</v>
      </c>
      <c r="K42" s="4" t="s">
        <v>297</v>
      </c>
      <c r="L42" s="4" t="s">
        <v>324</v>
      </c>
      <c r="U42" s="32">
        <f>0</f>
        <v>0</v>
      </c>
      <c r="V42" s="32">
        <f>0</f>
        <v>0</v>
      </c>
      <c r="W42" s="32">
        <f>(0)+(0)</f>
        <v>0</v>
      </c>
      <c r="X42" s="32">
        <f>0</f>
        <v>0</v>
      </c>
      <c r="Y42" s="32">
        <f>0</f>
        <v>0</v>
      </c>
      <c r="Z42" s="32">
        <f>(0)+(0)</f>
        <v>0</v>
      </c>
      <c r="AA42" s="32">
        <f>4*(TP1Size-1)/TP1Size*DC_Rows*HiddenSize*FP32Bytes*TotalLayers</f>
        <v>0.0</v>
      </c>
      <c r="AB42" s="32">
        <f>4*(TP8Size-1)/TP8Size*DC_Rows*HiddenSize*FP32Bytes*TotalLayers</f>
        <v>2465792.0</v>
      </c>
    </row>
    <row r="43" spans="1:50">
      <c r="A43" s="4" t="s">
        <v>92</v>
      </c>
      <c r="B43" s="4" t="s">
        <v>325</v>
      </c>
      <c r="C43" s="4" t="s">
        <v>326</v>
      </c>
      <c r="D43" s="33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3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85.791 MFLOPs</v>
      </c>
      <c r="F43" s="33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G43" s="33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3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85.791 MFLOPs</v>
      </c>
      <c r="I43" s="33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327</v>
      </c>
      <c r="K43" s="4" t="s">
        <v>328</v>
      </c>
      <c r="L43" s="4" t="s">
        <v>329</v>
      </c>
      <c r="U43" s="32">
        <f>(TotalLayers*2*(((2+HCSlots)*HCSlots)*HCSlots*HiddenSize+((2+HCSlots)*HCSlots)+3))*FP32Bytes+(HCSlots*HCSlots*HiddenSize+HCSlots+1)*FP32Bytes</f>
        <v>135537756</v>
      </c>
      <c r="V43" s="32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W43" s="32">
        <f>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</f>
        <v>146850908.0</v>
      </c>
      <c r="X43" s="32">
        <f>(TotalLayers*2*(((2+HCSlots)*HCSlots)*HCSlots*HiddenSize+((2+HCSlots)*HCSlots)+3))*FP32Bytes+(HCSlots*HCSlots*HiddenSize+HCSlots+1)*FP32Bytes</f>
        <v>135537756</v>
      </c>
      <c r="Y43" s="32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Z43" s="32">
        <f>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</f>
        <v>146850908.0</v>
      </c>
      <c r="AA43" s="32">
        <f>0</f>
        <v>0</v>
      </c>
      <c r="AB43" s="32">
        <f>0</f>
        <v>0</v>
      </c>
    </row>
    <row r="44" spans="1:50">
      <c r="A44" s="4" t="s">
        <v>249</v>
      </c>
      <c r="B44" s="4" t="s">
        <v>249</v>
      </c>
      <c r="C44" s="4" t="s">
        <v>330</v>
      </c>
      <c r="D44" s="33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3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1.425 MFLOPs</v>
      </c>
      <c r="F44" s="33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G44" s="33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3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1.425 MFLOPs</v>
      </c>
      <c r="I44" s="33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0.000 B</v>
      </c>
      <c r="J44" s="4" t="s">
        <v>331</v>
      </c>
      <c r="K44" s="4" t="s">
        <v>332</v>
      </c>
      <c r="L44" s="4" t="s">
        <v>333</v>
      </c>
      <c r="U44" s="32">
        <f>(TotalLayers*(2*HiddenSize+QLoraRank+HeadDim+TP1LocalHeads))*FP32Bytes+(HiddenSize)*FP32Bytes</f>
        <v>1700608</v>
      </c>
      <c r="V44" s="32">
        <f>DC_Rows*TotalLayers*2*(4*HiddenSize+1)+DC_Rows*(4*HiddenSize+1)</f>
        <v>1425495</v>
      </c>
      <c r="W44" s="32">
        <f>(TotalLayers*(2*HiddenSize+QLoraRank+HeadDim+TP1LocalHeads)*FP32Bytes+HiddenSize*FP32Bytes+DC_Rows*TotalLayers*2*HiddenSize*BF16Bytes+DC_Rows*HiddenSize*BF16Bytes)+(DC_Rows*TotalLayers*2*HiddenSize*BF16Bytes+DC_Rows*HiddenSize*BF16Bytes)</f>
        <v>3126016</v>
      </c>
      <c r="X44" s="32">
        <f>(TotalLayers*(2*HiddenSize+QLoraRank+HeadDim+TP8LocalHeads))*FP32Bytes+(HiddenSize)*FP32Bytes</f>
        <v>1690976</v>
      </c>
      <c r="Y44" s="32">
        <f>DC_Rows*TotalLayers*2*(4*HiddenSize+1)+DC_Rows*(4*HiddenSize+1)</f>
        <v>1425495</v>
      </c>
      <c r="Z44" s="32">
        <f>(TotalLayers*(2*HiddenSize+QLoraRank+HeadDim+TP8LocalHeads)*FP32Bytes+HiddenSize*FP32Bytes+DC_Rows*TotalLayers*2*HiddenSize*BF16Bytes+DC_Rows*HiddenSize*BF16Bytes)+(DC_Rows*TotalLayers*2*HiddenSize*BF16Bytes+DC_Rows*HiddenSize*BF16Bytes)</f>
        <v>3116384</v>
      </c>
      <c r="AA44" s="32">
        <f>0</f>
        <v>0</v>
      </c>
      <c r="AB44" s="32">
        <f>0</f>
        <v>0</v>
      </c>
    </row>
    <row r="45" spans="1:50">
      <c r="A45" s="4" t="s">
        <v>254</v>
      </c>
      <c r="B45" s="4" t="s">
        <v>254</v>
      </c>
      <c r="C45" s="4" t="s">
        <v>334</v>
      </c>
      <c r="D45" s="33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3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3" t="str">
        <f>TEXT(IF(ABS(AA45)&gt;=1E12,AA45/1E12,IF(ABS(AA45)&gt;=1E9,AA45/1E9,IF(ABS(AA45)&gt;=1E6,AA45/1E6,IF(ABS(AA45)&gt;=1E3,AA45/1E3,AA45)))),"#,##0.000")&amp;IF((IF(ABS(AA45)&gt;=1E12,"TB",IF(ABS(AA45)&gt;=1E9,"GB",IF(ABS(AA45)&gt;=1E6,"MB",IF(ABS(AA45)&gt;=1E3,"KB","bytes")))))="",""," "&amp;(IF(ABS(AA45)&gt;=1E12,"TB",IF(ABS(AA45)&gt;=1E9,"GB",IF(ABS(AA45)&gt;=1E6,"MB",IF(ABS(AA45)&gt;=1E3,"KB","bytes"))))))</f>
        <v>0.000 B</v>
      </c>
      <c r="G45" s="33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3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3" t="str">
        <f>TEXT(IF(ABS(AB45)&gt;=1E12,AB45/1E12,IF(ABS(AB45)&gt;=1E9,AB45/1E9,IF(ABS(AB45)&gt;=1E6,AB45/1E6,IF(ABS(AB45)&gt;=1E3,AB45/1E3,AB45)))),"#,##0.000")&amp;IF((IF(ABS(AB45)&gt;=1E12,"TB",IF(ABS(AB45)&gt;=1E9,"GB",IF(ABS(AB45)&gt;=1E6,"MB",IF(ABS(AB45)&gt;=1E3,"KB","bytes")))))="",""," "&amp;(IF(ABS(AB45)&gt;=1E12,"TB",IF(ABS(AB45)&gt;=1E9,"GB",IF(ABS(AB45)&gt;=1E6,"MB",IF(ABS(AB45)&gt;=1E3,"KB","bytes"))))))</f>
        <v>0.000 B</v>
      </c>
      <c r="J45" s="4" t="s">
        <v>256</v>
      </c>
      <c r="K45" s="4" t="s">
        <v>257</v>
      </c>
      <c r="L45" s="4" t="s">
        <v>335</v>
      </c>
      <c r="U45" s="32">
        <f>0</f>
        <v>0</v>
      </c>
      <c r="V45" s="32">
        <f>0</f>
        <v>0</v>
      </c>
      <c r="W45" s="32">
        <f>(0)+(0)</f>
        <v>0</v>
      </c>
      <c r="X45" s="32">
        <f>0</f>
        <v>0</v>
      </c>
      <c r="Y45" s="32">
        <f>0</f>
        <v>0</v>
      </c>
      <c r="Z45" s="32">
        <f>(0)+(0)</f>
        <v>0</v>
      </c>
      <c r="AA45" s="32">
        <f>0</f>
        <v>0</v>
      </c>
      <c r="AB45" s="32">
        <f>0</f>
        <v>0</v>
      </c>
    </row>
    <row r="46" spans="1:50">
      <c r="A46" s="4" t="s">
        <v>245</v>
      </c>
      <c r="B46" s="4" t="s">
        <v>245</v>
      </c>
      <c r="C46" s="4" t="s">
        <v>336</v>
      </c>
      <c r="D46" s="33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3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3" t="str">
        <f>TEXT(IF(ABS(AA46)&gt;=1E12,AA46/1E12,IF(ABS(AA46)&gt;=1E9,AA46/1E9,IF(ABS(AA46)&gt;=1E6,AA46/1E6,IF(ABS(AA46)&gt;=1E3,AA46/1E3,AA46)))),"#,##0.000")&amp;IF((IF(ABS(AA46)&gt;=1E12,"TB",IF(ABS(AA46)&gt;=1E9,"GB",IF(ABS(AA46)&gt;=1E6,"MB",IF(ABS(AA46)&gt;=1E3,"KB","bytes")))))="",""," "&amp;(IF(ABS(AA46)&gt;=1E12,"TB",IF(ABS(AA46)&gt;=1E9,"GB",IF(ABS(AA46)&gt;=1E6,"MB",IF(ABS(AA46)&gt;=1E3,"KB","bytes"))))))</f>
        <v>0.000 B</v>
      </c>
      <c r="G46" s="33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3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3" t="str">
        <f>TEXT(IF(ABS(AB46)&gt;=1E12,AB46/1E12,IF(ABS(AB46)&gt;=1E9,AB46/1E9,IF(ABS(AB46)&gt;=1E6,AB46/1E6,IF(ABS(AB46)&gt;=1E3,AB46/1E3,AB46)))),"#,##0.000")&amp;IF((IF(ABS(AB46)&gt;=1E12,"TB",IF(ABS(AB46)&gt;=1E9,"GB",IF(ABS(AB46)&gt;=1E6,"MB",IF(ABS(AB46)&gt;=1E3,"KB","bytes")))))="",""," "&amp;(IF(ABS(AB46)&gt;=1E12,"TB",IF(ABS(AB46)&gt;=1E9,"GB",IF(ABS(AB46)&gt;=1E6,"MB",IF(ABS(AB46)&gt;=1E3,"KB","bytes"))))))</f>
        <v>904.960 KB</v>
      </c>
      <c r="J46" s="4" t="s">
        <v>337</v>
      </c>
      <c r="K46" s="4" t="s">
        <v>248</v>
      </c>
      <c r="L46" s="4" t="s">
        <v>338</v>
      </c>
      <c r="U46" s="32">
        <f>TP1LocalVocab*HiddenSize*FP32Bytes</f>
        <v>2118123520.0</v>
      </c>
      <c r="V46" s="32">
        <f>2*DC_Rows*HiddenSize*TP1LocalVocab</f>
        <v>1059061760.0</v>
      </c>
      <c r="W46" s="32">
        <f>(TP1LocalVocab*HiddenSize*FP32Bytes+DC_Rows*HiddenSize*FP32Bytes)+(DC_Rows*TP1LocalVocab*FP32Bytes)</f>
        <v>2118657024.0</v>
      </c>
      <c r="X46" s="32">
        <f>TP8LocalVocab*HiddenSize*FP32Bytes</f>
        <v>264765440.0</v>
      </c>
      <c r="Y46" s="32">
        <f>2*DC_Rows*HiddenSize*TP8LocalVocab</f>
        <v>132382720.0</v>
      </c>
      <c r="Z46" s="32">
        <f>(TP8LocalVocab*HiddenSize*FP32Bytes+DC_Rows*HiddenSize*FP32Bytes)+(DC_Rows*TP8LocalVocab*FP32Bytes)</f>
        <v>264846464.0</v>
      </c>
      <c r="AA46" s="32">
        <f>2*(TP1Size-1)*DC_Rows*TP1LocalVocab*FP32Bytes</f>
        <v>0.0</v>
      </c>
      <c r="AB46" s="32">
        <f>2*(TP8Size-1)*DC_Rows*TP8LocalVocab*FP32Bytes</f>
        <v>904960.0</v>
      </c>
    </row>
    <row r="48" spans="1:50" hidden="1">
      <c r="AO48" s="32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</f>
        <v>1146278062.0</v>
      </c>
      <c r="AP48" s="32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</f>
        <v>219599022.0</v>
      </c>
      <c r="AQ48" s="32">
        <f>((DC_Rows*HiddenSize*BF16Bytes)+(DC_Row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1LocalHeads)*FP32Bytes+HiddenSize*FP32Bytes+DC_Rows*TotalLayers*2*HiddenSize*BF16Bytes+DC_Rows*HiddenSize*BF16Bytes)+(DC_Rows*TotalLayers*2*HiddenSize*BF16Bytes+DC_Rows*HiddenSize*BF16Bytes))+((0)+(0))+((TP1LocalVocab*HiddenSize*FP32Bytes+DC_Rows*HiddenSize*FP32Bytes)+(DC_Rows*TP1LocalVocab*FP32Bytes))</f>
        <v>2268650332.0</v>
      </c>
      <c r="AR48" s="32">
        <f>((DC_Rows*HiddenSize*BF16Bytes)+(DC_Rows*HiddenSize*BF16Bytes))+((TotalLayers*2*((2+HCSlots)*HCSlots*HCSlots*HiddenSize*FP32Bytes+((2+HCSlots)*HCSlots+3)*FP32Bytes)+DC_Rows*TotalLayers*4*HCSlots*HiddenSize*BF16Bytes+(HCSlots*HCSlots*HiddenSize+HCSlots+1)*FP32Bytes+DC_Rows*HCSlots*HiddenSize*BF16Bytes)+(DC_Rows*TotalLayers*4*HCSlots*HiddenSize*BF16Bytes+DC_Rows*HiddenSize*BF16Bytes))+((TotalLayers*(2*HiddenSize+QLoraRank+HeadDim+TP8LocalHeads)*FP32Bytes+HiddenSize*FP32Bytes+DC_Rows*TotalLayers*2*HiddenSize*BF16Bytes+DC_Rows*HiddenSize*BF16Bytes)+(DC_Rows*TotalLayers*2*HiddenSize*BF16Bytes+DC_Rows*HiddenSize*BF16Bytes))+((0)+(0))+((TP8LocalVocab*HiddenSize*FP32Bytes+DC_Rows*HiddenSize*FP32Bytes)+(DC_Rows*TP8LocalVocab*FP32Bytes))</f>
        <v>414830140.0</v>
      </c>
      <c r="AS48" s="32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T48" s="32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  <c r="AU48" s="32">
        <f>'Decode_1M'!$AF$13/'Decode_1M'!$AG$13</f>
        <v>8.07203011128405</v>
      </c>
      <c r="AV48" s="32">
        <f>'Decode_1M'!$AI$13/'Decode_1M'!$AJ$13</f>
        <v>3.889124837588285</v>
      </c>
      <c r="AW48" s="32">
        <f>'Decode_1M'!$AG$13/(DecodeTargetMs/1000)/1E9</f>
        <v>1738.7912356</v>
      </c>
      <c r="AX48" s="32">
        <f>'Decode_1M'!$AJ$13/(DecodeTargetMs/1000)/1E9</f>
        <v>605.5268244</v>
      </c>
    </row>
    <row r="49" spans="51:54" hidden="1">
      <c r="AY49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2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2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2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2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2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2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2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2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2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2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356</v>
      </c>
    </row>
    <row r="2" spans="1:5">
      <c r="A2" s="2" t="s">
        <v>357</v>
      </c>
    </row>
    <row r="4" spans="1:5">
      <c r="A4" s="30" t="s">
        <v>358</v>
      </c>
      <c r="B4" s="30"/>
      <c r="C4" s="30"/>
      <c r="D4" s="30"/>
      <c r="E4" s="30"/>
    </row>
    <row r="5" spans="1:5">
      <c r="A5" t="s">
        <v>359</v>
      </c>
      <c r="B5" t="s">
        <v>360</v>
      </c>
      <c r="C5" t="s">
        <v>361</v>
      </c>
      <c r="D5" t="s">
        <v>362</v>
      </c>
      <c r="E5" t="s">
        <v>363</v>
      </c>
    </row>
    <row r="6" spans="1:5">
      <c r="A6" s="4" t="s">
        <v>364</v>
      </c>
      <c r="B6" s="4" t="s">
        <v>365</v>
      </c>
      <c r="C6" s="4" t="s">
        <v>243</v>
      </c>
      <c r="D6" s="4" t="s">
        <v>243</v>
      </c>
      <c r="E6" s="4" t="s">
        <v>366</v>
      </c>
    </row>
    <row r="7" spans="1:5">
      <c r="A7" s="4" t="s">
        <v>364</v>
      </c>
      <c r="B7" s="4" t="s">
        <v>367</v>
      </c>
      <c r="C7" s="4" t="s">
        <v>368</v>
      </c>
      <c r="D7" s="4" t="s">
        <v>369</v>
      </c>
      <c r="E7" s="4" t="s">
        <v>370</v>
      </c>
    </row>
    <row r="8" spans="1:5">
      <c r="A8" s="4" t="s">
        <v>371</v>
      </c>
      <c r="B8" s="4" t="s">
        <v>372</v>
      </c>
      <c r="C8" s="4" t="s">
        <v>368</v>
      </c>
      <c r="D8" s="4" t="s">
        <v>373</v>
      </c>
      <c r="E8" s="4" t="s">
        <v>374</v>
      </c>
    </row>
    <row r="9" spans="1:5">
      <c r="A9" s="4" t="s">
        <v>371</v>
      </c>
      <c r="B9" s="4" t="s">
        <v>375</v>
      </c>
      <c r="C9" s="4" t="s">
        <v>243</v>
      </c>
      <c r="D9" s="4" t="s">
        <v>376</v>
      </c>
      <c r="E9" s="4" t="s">
        <v>377</v>
      </c>
    </row>
    <row r="10" spans="1:5">
      <c r="A10" s="4" t="s">
        <v>371</v>
      </c>
      <c r="B10" s="4" t="s">
        <v>378</v>
      </c>
      <c r="C10" s="4" t="s">
        <v>379</v>
      </c>
      <c r="D10" s="4" t="s">
        <v>380</v>
      </c>
      <c r="E10" s="4" t="s">
        <v>381</v>
      </c>
    </row>
    <row r="11" spans="1:5">
      <c r="A11" s="4" t="s">
        <v>382</v>
      </c>
      <c r="B11" s="4" t="s">
        <v>383</v>
      </c>
      <c r="C11" s="4" t="s">
        <v>384</v>
      </c>
      <c r="D11" s="4" t="s">
        <v>385</v>
      </c>
      <c r="E11" s="4" t="s">
        <v>386</v>
      </c>
    </row>
    <row r="12" spans="1:5">
      <c r="A12" s="4" t="s">
        <v>387</v>
      </c>
      <c r="B12" s="4" t="s">
        <v>388</v>
      </c>
      <c r="C12" s="4" t="s">
        <v>389</v>
      </c>
      <c r="D12" s="4" t="s">
        <v>390</v>
      </c>
      <c r="E12" s="4" t="s">
        <v>391</v>
      </c>
    </row>
    <row r="13" spans="1:5">
      <c r="A13" s="4" t="s">
        <v>371</v>
      </c>
      <c r="B13" s="4" t="s">
        <v>392</v>
      </c>
      <c r="C13" s="4" t="s">
        <v>393</v>
      </c>
      <c r="D13" s="4" t="s">
        <v>394</v>
      </c>
      <c r="E13" s="4" t="s">
        <v>395</v>
      </c>
    </row>
    <row r="14" spans="1:5">
      <c r="A14" s="4" t="s">
        <v>371</v>
      </c>
      <c r="B14" s="4" t="s">
        <v>396</v>
      </c>
      <c r="C14" s="4" t="s">
        <v>368</v>
      </c>
      <c r="D14" s="4" t="s">
        <v>397</v>
      </c>
      <c r="E14" s="4" t="s">
        <v>398</v>
      </c>
    </row>
    <row r="15" spans="1:5">
      <c r="A15" s="4" t="s">
        <v>371</v>
      </c>
      <c r="B15" s="4" t="s">
        <v>399</v>
      </c>
      <c r="C15" s="4" t="s">
        <v>400</v>
      </c>
      <c r="D15" s="4" t="s">
        <v>247</v>
      </c>
      <c r="E15" s="4" t="s">
        <v>401</v>
      </c>
    </row>
    <row r="16" spans="1:5">
      <c r="A16" s="4" t="s">
        <v>402</v>
      </c>
      <c r="B16" s="4" t="s">
        <v>403</v>
      </c>
      <c r="C16" s="4" t="s">
        <v>404</v>
      </c>
      <c r="D16" s="4" t="s">
        <v>405</v>
      </c>
      <c r="E16" s="4" t="s">
        <v>406</v>
      </c>
    </row>
    <row r="17" spans="1:9">
      <c r="A17" s="4" t="s">
        <v>371</v>
      </c>
      <c r="B17" s="4" t="s">
        <v>407</v>
      </c>
      <c r="C17" s="4" t="s">
        <v>247</v>
      </c>
      <c r="D17" s="4" t="s">
        <v>247</v>
      </c>
      <c r="E17" s="4" t="s">
        <v>408</v>
      </c>
    </row>
    <row r="18" spans="1:9">
      <c r="A18" s="4" t="s">
        <v>371</v>
      </c>
      <c r="B18" s="4" t="s">
        <v>409</v>
      </c>
      <c r="C18" s="4" t="s">
        <v>243</v>
      </c>
      <c r="D18" s="4" t="s">
        <v>410</v>
      </c>
      <c r="E18" s="4" t="s">
        <v>411</v>
      </c>
    </row>
    <row r="19" spans="1:9">
      <c r="A19" s="4" t="s">
        <v>412</v>
      </c>
      <c r="B19" s="4" t="s">
        <v>413</v>
      </c>
      <c r="C19" s="4" t="s">
        <v>414</v>
      </c>
      <c r="D19" s="4" t="s">
        <v>380</v>
      </c>
      <c r="E19" s="4" t="s">
        <v>415</v>
      </c>
    </row>
    <row r="20" spans="1:9">
      <c r="A20" s="4" t="s">
        <v>412</v>
      </c>
      <c r="B20" s="4" t="s">
        <v>416</v>
      </c>
      <c r="C20" s="4" t="s">
        <v>417</v>
      </c>
      <c r="D20" s="4" t="s">
        <v>418</v>
      </c>
      <c r="E20" s="4" t="s">
        <v>419</v>
      </c>
    </row>
    <row r="22" spans="1:9">
      <c r="A22" s="30" t="s">
        <v>420</v>
      </c>
      <c r="B22" s="30"/>
      <c r="C22" s="30"/>
      <c r="D22" s="30"/>
      <c r="E22" s="30"/>
      <c r="F22" s="30"/>
      <c r="G22" s="30"/>
      <c r="H22" s="30"/>
      <c r="I22" s="30"/>
    </row>
    <row r="23" spans="1:9">
      <c r="A23" t="s">
        <v>421</v>
      </c>
      <c r="B23" t="s">
        <v>422</v>
      </c>
      <c r="C23" t="s">
        <v>423</v>
      </c>
      <c r="D23" t="s">
        <v>424</v>
      </c>
      <c r="E23" t="s">
        <v>425</v>
      </c>
      <c r="F23" t="s">
        <v>426</v>
      </c>
      <c r="G23" t="s">
        <v>60</v>
      </c>
      <c r="H23" t="s">
        <v>66</v>
      </c>
      <c r="I23" t="s">
        <v>427</v>
      </c>
    </row>
    <row r="24" spans="1:9">
      <c r="A24" s="4">
        <v>0</v>
      </c>
      <c r="B24" s="4" t="s">
        <v>428</v>
      </c>
      <c r="C24" s="4">
        <v>0</v>
      </c>
      <c r="D24" s="4" t="s">
        <v>429</v>
      </c>
      <c r="E24" s="4" t="s">
        <v>243</v>
      </c>
      <c r="F24" s="4" t="s">
        <v>430</v>
      </c>
      <c r="G24" s="4" t="s">
        <v>431</v>
      </c>
      <c r="H24" s="4" t="s">
        <v>432</v>
      </c>
      <c r="I24" s="4" t="s">
        <v>247</v>
      </c>
    </row>
    <row r="25" spans="1:9">
      <c r="A25" s="4">
        <v>1</v>
      </c>
      <c r="B25" s="4" t="s">
        <v>428</v>
      </c>
      <c r="C25" s="4">
        <v>0</v>
      </c>
      <c r="D25" s="4" t="s">
        <v>429</v>
      </c>
      <c r="E25" s="4" t="s">
        <v>243</v>
      </c>
      <c r="F25" s="4" t="s">
        <v>430</v>
      </c>
      <c r="G25" s="4" t="s">
        <v>431</v>
      </c>
      <c r="H25" s="4" t="s">
        <v>432</v>
      </c>
      <c r="I25" s="4" t="s">
        <v>247</v>
      </c>
    </row>
    <row r="26" spans="1:9">
      <c r="A26" s="4">
        <v>2</v>
      </c>
      <c r="B26" s="4" t="s">
        <v>433</v>
      </c>
      <c r="C26" s="4">
        <v>4</v>
      </c>
      <c r="D26" s="4" t="s">
        <v>429</v>
      </c>
      <c r="E26" s="4" t="s">
        <v>243</v>
      </c>
      <c r="F26" s="4" t="s">
        <v>430</v>
      </c>
      <c r="G26" s="4" t="s">
        <v>431</v>
      </c>
      <c r="H26" s="4" t="s">
        <v>432</v>
      </c>
      <c r="I26" s="4" t="s">
        <v>247</v>
      </c>
    </row>
    <row r="27" spans="1:9">
      <c r="A27" s="4">
        <v>3</v>
      </c>
      <c r="B27" s="4" t="s">
        <v>434</v>
      </c>
      <c r="C27" s="4">
        <v>128</v>
      </c>
      <c r="D27" s="4" t="s">
        <v>435</v>
      </c>
      <c r="E27" s="4" t="s">
        <v>243</v>
      </c>
      <c r="F27" s="4" t="s">
        <v>430</v>
      </c>
      <c r="G27" s="4" t="s">
        <v>431</v>
      </c>
      <c r="H27" s="4" t="s">
        <v>432</v>
      </c>
      <c r="I27" s="4" t="s">
        <v>247</v>
      </c>
    </row>
    <row r="28" spans="1:9">
      <c r="A28" s="4">
        <v>4</v>
      </c>
      <c r="B28" s="4" t="s">
        <v>433</v>
      </c>
      <c r="C28" s="4">
        <v>4</v>
      </c>
      <c r="D28" s="4" t="s">
        <v>435</v>
      </c>
      <c r="E28" s="4" t="s">
        <v>243</v>
      </c>
      <c r="F28" s="4" t="s">
        <v>430</v>
      </c>
      <c r="G28" s="4" t="s">
        <v>431</v>
      </c>
      <c r="H28" s="4" t="s">
        <v>432</v>
      </c>
      <c r="I28" s="4" t="s">
        <v>247</v>
      </c>
    </row>
    <row r="29" spans="1:9">
      <c r="A29" s="4">
        <v>5</v>
      </c>
      <c r="B29" s="4" t="s">
        <v>434</v>
      </c>
      <c r="C29" s="4">
        <v>128</v>
      </c>
      <c r="D29" s="4" t="s">
        <v>435</v>
      </c>
      <c r="E29" s="4" t="s">
        <v>243</v>
      </c>
      <c r="F29" s="4" t="s">
        <v>430</v>
      </c>
      <c r="G29" s="4" t="s">
        <v>431</v>
      </c>
      <c r="H29" s="4" t="s">
        <v>432</v>
      </c>
      <c r="I29" s="4" t="s">
        <v>247</v>
      </c>
    </row>
    <row r="30" spans="1:9">
      <c r="A30" s="4">
        <v>6</v>
      </c>
      <c r="B30" s="4" t="s">
        <v>433</v>
      </c>
      <c r="C30" s="4">
        <v>4</v>
      </c>
      <c r="D30" s="4" t="s">
        <v>435</v>
      </c>
      <c r="E30" s="4" t="s">
        <v>243</v>
      </c>
      <c r="F30" s="4" t="s">
        <v>430</v>
      </c>
      <c r="G30" s="4" t="s">
        <v>431</v>
      </c>
      <c r="H30" s="4" t="s">
        <v>432</v>
      </c>
      <c r="I30" s="4" t="s">
        <v>247</v>
      </c>
    </row>
    <row r="31" spans="1:9">
      <c r="A31" s="4">
        <v>7</v>
      </c>
      <c r="B31" s="4" t="s">
        <v>434</v>
      </c>
      <c r="C31" s="4">
        <v>128</v>
      </c>
      <c r="D31" s="4" t="s">
        <v>435</v>
      </c>
      <c r="E31" s="4" t="s">
        <v>243</v>
      </c>
      <c r="F31" s="4" t="s">
        <v>430</v>
      </c>
      <c r="G31" s="4" t="s">
        <v>431</v>
      </c>
      <c r="H31" s="4" t="s">
        <v>432</v>
      </c>
      <c r="I31" s="4" t="s">
        <v>247</v>
      </c>
    </row>
    <row r="32" spans="1:9">
      <c r="A32" s="4">
        <v>8</v>
      </c>
      <c r="B32" s="4" t="s">
        <v>433</v>
      </c>
      <c r="C32" s="4">
        <v>4</v>
      </c>
      <c r="D32" s="4" t="s">
        <v>435</v>
      </c>
      <c r="E32" s="4" t="s">
        <v>243</v>
      </c>
      <c r="F32" s="4" t="s">
        <v>430</v>
      </c>
      <c r="G32" s="4" t="s">
        <v>431</v>
      </c>
      <c r="H32" s="4" t="s">
        <v>432</v>
      </c>
      <c r="I32" s="4" t="s">
        <v>247</v>
      </c>
    </row>
    <row r="33" spans="1:9">
      <c r="A33" s="4">
        <v>9</v>
      </c>
      <c r="B33" s="4" t="s">
        <v>434</v>
      </c>
      <c r="C33" s="4">
        <v>128</v>
      </c>
      <c r="D33" s="4" t="s">
        <v>435</v>
      </c>
      <c r="E33" s="4" t="s">
        <v>243</v>
      </c>
      <c r="F33" s="4" t="s">
        <v>430</v>
      </c>
      <c r="G33" s="4" t="s">
        <v>431</v>
      </c>
      <c r="H33" s="4" t="s">
        <v>432</v>
      </c>
      <c r="I33" s="4" t="s">
        <v>247</v>
      </c>
    </row>
    <row r="34" spans="1:9">
      <c r="A34" s="4">
        <v>10</v>
      </c>
      <c r="B34" s="4" t="s">
        <v>433</v>
      </c>
      <c r="C34" s="4">
        <v>4</v>
      </c>
      <c r="D34" s="4" t="s">
        <v>435</v>
      </c>
      <c r="E34" s="4" t="s">
        <v>243</v>
      </c>
      <c r="F34" s="4" t="s">
        <v>430</v>
      </c>
      <c r="G34" s="4" t="s">
        <v>431</v>
      </c>
      <c r="H34" s="4" t="s">
        <v>432</v>
      </c>
      <c r="I34" s="4" t="s">
        <v>247</v>
      </c>
    </row>
    <row r="35" spans="1:9">
      <c r="A35" s="4">
        <v>11</v>
      </c>
      <c r="B35" s="4" t="s">
        <v>434</v>
      </c>
      <c r="C35" s="4">
        <v>128</v>
      </c>
      <c r="D35" s="4" t="s">
        <v>435</v>
      </c>
      <c r="E35" s="4" t="s">
        <v>243</v>
      </c>
      <c r="F35" s="4" t="s">
        <v>430</v>
      </c>
      <c r="G35" s="4" t="s">
        <v>431</v>
      </c>
      <c r="H35" s="4" t="s">
        <v>432</v>
      </c>
      <c r="I35" s="4" t="s">
        <v>247</v>
      </c>
    </row>
    <row r="36" spans="1:9">
      <c r="A36" s="4">
        <v>12</v>
      </c>
      <c r="B36" s="4" t="s">
        <v>433</v>
      </c>
      <c r="C36" s="4">
        <v>4</v>
      </c>
      <c r="D36" s="4" t="s">
        <v>435</v>
      </c>
      <c r="E36" s="4" t="s">
        <v>243</v>
      </c>
      <c r="F36" s="4" t="s">
        <v>430</v>
      </c>
      <c r="G36" s="4" t="s">
        <v>431</v>
      </c>
      <c r="H36" s="4" t="s">
        <v>432</v>
      </c>
      <c r="I36" s="4" t="s">
        <v>247</v>
      </c>
    </row>
    <row r="37" spans="1:9">
      <c r="A37" s="4">
        <v>13</v>
      </c>
      <c r="B37" s="4" t="s">
        <v>434</v>
      </c>
      <c r="C37" s="4">
        <v>128</v>
      </c>
      <c r="D37" s="4" t="s">
        <v>435</v>
      </c>
      <c r="E37" s="4" t="s">
        <v>243</v>
      </c>
      <c r="F37" s="4" t="s">
        <v>430</v>
      </c>
      <c r="G37" s="4" t="s">
        <v>431</v>
      </c>
      <c r="H37" s="4" t="s">
        <v>432</v>
      </c>
      <c r="I37" s="4" t="s">
        <v>247</v>
      </c>
    </row>
    <row r="38" spans="1:9">
      <c r="A38" s="4">
        <v>14</v>
      </c>
      <c r="B38" s="4" t="s">
        <v>433</v>
      </c>
      <c r="C38" s="4">
        <v>4</v>
      </c>
      <c r="D38" s="4" t="s">
        <v>435</v>
      </c>
      <c r="E38" s="4" t="s">
        <v>243</v>
      </c>
      <c r="F38" s="4" t="s">
        <v>430</v>
      </c>
      <c r="G38" s="4" t="s">
        <v>431</v>
      </c>
      <c r="H38" s="4" t="s">
        <v>432</v>
      </c>
      <c r="I38" s="4" t="s">
        <v>247</v>
      </c>
    </row>
    <row r="39" spans="1:9">
      <c r="A39" s="4">
        <v>15</v>
      </c>
      <c r="B39" s="4" t="s">
        <v>434</v>
      </c>
      <c r="C39" s="4">
        <v>128</v>
      </c>
      <c r="D39" s="4" t="s">
        <v>435</v>
      </c>
      <c r="E39" s="4" t="s">
        <v>243</v>
      </c>
      <c r="F39" s="4" t="s">
        <v>430</v>
      </c>
      <c r="G39" s="4" t="s">
        <v>431</v>
      </c>
      <c r="H39" s="4" t="s">
        <v>432</v>
      </c>
      <c r="I39" s="4" t="s">
        <v>247</v>
      </c>
    </row>
    <row r="40" spans="1:9">
      <c r="A40" s="4">
        <v>16</v>
      </c>
      <c r="B40" s="4" t="s">
        <v>433</v>
      </c>
      <c r="C40" s="4">
        <v>4</v>
      </c>
      <c r="D40" s="4" t="s">
        <v>435</v>
      </c>
      <c r="E40" s="4" t="s">
        <v>243</v>
      </c>
      <c r="F40" s="4" t="s">
        <v>430</v>
      </c>
      <c r="G40" s="4" t="s">
        <v>431</v>
      </c>
      <c r="H40" s="4" t="s">
        <v>432</v>
      </c>
      <c r="I40" s="4" t="s">
        <v>247</v>
      </c>
    </row>
    <row r="41" spans="1:9">
      <c r="A41" s="4">
        <v>17</v>
      </c>
      <c r="B41" s="4" t="s">
        <v>434</v>
      </c>
      <c r="C41" s="4">
        <v>128</v>
      </c>
      <c r="D41" s="4" t="s">
        <v>435</v>
      </c>
      <c r="E41" s="4" t="s">
        <v>243</v>
      </c>
      <c r="F41" s="4" t="s">
        <v>430</v>
      </c>
      <c r="G41" s="4" t="s">
        <v>431</v>
      </c>
      <c r="H41" s="4" t="s">
        <v>432</v>
      </c>
      <c r="I41" s="4" t="s">
        <v>247</v>
      </c>
    </row>
    <row r="42" spans="1:9">
      <c r="A42" s="4">
        <v>18</v>
      </c>
      <c r="B42" s="4" t="s">
        <v>433</v>
      </c>
      <c r="C42" s="4">
        <v>4</v>
      </c>
      <c r="D42" s="4" t="s">
        <v>435</v>
      </c>
      <c r="E42" s="4" t="s">
        <v>243</v>
      </c>
      <c r="F42" s="4" t="s">
        <v>430</v>
      </c>
      <c r="G42" s="4" t="s">
        <v>431</v>
      </c>
      <c r="H42" s="4" t="s">
        <v>432</v>
      </c>
      <c r="I42" s="4" t="s">
        <v>247</v>
      </c>
    </row>
    <row r="43" spans="1:9">
      <c r="A43" s="4">
        <v>19</v>
      </c>
      <c r="B43" s="4" t="s">
        <v>434</v>
      </c>
      <c r="C43" s="4">
        <v>128</v>
      </c>
      <c r="D43" s="4" t="s">
        <v>435</v>
      </c>
      <c r="E43" s="4" t="s">
        <v>243</v>
      </c>
      <c r="F43" s="4" t="s">
        <v>430</v>
      </c>
      <c r="G43" s="4" t="s">
        <v>431</v>
      </c>
      <c r="H43" s="4" t="s">
        <v>432</v>
      </c>
      <c r="I43" s="4" t="s">
        <v>247</v>
      </c>
    </row>
    <row r="44" spans="1:9">
      <c r="A44" s="4">
        <v>20</v>
      </c>
      <c r="B44" s="4" t="s">
        <v>433</v>
      </c>
      <c r="C44" s="4">
        <v>4</v>
      </c>
      <c r="D44" s="4" t="s">
        <v>435</v>
      </c>
      <c r="E44" s="4" t="s">
        <v>243</v>
      </c>
      <c r="F44" s="4" t="s">
        <v>430</v>
      </c>
      <c r="G44" s="4" t="s">
        <v>431</v>
      </c>
      <c r="H44" s="4" t="s">
        <v>432</v>
      </c>
      <c r="I44" s="4" t="s">
        <v>247</v>
      </c>
    </row>
    <row r="45" spans="1:9">
      <c r="A45" s="4">
        <v>21</v>
      </c>
      <c r="B45" s="4" t="s">
        <v>434</v>
      </c>
      <c r="C45" s="4">
        <v>128</v>
      </c>
      <c r="D45" s="4" t="s">
        <v>435</v>
      </c>
      <c r="E45" s="4" t="s">
        <v>243</v>
      </c>
      <c r="F45" s="4" t="s">
        <v>430</v>
      </c>
      <c r="G45" s="4" t="s">
        <v>431</v>
      </c>
      <c r="H45" s="4" t="s">
        <v>432</v>
      </c>
      <c r="I45" s="4" t="s">
        <v>247</v>
      </c>
    </row>
    <row r="46" spans="1:9">
      <c r="A46" s="4">
        <v>22</v>
      </c>
      <c r="B46" s="4" t="s">
        <v>433</v>
      </c>
      <c r="C46" s="4">
        <v>4</v>
      </c>
      <c r="D46" s="4" t="s">
        <v>435</v>
      </c>
      <c r="E46" s="4" t="s">
        <v>243</v>
      </c>
      <c r="F46" s="4" t="s">
        <v>430</v>
      </c>
      <c r="G46" s="4" t="s">
        <v>431</v>
      </c>
      <c r="H46" s="4" t="s">
        <v>432</v>
      </c>
      <c r="I46" s="4" t="s">
        <v>247</v>
      </c>
    </row>
    <row r="47" spans="1:9">
      <c r="A47" s="4">
        <v>23</v>
      </c>
      <c r="B47" s="4" t="s">
        <v>434</v>
      </c>
      <c r="C47" s="4">
        <v>128</v>
      </c>
      <c r="D47" s="4" t="s">
        <v>435</v>
      </c>
      <c r="E47" s="4" t="s">
        <v>243</v>
      </c>
      <c r="F47" s="4" t="s">
        <v>430</v>
      </c>
      <c r="G47" s="4" t="s">
        <v>431</v>
      </c>
      <c r="H47" s="4" t="s">
        <v>432</v>
      </c>
      <c r="I47" s="4" t="s">
        <v>247</v>
      </c>
    </row>
    <row r="48" spans="1:9">
      <c r="A48" s="4">
        <v>24</v>
      </c>
      <c r="B48" s="4" t="s">
        <v>433</v>
      </c>
      <c r="C48" s="4">
        <v>4</v>
      </c>
      <c r="D48" s="4" t="s">
        <v>435</v>
      </c>
      <c r="E48" s="4" t="s">
        <v>243</v>
      </c>
      <c r="F48" s="4" t="s">
        <v>430</v>
      </c>
      <c r="G48" s="4" t="s">
        <v>431</v>
      </c>
      <c r="H48" s="4" t="s">
        <v>432</v>
      </c>
      <c r="I48" s="4" t="s">
        <v>247</v>
      </c>
    </row>
    <row r="49" spans="1:9">
      <c r="A49" s="4">
        <v>25</v>
      </c>
      <c r="B49" s="4" t="s">
        <v>434</v>
      </c>
      <c r="C49" s="4">
        <v>128</v>
      </c>
      <c r="D49" s="4" t="s">
        <v>435</v>
      </c>
      <c r="E49" s="4" t="s">
        <v>243</v>
      </c>
      <c r="F49" s="4" t="s">
        <v>430</v>
      </c>
      <c r="G49" s="4" t="s">
        <v>431</v>
      </c>
      <c r="H49" s="4" t="s">
        <v>432</v>
      </c>
      <c r="I49" s="4" t="s">
        <v>247</v>
      </c>
    </row>
    <row r="50" spans="1:9">
      <c r="A50" s="4">
        <v>26</v>
      </c>
      <c r="B50" s="4" t="s">
        <v>433</v>
      </c>
      <c r="C50" s="4">
        <v>4</v>
      </c>
      <c r="D50" s="4" t="s">
        <v>435</v>
      </c>
      <c r="E50" s="4" t="s">
        <v>243</v>
      </c>
      <c r="F50" s="4" t="s">
        <v>430</v>
      </c>
      <c r="G50" s="4" t="s">
        <v>431</v>
      </c>
      <c r="H50" s="4" t="s">
        <v>432</v>
      </c>
      <c r="I50" s="4" t="s">
        <v>247</v>
      </c>
    </row>
    <row r="51" spans="1:9">
      <c r="A51" s="4">
        <v>27</v>
      </c>
      <c r="B51" s="4" t="s">
        <v>434</v>
      </c>
      <c r="C51" s="4">
        <v>128</v>
      </c>
      <c r="D51" s="4" t="s">
        <v>435</v>
      </c>
      <c r="E51" s="4" t="s">
        <v>243</v>
      </c>
      <c r="F51" s="4" t="s">
        <v>430</v>
      </c>
      <c r="G51" s="4" t="s">
        <v>431</v>
      </c>
      <c r="H51" s="4" t="s">
        <v>432</v>
      </c>
      <c r="I51" s="4" t="s">
        <v>247</v>
      </c>
    </row>
    <row r="52" spans="1:9">
      <c r="A52" s="4">
        <v>28</v>
      </c>
      <c r="B52" s="4" t="s">
        <v>433</v>
      </c>
      <c r="C52" s="4">
        <v>4</v>
      </c>
      <c r="D52" s="4" t="s">
        <v>435</v>
      </c>
      <c r="E52" s="4" t="s">
        <v>243</v>
      </c>
      <c r="F52" s="4" t="s">
        <v>430</v>
      </c>
      <c r="G52" s="4" t="s">
        <v>431</v>
      </c>
      <c r="H52" s="4" t="s">
        <v>432</v>
      </c>
      <c r="I52" s="4" t="s">
        <v>247</v>
      </c>
    </row>
    <row r="53" spans="1:9">
      <c r="A53" s="4">
        <v>29</v>
      </c>
      <c r="B53" s="4" t="s">
        <v>434</v>
      </c>
      <c r="C53" s="4">
        <v>128</v>
      </c>
      <c r="D53" s="4" t="s">
        <v>435</v>
      </c>
      <c r="E53" s="4" t="s">
        <v>243</v>
      </c>
      <c r="F53" s="4" t="s">
        <v>430</v>
      </c>
      <c r="G53" s="4" t="s">
        <v>431</v>
      </c>
      <c r="H53" s="4" t="s">
        <v>432</v>
      </c>
      <c r="I53" s="4" t="s">
        <v>247</v>
      </c>
    </row>
    <row r="54" spans="1:9">
      <c r="A54" s="4">
        <v>30</v>
      </c>
      <c r="B54" s="4" t="s">
        <v>433</v>
      </c>
      <c r="C54" s="4">
        <v>4</v>
      </c>
      <c r="D54" s="4" t="s">
        <v>435</v>
      </c>
      <c r="E54" s="4" t="s">
        <v>243</v>
      </c>
      <c r="F54" s="4" t="s">
        <v>430</v>
      </c>
      <c r="G54" s="4" t="s">
        <v>431</v>
      </c>
      <c r="H54" s="4" t="s">
        <v>432</v>
      </c>
      <c r="I54" s="4" t="s">
        <v>247</v>
      </c>
    </row>
    <row r="55" spans="1:9">
      <c r="A55" s="4">
        <v>31</v>
      </c>
      <c r="B55" s="4" t="s">
        <v>434</v>
      </c>
      <c r="C55" s="4">
        <v>128</v>
      </c>
      <c r="D55" s="4" t="s">
        <v>435</v>
      </c>
      <c r="E55" s="4" t="s">
        <v>243</v>
      </c>
      <c r="F55" s="4" t="s">
        <v>430</v>
      </c>
      <c r="G55" s="4" t="s">
        <v>431</v>
      </c>
      <c r="H55" s="4" t="s">
        <v>432</v>
      </c>
      <c r="I55" s="4" t="s">
        <v>247</v>
      </c>
    </row>
    <row r="56" spans="1:9">
      <c r="A56" s="4">
        <v>32</v>
      </c>
      <c r="B56" s="4" t="s">
        <v>433</v>
      </c>
      <c r="C56" s="4">
        <v>4</v>
      </c>
      <c r="D56" s="4" t="s">
        <v>435</v>
      </c>
      <c r="E56" s="4" t="s">
        <v>243</v>
      </c>
      <c r="F56" s="4" t="s">
        <v>430</v>
      </c>
      <c r="G56" s="4" t="s">
        <v>431</v>
      </c>
      <c r="H56" s="4" t="s">
        <v>432</v>
      </c>
      <c r="I56" s="4" t="s">
        <v>247</v>
      </c>
    </row>
    <row r="57" spans="1:9">
      <c r="A57" s="4">
        <v>33</v>
      </c>
      <c r="B57" s="4" t="s">
        <v>434</v>
      </c>
      <c r="C57" s="4">
        <v>128</v>
      </c>
      <c r="D57" s="4" t="s">
        <v>435</v>
      </c>
      <c r="E57" s="4" t="s">
        <v>243</v>
      </c>
      <c r="F57" s="4" t="s">
        <v>430</v>
      </c>
      <c r="G57" s="4" t="s">
        <v>431</v>
      </c>
      <c r="H57" s="4" t="s">
        <v>432</v>
      </c>
      <c r="I57" s="4" t="s">
        <v>247</v>
      </c>
    </row>
    <row r="58" spans="1:9">
      <c r="A58" s="4">
        <v>34</v>
      </c>
      <c r="B58" s="4" t="s">
        <v>433</v>
      </c>
      <c r="C58" s="4">
        <v>4</v>
      </c>
      <c r="D58" s="4" t="s">
        <v>435</v>
      </c>
      <c r="E58" s="4" t="s">
        <v>243</v>
      </c>
      <c r="F58" s="4" t="s">
        <v>430</v>
      </c>
      <c r="G58" s="4" t="s">
        <v>431</v>
      </c>
      <c r="H58" s="4" t="s">
        <v>432</v>
      </c>
      <c r="I58" s="4" t="s">
        <v>247</v>
      </c>
    </row>
    <row r="59" spans="1:9">
      <c r="A59" s="4">
        <v>35</v>
      </c>
      <c r="B59" s="4" t="s">
        <v>434</v>
      </c>
      <c r="C59" s="4">
        <v>128</v>
      </c>
      <c r="D59" s="4" t="s">
        <v>435</v>
      </c>
      <c r="E59" s="4" t="s">
        <v>243</v>
      </c>
      <c r="F59" s="4" t="s">
        <v>430</v>
      </c>
      <c r="G59" s="4" t="s">
        <v>431</v>
      </c>
      <c r="H59" s="4" t="s">
        <v>432</v>
      </c>
      <c r="I59" s="4" t="s">
        <v>247</v>
      </c>
    </row>
    <row r="60" spans="1:9">
      <c r="A60" s="4">
        <v>36</v>
      </c>
      <c r="B60" s="4" t="s">
        <v>433</v>
      </c>
      <c r="C60" s="4">
        <v>4</v>
      </c>
      <c r="D60" s="4" t="s">
        <v>435</v>
      </c>
      <c r="E60" s="4" t="s">
        <v>243</v>
      </c>
      <c r="F60" s="4" t="s">
        <v>430</v>
      </c>
      <c r="G60" s="4" t="s">
        <v>431</v>
      </c>
      <c r="H60" s="4" t="s">
        <v>432</v>
      </c>
      <c r="I60" s="4" t="s">
        <v>247</v>
      </c>
    </row>
    <row r="61" spans="1:9">
      <c r="A61" s="4">
        <v>37</v>
      </c>
      <c r="B61" s="4" t="s">
        <v>434</v>
      </c>
      <c r="C61" s="4">
        <v>128</v>
      </c>
      <c r="D61" s="4" t="s">
        <v>435</v>
      </c>
      <c r="E61" s="4" t="s">
        <v>243</v>
      </c>
      <c r="F61" s="4" t="s">
        <v>430</v>
      </c>
      <c r="G61" s="4" t="s">
        <v>431</v>
      </c>
      <c r="H61" s="4" t="s">
        <v>432</v>
      </c>
      <c r="I61" s="4" t="s">
        <v>247</v>
      </c>
    </row>
    <row r="62" spans="1:9">
      <c r="A62" s="4">
        <v>38</v>
      </c>
      <c r="B62" s="4" t="s">
        <v>433</v>
      </c>
      <c r="C62" s="4">
        <v>4</v>
      </c>
      <c r="D62" s="4" t="s">
        <v>435</v>
      </c>
      <c r="E62" s="4" t="s">
        <v>243</v>
      </c>
      <c r="F62" s="4" t="s">
        <v>430</v>
      </c>
      <c r="G62" s="4" t="s">
        <v>431</v>
      </c>
      <c r="H62" s="4" t="s">
        <v>432</v>
      </c>
      <c r="I62" s="4" t="s">
        <v>247</v>
      </c>
    </row>
    <row r="63" spans="1:9">
      <c r="A63" s="4">
        <v>39</v>
      </c>
      <c r="B63" s="4" t="s">
        <v>434</v>
      </c>
      <c r="C63" s="4">
        <v>128</v>
      </c>
      <c r="D63" s="4" t="s">
        <v>435</v>
      </c>
      <c r="E63" s="4" t="s">
        <v>243</v>
      </c>
      <c r="F63" s="4" t="s">
        <v>430</v>
      </c>
      <c r="G63" s="4" t="s">
        <v>431</v>
      </c>
      <c r="H63" s="4" t="s">
        <v>432</v>
      </c>
      <c r="I63" s="4" t="s">
        <v>247</v>
      </c>
    </row>
    <row r="64" spans="1:9">
      <c r="A64" s="4">
        <v>40</v>
      </c>
      <c r="B64" s="4" t="s">
        <v>433</v>
      </c>
      <c r="C64" s="4">
        <v>4</v>
      </c>
      <c r="D64" s="4" t="s">
        <v>435</v>
      </c>
      <c r="E64" s="4" t="s">
        <v>243</v>
      </c>
      <c r="F64" s="4" t="s">
        <v>430</v>
      </c>
      <c r="G64" s="4" t="s">
        <v>431</v>
      </c>
      <c r="H64" s="4" t="s">
        <v>432</v>
      </c>
      <c r="I64" s="4" t="s">
        <v>247</v>
      </c>
    </row>
    <row r="65" spans="1:9">
      <c r="A65" s="4">
        <v>41</v>
      </c>
      <c r="B65" s="4" t="s">
        <v>434</v>
      </c>
      <c r="C65" s="4">
        <v>128</v>
      </c>
      <c r="D65" s="4" t="s">
        <v>435</v>
      </c>
      <c r="E65" s="4" t="s">
        <v>243</v>
      </c>
      <c r="F65" s="4" t="s">
        <v>430</v>
      </c>
      <c r="G65" s="4" t="s">
        <v>431</v>
      </c>
      <c r="H65" s="4" t="s">
        <v>432</v>
      </c>
      <c r="I65" s="4" t="s">
        <v>247</v>
      </c>
    </row>
    <row r="66" spans="1:9">
      <c r="A66" s="4">
        <v>42</v>
      </c>
      <c r="B66" s="4" t="s">
        <v>433</v>
      </c>
      <c r="C66" s="4">
        <v>4</v>
      </c>
      <c r="D66" s="4" t="s">
        <v>435</v>
      </c>
      <c r="E66" s="4" t="s">
        <v>243</v>
      </c>
      <c r="F66" s="4" t="s">
        <v>430</v>
      </c>
      <c r="G66" s="4" t="s">
        <v>431</v>
      </c>
      <c r="H66" s="4" t="s">
        <v>432</v>
      </c>
      <c r="I66" s="4" t="s">
        <v>247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61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9" max="21" width="0" hidden="1" customWidth="1"/>
  </cols>
  <sheetData>
    <row r="1" spans="1:10">
      <c r="A1" s="1" t="s">
        <v>436</v>
      </c>
    </row>
    <row r="2" spans="1:10">
      <c r="A2" s="2" t="s">
        <v>437</v>
      </c>
    </row>
    <row r="4" spans="1:10">
      <c r="A4" t="s">
        <v>438</v>
      </c>
      <c r="B4" t="s">
        <v>439</v>
      </c>
      <c r="C4" t="s">
        <v>440</v>
      </c>
      <c r="D4" t="s">
        <v>441</v>
      </c>
      <c r="E4" t="s">
        <v>442</v>
      </c>
      <c r="F4" t="s">
        <v>363</v>
      </c>
    </row>
    <row r="5" spans="1:10">
      <c r="A5" s="4" t="s">
        <v>443</v>
      </c>
      <c r="B5" s="33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3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3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3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444</v>
      </c>
      <c r="G5" s="32">
        <f>'Prefill_8K'!$AF$14</f>
        <v>102836037746688.0</v>
      </c>
      <c r="H5" s="32">
        <f>'Prefill_8K'!$AI$14</f>
        <v>23172382457856.0</v>
      </c>
      <c r="I5" s="32">
        <f>'Decode_1M'!$AF$14</f>
        <v>123969470464.0</v>
      </c>
      <c r="J5" s="32">
        <f>'Decode_1M'!$AI$14</f>
        <v>19452461056.0</v>
      </c>
    </row>
    <row r="6" spans="1:10">
      <c r="A6" s="4" t="s">
        <v>445</v>
      </c>
      <c r="B6" s="33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3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3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3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444</v>
      </c>
      <c r="G6" s="32">
        <f>'Prefill_8K'!$AF$15</f>
        <v>124846109360128.0</v>
      </c>
      <c r="H6" s="32">
        <f>'Prefill_8K'!$AI$15</f>
        <v>31765578121216.0</v>
      </c>
      <c r="I6" s="32">
        <f>'Decode_1M'!$AF$15</f>
        <v>15240003584.0</v>
      </c>
      <c r="J6" s="32">
        <f>'Decode_1M'!$AI$15</f>
        <v>3877634048.0</v>
      </c>
    </row>
    <row r="7" spans="1:10">
      <c r="A7" s="4" t="s">
        <v>446</v>
      </c>
      <c r="B7" s="33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715.535 GFLOPs</v>
      </c>
      <c r="C7" s="33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714.608 GFLOPs</v>
      </c>
      <c r="D7" s="33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1.146 GFLOPs</v>
      </c>
      <c r="E7" s="33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219.599 MFLOPs</v>
      </c>
      <c r="F7" s="4" t="s">
        <v>444</v>
      </c>
      <c r="G7" s="32">
        <f>'Prefill_8K'!$AO$48</f>
        <v>715535007744.0</v>
      </c>
      <c r="H7" s="32">
        <f>'Prefill_8K'!$AP$48</f>
        <v>714608328704.0</v>
      </c>
      <c r="I7" s="32">
        <f>'Decode_1M'!$AO$48</f>
        <v>1146278062.0</v>
      </c>
      <c r="J7" s="32">
        <f>'Decode_1M'!$AP$48</f>
        <v>219599022.0</v>
      </c>
    </row>
    <row r="8" spans="1:10">
      <c r="A8" s="31" t="s">
        <v>447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228.398 TFLOPs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55.653 TFLOPs</v>
      </c>
      <c r="D8" s="31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140.356 GFLOPs</v>
      </c>
      <c r="E8" s="31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23.550 GFLOPs</v>
      </c>
      <c r="F8" s="4" t="s">
        <v>444</v>
      </c>
      <c r="G8" s="32">
        <f>'Prefill_8K'!$AF$13</f>
        <v>228397682114560.0</v>
      </c>
      <c r="H8" s="32">
        <f>'Prefill_8K'!$AI$13</f>
        <v>55652568907776.0</v>
      </c>
      <c r="I8" s="32">
        <f>'Decode_1M'!$AF$13</f>
        <v>140355752110.0</v>
      </c>
      <c r="J8" s="32">
        <f>'Decode_1M'!$AI$13</f>
        <v>23549694126.0</v>
      </c>
    </row>
    <row r="9" spans="1:10">
      <c r="A9" s="4" t="s">
        <v>448</v>
      </c>
      <c r="B9" s="33" t="str">
        <f>TEXT(G9,"#,##0.000")&amp;" GB/s"</f>
        <v>358.038 GB/s</v>
      </c>
      <c r="C9" s="33" t="str">
        <f>TEXT(H9,"#,##0.000")&amp;" GB/s"</f>
        <v>231.532 GB/s</v>
      </c>
      <c r="D9" s="33" t="str">
        <f>TEXT(I9,"#,##0.000")&amp;" GB/s"</f>
        <v>1,049.223 GB/s</v>
      </c>
      <c r="E9" s="33" t="str">
        <f>TEXT(J9,"#,##0.000")&amp;" GB/s"</f>
        <v>403.523 GB/s</v>
      </c>
      <c r="F9" s="4" t="s">
        <v>449</v>
      </c>
      <c r="G9" s="32">
        <f>'Prefill_8K'!$AG$14/(PrefillTargetMs/1000)/1E9</f>
        <v>358.0378144</v>
      </c>
      <c r="H9" s="32">
        <f>'Prefill_8K'!$AJ$14/(PrefillTargetMs/1000)/1E9</f>
        <v>231.531806144</v>
      </c>
      <c r="I9" s="32">
        <f>'Decode_1M'!$AG$14/(DecodeTargetMs/1000)/1E9</f>
        <v>1049.2228352</v>
      </c>
      <c r="J9" s="32">
        <f>'Decode_1M'!$AJ$14/(DecodeTargetMs/1000)/1E9</f>
        <v>403.5232528</v>
      </c>
    </row>
    <row r="10" spans="1:10">
      <c r="A10" s="4" t="s">
        <v>450</v>
      </c>
      <c r="B10" s="33" t="str">
        <f>TEXT(G10,"#,##0.000")&amp;" GB/s"</f>
        <v>191.989 GB/s</v>
      </c>
      <c r="C10" s="33" t="str">
        <f>TEXT(H10,"#,##0.000")&amp;" GB/s"</f>
        <v>32.915 GB/s</v>
      </c>
      <c r="D10" s="33" t="str">
        <f>TEXT(I10,"#,##0.000")&amp;" GB/s"</f>
        <v>462.703 GB/s</v>
      </c>
      <c r="E10" s="33" t="str">
        <f>TEXT(J10,"#,##0.000")&amp;" GB/s"</f>
        <v>160.521 GB/s</v>
      </c>
      <c r="F10" s="4" t="s">
        <v>449</v>
      </c>
      <c r="G10" s="32">
        <f>'Prefill_8K'!$AG$15/(PrefillTargetMs/1000)/1E9</f>
        <v>191.988670976</v>
      </c>
      <c r="H10" s="32">
        <f>'Prefill_8K'!$AJ$15/(PrefillTargetMs/1000)/1E9</f>
        <v>32.915497472</v>
      </c>
      <c r="I10" s="32">
        <f>'Decode_1M'!$AG$15/(DecodeTargetMs/1000)/1E9</f>
        <v>462.7033672</v>
      </c>
      <c r="J10" s="32">
        <f>'Decode_1M'!$AJ$15/(DecodeTargetMs/1000)/1E9</f>
        <v>160.5205576</v>
      </c>
    </row>
    <row r="11" spans="1:10">
      <c r="A11" s="4" t="s">
        <v>451</v>
      </c>
      <c r="B11" s="33" t="str">
        <f>TEXT(G11,"#,##0.000")&amp;" GB/s"</f>
        <v>106.744 GB/s</v>
      </c>
      <c r="C11" s="33" t="str">
        <f>TEXT(H11,"#,##0.000")&amp;" GB/s"</f>
        <v>104.891 GB/s</v>
      </c>
      <c r="D11" s="33" t="str">
        <f>TEXT(I11,"#,##0.000")&amp;" GB/s"</f>
        <v>226.865 GB/s</v>
      </c>
      <c r="E11" s="33" t="str">
        <f>TEXT(J11,"#,##0.000")&amp;" GB/s"</f>
        <v>41.483 GB/s</v>
      </c>
      <c r="F11" s="4" t="s">
        <v>449</v>
      </c>
      <c r="G11" s="32">
        <f>'Prefill_8K'!$AQ$48/(PrefillTargetMs/1000)/1E9</f>
        <v>106.744396636</v>
      </c>
      <c r="H11" s="32">
        <f>'Prefill_8K'!$AR$48/(PrefillTargetMs/1000)/1E9</f>
        <v>104.890576444</v>
      </c>
      <c r="I11" s="32">
        <f>'Decode_1M'!$AQ$48/(DecodeTargetMs/1000)/1E9</f>
        <v>226.8650332</v>
      </c>
      <c r="J11" s="32">
        <f>'Decode_1M'!$AR$48/(DecodeTargetMs/1000)/1E9</f>
        <v>41.483014</v>
      </c>
    </row>
    <row r="12" spans="1:10">
      <c r="A12" s="4" t="s">
        <v>452</v>
      </c>
      <c r="B12" s="33" t="str">
        <f>TEXT(G12,"#,##0.000")&amp;" TFLOP/s"</f>
        <v>228.398 TFLOP/s</v>
      </c>
      <c r="C12" s="33" t="str">
        <f>TEXT(H12,"#,##0.000")&amp;" TFLOP/s"</f>
        <v>55.653 TFLOP/s</v>
      </c>
      <c r="D12" s="33" t="str">
        <f>TEXT(I12,"#,##0.000")&amp;" TFLOP/s"</f>
        <v>14.036 TFLOP/s</v>
      </c>
      <c r="E12" s="33" t="str">
        <f>TEXT(J12,"#,##0.000")&amp;" TFLOP/s"</f>
        <v>2.355 TFLOP/s</v>
      </c>
      <c r="F12" s="4" t="s">
        <v>453</v>
      </c>
      <c r="G12" s="32">
        <f>'Prefill_8K'!$AF$13/(PrefillTargetMs/1000)/1E12</f>
        <v>228.39768211456</v>
      </c>
      <c r="H12" s="32">
        <f>'Prefill_8K'!$AI$13/(PrefillTargetMs/1000)/1E12</f>
        <v>55.652568907776</v>
      </c>
      <c r="I12" s="32">
        <f>'Decode_1M'!$AF$13/(DecodeTargetMs/1000)/1E12</f>
        <v>14.035575211</v>
      </c>
      <c r="J12" s="32">
        <f>'Decode_1M'!$AI$13/(DecodeTargetMs/1000)/1E12</f>
        <v>2.3549694126</v>
      </c>
    </row>
    <row r="13" spans="1:10">
      <c r="A13" s="4" t="s">
        <v>454</v>
      </c>
      <c r="B13" s="33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0.000 B</v>
      </c>
      <c r="C13" s="33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40.635 GB</v>
      </c>
      <c r="D13" s="33" t="str">
        <f>TEXT(IF(ABS(I13)&gt;=1E12,I13/1E12,IF(ABS(I13)&gt;=1E9,I13/1E9,IF(ABS(I13)&gt;=1E6,I13/1E6,IF(ABS(I13)&gt;=1E3,I13/1E3,I13)))),"#,##0.000")&amp;IF((IF(ABS(I13)&gt;=1E12,"TB",IF(ABS(I13)&gt;=1E9,"GB",IF(ABS(I13)&gt;=1E6,"MB",IF(ABS(I13)&gt;=1E3,"KB","bytes")))))="",""," "&amp;(IF(ABS(I13)&gt;=1E12,"TB",IF(ABS(I13)&gt;=1E9,"GB",IF(ABS(I13)&gt;=1E6,"MB",IF(ABS(I13)&gt;=1E3,"KB","bytes"))))))</f>
        <v>0.000 B</v>
      </c>
      <c r="E13" s="33" t="str">
        <f>TEXT(IF(ABS(J13)&gt;=1E12,J13/1E12,IF(ABS(J13)&gt;=1E9,J13/1E9,IF(ABS(J13)&gt;=1E6,J13/1E6,IF(ABS(J13)&gt;=1E3,J13/1E3,J13)))),"#,##0.000")&amp;IF((IF(ABS(J13)&gt;=1E12,"TB",IF(ABS(J13)&gt;=1E9,"GB",IF(ABS(J13)&gt;=1E6,"MB",IF(ABS(J13)&gt;=1E3,"KB","bytes")))))="",""," "&amp;(IF(ABS(J13)&gt;=1E12,"TB",IF(ABS(J13)&gt;=1E9,"GB",IF(ABS(J13)&gt;=1E6,"MB",IF(ABS(J13)&gt;=1E3,"KB","bytes"))))))</f>
        <v>5.865 MB</v>
      </c>
      <c r="F13" s="4" t="s">
        <v>455</v>
      </c>
      <c r="G13" s="32">
        <f>'Prefill_8K'!$AS$48</f>
        <v>0.0</v>
      </c>
      <c r="H13" s="32">
        <f>'Prefill_8K'!$AT$48</f>
        <v>40635322112.0</v>
      </c>
      <c r="I13" s="32">
        <f>'Decode_1M'!$AS$48</f>
        <v>0.0</v>
      </c>
      <c r="J13" s="32">
        <f>'Decode_1M'!$AT$48</f>
        <v>5865216.0</v>
      </c>
    </row>
    <row r="14" spans="1:10">
      <c r="A14" s="4" t="s">
        <v>456</v>
      </c>
      <c r="B14" s="33" t="str">
        <f>TEXT(G14,"#,##0.000")&amp;" GB/s"</f>
        <v>0.000 GB/s</v>
      </c>
      <c r="C14" s="33" t="str">
        <f>TEXT(H14,"#,##0.000")&amp;" GB/s"</f>
        <v>40.635 GB/s</v>
      </c>
      <c r="D14" s="33" t="str">
        <f>TEXT(I14,"#,##0.000")&amp;" GB/s"</f>
        <v>0.000 GB/s</v>
      </c>
      <c r="E14" s="33" t="str">
        <f>TEXT(J14,"#,##0.000")&amp;" GB/s"</f>
        <v>0.587 GB/s</v>
      </c>
      <c r="F14" s="4" t="s">
        <v>457</v>
      </c>
      <c r="G14" s="32">
        <f>'Prefill_8K'!$AS$48/(PrefillTargetMs/1000)/1E9</f>
        <v>0.0</v>
      </c>
      <c r="H14" s="32">
        <f>'Prefill_8K'!$AT$48/(PrefillTargetMs/1000)/1E9</f>
        <v>40.635322112</v>
      </c>
      <c r="I14" s="32">
        <f>'Decode_1M'!$AS$48/(DecodeTargetMs/1000)/1E9</f>
        <v>0.0</v>
      </c>
      <c r="J14" s="32">
        <f>'Decode_1M'!$AT$48/(DecodeTargetMs/1000)/1E9</f>
        <v>0.5865216</v>
      </c>
    </row>
    <row r="15" spans="1:10">
      <c r="A15" s="4" t="s">
        <v>458</v>
      </c>
      <c r="B15" s="33" t="str">
        <f>TEXT(IF(ABS(G15)&gt;=1E12,G15/1E12,IF(ABS(G15)&gt;=1E9,G15/1E9,IF(ABS(G15)&gt;=1E6,G15/1E6,IF(ABS(G15)&gt;=1E3,G15/1E3,G15)))),"#,##0.000")&amp;IF((IF(ABS(G15)&gt;=1E12,"T",IF(ABS(G15)&gt;=1E9,"G",IF(ABS(G15)&gt;=1E6,"M",IF(ABS(G15)&gt;=1E3,"K","")))))="",""," "&amp;(IF(ABS(G15)&gt;=1E12,"T",IF(ABS(G15)&gt;=1E9,"G",IF(ABS(G15)&gt;=1E6,"M",IF(ABS(G15)&gt;=1E3,"K",""))))))</f>
        <v>5.086 G</v>
      </c>
      <c r="C15" s="33" t="str">
        <f>TEXT(IF(ABS(H15)&gt;=1E12,H15/1E12,IF(ABS(H15)&gt;=1E9,H15/1E9,IF(ABS(H15)&gt;=1E6,H15/1E6,IF(ABS(H15)&gt;=1E3,H15/1E3,H15)))),"#,##0.000")&amp;IF((IF(ABS(H15)&gt;=1E12,"T",IF(ABS(H15)&gt;=1E9,"G",IF(ABS(H15)&gt;=1E6,"M",IF(ABS(H15)&gt;=1E3,"K","")))))="",""," "&amp;(IF(ABS(H15)&gt;=1E12,"T",IF(ABS(H15)&gt;=1E9,"G",IF(ABS(H15)&gt;=1E6,"M",IF(ABS(H15)&gt;=1E3,"K",""))))))</f>
        <v>1.140 G</v>
      </c>
      <c r="D15" s="33" t="str">
        <f>TEXT(IF(ABS(I15)&gt;=1E12,I15/1E12,IF(ABS(I15)&gt;=1E9,I15/1E9,IF(ABS(I15)&gt;=1E6,I15/1E6,IF(ABS(I15)&gt;=1E3,I15/1E3,I15)))),"#,##0.000")&amp;IF((IF(ABS(I15)&gt;=1E12,"T",IF(ABS(I15)&gt;=1E9,"G",IF(ABS(I15)&gt;=1E6,"M",IF(ABS(I15)&gt;=1E3,"K","")))))="",""," "&amp;(IF(ABS(I15)&gt;=1E12,"T",IF(ABS(I15)&gt;=1E9,"G",IF(ABS(I15)&gt;=1E6,"M",IF(ABS(I15)&gt;=1E3,"K",""))))))</f>
        <v>5.086 G</v>
      </c>
      <c r="E15" s="33" t="str">
        <f>TEXT(IF(ABS(J15)&gt;=1E12,J15/1E12,IF(ABS(J15)&gt;=1E9,J15/1E9,IF(ABS(J15)&gt;=1E6,J15/1E6,IF(ABS(J15)&gt;=1E3,J15/1E3,J15)))),"#,##0.000")&amp;IF((IF(ABS(J15)&gt;=1E12,"T",IF(ABS(J15)&gt;=1E9,"G",IF(ABS(J15)&gt;=1E6,"M",IF(ABS(J15)&gt;=1E3,"K","")))))="",""," "&amp;(IF(ABS(J15)&gt;=1E12,"T",IF(ABS(J15)&gt;=1E9,"G",IF(ABS(J15)&gt;=1E6,"M",IF(ABS(J15)&gt;=1E3,"K",""))))))</f>
        <v>1.140 G</v>
      </c>
      <c r="F15" s="4" t="s">
        <v>459</v>
      </c>
      <c r="G15" s="32">
        <f>'Prefill_8K'!$AY$49</f>
        <v>5086249088.0</v>
      </c>
      <c r="H15" s="32">
        <f>'Prefill_8K'!$AZ$49</f>
        <v>1139835008.0</v>
      </c>
      <c r="I15" s="32">
        <f>'Prefill_8K'!$AY$49</f>
        <v>5086249088.0</v>
      </c>
      <c r="J15" s="32">
        <f>'Prefill_8K'!$AZ$49</f>
        <v>1139835008.0</v>
      </c>
    </row>
    <row r="16" spans="1:10">
      <c r="A16" s="4" t="s">
        <v>460</v>
      </c>
      <c r="B16" s="33" t="str">
        <f>TEXT(IF(ABS(G16)&gt;=1E12,G16/1E12,IF(ABS(G16)&gt;=1E9,G16/1E9,IF(ABS(G16)&gt;=1E6,G16/1E6,IF(ABS(G16)&gt;=1E3,G16/1E3,G16)))),"#,##0.000")&amp;IF((IF(ABS(G16)&gt;=1E12,"T",IF(ABS(G16)&gt;=1E9,"G",IF(ABS(G16)&gt;=1E6,"M",IF(ABS(G16)&gt;=1E3,"K","")))))="",""," "&amp;(IF(ABS(G16)&gt;=1E12,"T",IF(ABS(G16)&gt;=1E9,"G",IF(ABS(G16)&gt;=1E6,"M",IF(ABS(G16)&gt;=1E3,"K",""))))))</f>
        <v>278.155 G</v>
      </c>
      <c r="C16" s="33" t="str">
        <f>TEXT(IF(ABS(H16)&gt;=1E12,H16/1E12,IF(ABS(H16)&gt;=1E9,H16/1E9,IF(ABS(H16)&gt;=1E6,H16/1E6,IF(ABS(H16)&gt;=1E3,H16/1E3,H16)))),"#,##0.000")&amp;IF((IF(ABS(H16)&gt;=1E12,"T",IF(ABS(H16)&gt;=1E9,"G",IF(ABS(H16)&gt;=1E6,"M",IF(ABS(H16)&gt;=1E3,"K","")))))="",""," "&amp;(IF(ABS(H16)&gt;=1E12,"T",IF(ABS(H16)&gt;=1E9,"G",IF(ABS(H16)&gt;=1E6,"M",IF(ABS(H16)&gt;=1E3,"K",""))))))</f>
        <v>35.758 G</v>
      </c>
      <c r="D16" s="33" t="str">
        <f>TEXT(IF(ABS(I16)&gt;=1E12,I16/1E12,IF(ABS(I16)&gt;=1E9,I16/1E9,IF(ABS(I16)&gt;=1E6,I16/1E6,IF(ABS(I16)&gt;=1E3,I16/1E3,I16)))),"#,##0.000")&amp;IF((IF(ABS(I16)&gt;=1E12,"T",IF(ABS(I16)&gt;=1E9,"G",IF(ABS(I16)&gt;=1E6,"M",IF(ABS(I16)&gt;=1E3,"K","")))))="",""," "&amp;(IF(ABS(I16)&gt;=1E12,"T",IF(ABS(I16)&gt;=1E9,"G",IF(ABS(I16)&gt;=1E6,"M",IF(ABS(I16)&gt;=1E3,"K",""))))))</f>
        <v>278.155 G</v>
      </c>
      <c r="E16" s="33" t="str">
        <f>TEXT(IF(ABS(J16)&gt;=1E12,J16/1E12,IF(ABS(J16)&gt;=1E9,J16/1E9,IF(ABS(J16)&gt;=1E6,J16/1E6,IF(ABS(J16)&gt;=1E3,J16/1E3,J16)))),"#,##0.000")&amp;IF((IF(ABS(J16)&gt;=1E12,"T",IF(ABS(J16)&gt;=1E9,"G",IF(ABS(J16)&gt;=1E6,"M",IF(ABS(J16)&gt;=1E3,"K","")))))="",""," "&amp;(IF(ABS(J16)&gt;=1E12,"T",IF(ABS(J16)&gt;=1E9,"G",IF(ABS(J16)&gt;=1E6,"M",IF(ABS(J16)&gt;=1E3,"K",""))))))</f>
        <v>35.758 G</v>
      </c>
      <c r="F16" s="4" t="s">
        <v>461</v>
      </c>
      <c r="G16" s="32">
        <f>'Prefill_8K'!$AY$50</f>
        <v>278154947072.0</v>
      </c>
      <c r="H16" s="32">
        <f>'Prefill_8K'!$AZ$50</f>
        <v>35757730304.0</v>
      </c>
      <c r="I16" s="32">
        <f>'Prefill_8K'!$AY$50</f>
        <v>278154947072.0</v>
      </c>
      <c r="J16" s="32">
        <f>'Prefill_8K'!$AZ$50</f>
        <v>35757730304.0</v>
      </c>
    </row>
    <row r="17" spans="1:20">
      <c r="A17" s="4" t="s">
        <v>462</v>
      </c>
      <c r="B17" s="33" t="str">
        <f>TEXT(IF(ABS(G17)&gt;=1E12,G17/1E12,IF(ABS(G17)&gt;=1E9,G17/1E9,IF(ABS(G17)&gt;=1E6,G17/1E6,IF(ABS(G17)&gt;=1E3,G17/1E3,G17)))),"#,##0.000")&amp;IF((IF(ABS(G17)&gt;=1E12,"T",IF(ABS(G17)&gt;=1E9,"G",IF(ABS(G17)&gt;=1E6,"M",IF(ABS(G17)&gt;=1E3,"K","")))))="",""," "&amp;(IF(ABS(G17)&gt;=1E12,"T",IF(ABS(G17)&gt;=1E9,"G",IF(ABS(G17)&gt;=1E6,"M",IF(ABS(G17)&gt;=1E3,"K",""))))))</f>
        <v>1.093 G</v>
      </c>
      <c r="C17" s="33" t="str">
        <f>TEXT(IF(ABS(H17)&gt;=1E12,H17/1E12,IF(ABS(H17)&gt;=1E9,H17/1E9,IF(ABS(H17)&gt;=1E6,H17/1E6,IF(ABS(H17)&gt;=1E3,H17/1E3,H17)))),"#,##0.000")&amp;IF((IF(ABS(H17)&gt;=1E12,"T",IF(ABS(H17)&gt;=1E9,"G",IF(ABS(H17)&gt;=1E6,"M",IF(ABS(H17)&gt;=1E3,"K","")))))="",""," "&amp;(IF(ABS(H17)&gt;=1E12,"T",IF(ABS(H17)&gt;=1E9,"G",IF(ABS(H17)&gt;=1E6,"M",IF(ABS(H17)&gt;=1E3,"K",""))))))</f>
        <v>166.690 M</v>
      </c>
      <c r="D17" s="33" t="str">
        <f>TEXT(IF(ABS(I17)&gt;=1E12,I17/1E12,IF(ABS(I17)&gt;=1E9,I17/1E9,IF(ABS(I17)&gt;=1E6,I17/1E6,IF(ABS(I17)&gt;=1E3,I17/1E3,I17)))),"#,##0.000")&amp;IF((IF(ABS(I17)&gt;=1E12,"T",IF(ABS(I17)&gt;=1E9,"G",IF(ABS(I17)&gt;=1E6,"M",IF(ABS(I17)&gt;=1E3,"K","")))))="",""," "&amp;(IF(ABS(I17)&gt;=1E12,"T",IF(ABS(I17)&gt;=1E9,"G",IF(ABS(I17)&gt;=1E6,"M",IF(ABS(I17)&gt;=1E3,"K",""))))))</f>
        <v>1.093 G</v>
      </c>
      <c r="E17" s="33" t="str">
        <f>TEXT(IF(ABS(J17)&gt;=1E12,J17/1E12,IF(ABS(J17)&gt;=1E9,J17/1E9,IF(ABS(J17)&gt;=1E6,J17/1E6,IF(ABS(J17)&gt;=1E3,J17/1E3,J17)))),"#,##0.000")&amp;IF((IF(ABS(J17)&gt;=1E12,"T",IF(ABS(J17)&gt;=1E9,"G",IF(ABS(J17)&gt;=1E6,"M",IF(ABS(J17)&gt;=1E3,"K","")))))="",""," "&amp;(IF(ABS(J17)&gt;=1E12,"T",IF(ABS(J17)&gt;=1E9,"G",IF(ABS(J17)&gt;=1E6,"M",IF(ABS(J17)&gt;=1E3,"K",""))))))</f>
        <v>166.690 M</v>
      </c>
      <c r="F17" s="4" t="s">
        <v>463</v>
      </c>
      <c r="G17" s="32">
        <f>'Prefill_8K'!$AY$51</f>
        <v>1093371351.0</v>
      </c>
      <c r="H17" s="32">
        <f>'Prefill_8K'!$AZ$51</f>
        <v>166689903.0</v>
      </c>
      <c r="I17" s="32">
        <f>'Prefill_8K'!$AY$51</f>
        <v>1093371351.0</v>
      </c>
      <c r="J17" s="32">
        <f>'Prefill_8K'!$AZ$51</f>
        <v>166689903.0</v>
      </c>
    </row>
    <row r="18" spans="1:20">
      <c r="A18" s="31" t="s">
        <v>464</v>
      </c>
      <c r="B18" s="31" t="str">
        <f>TEXT(IF(ABS(G18)&gt;=1E12,G18/1E12,IF(ABS(G18)&gt;=1E9,G18/1E9,IF(ABS(G18)&gt;=1E6,G18/1E6,IF(ABS(G18)&gt;=1E3,G18/1E3,G18)))),"#,##0.000")&amp;IF((IF(ABS(G18)&gt;=1E12,"T",IF(ABS(G18)&gt;=1E9,"G",IF(ABS(G18)&gt;=1E6,"M",IF(ABS(G18)&gt;=1E3,"K","")))))="",""," "&amp;(IF(ABS(G18)&gt;=1E12,"T",IF(ABS(G18)&gt;=1E9,"G",IF(ABS(G18)&gt;=1E6,"M",IF(ABS(G18)&gt;=1E3,"K",""))))))</f>
        <v>284.335 G</v>
      </c>
      <c r="C18" s="31" t="str">
        <f>TEXT(IF(ABS(H18)&gt;=1E12,H18/1E12,IF(ABS(H18)&gt;=1E9,H18/1E9,IF(ABS(H18)&gt;=1E6,H18/1E6,IF(ABS(H18)&gt;=1E3,H18/1E3,H18)))),"#,##0.000")&amp;IF((IF(ABS(H18)&gt;=1E12,"T",IF(ABS(H18)&gt;=1E9,"G",IF(ABS(H18)&gt;=1E6,"M",IF(ABS(H18)&gt;=1E3,"K","")))))="",""," "&amp;(IF(ABS(H18)&gt;=1E12,"T",IF(ABS(H18)&gt;=1E9,"G",IF(ABS(H18)&gt;=1E6,"M",IF(ABS(H18)&gt;=1E3,"K",""))))))</f>
        <v>37.064 G</v>
      </c>
      <c r="D18" s="31" t="str">
        <f>TEXT(IF(ABS(I18)&gt;=1E12,I18/1E12,IF(ABS(I18)&gt;=1E9,I18/1E9,IF(ABS(I18)&gt;=1E6,I18/1E6,IF(ABS(I18)&gt;=1E3,I18/1E3,I18)))),"#,##0.000")&amp;IF((IF(ABS(I18)&gt;=1E12,"T",IF(ABS(I18)&gt;=1E9,"G",IF(ABS(I18)&gt;=1E6,"M",IF(ABS(I18)&gt;=1E3,"K","")))))="",""," "&amp;(IF(ABS(I18)&gt;=1E12,"T",IF(ABS(I18)&gt;=1E9,"G",IF(ABS(I18)&gt;=1E6,"M",IF(ABS(I18)&gt;=1E3,"K",""))))))</f>
        <v>284.335 G</v>
      </c>
      <c r="E18" s="31" t="str">
        <f>TEXT(IF(ABS(J18)&gt;=1E12,J18/1E12,IF(ABS(J18)&gt;=1E9,J18/1E9,IF(ABS(J18)&gt;=1E6,J18/1E6,IF(ABS(J18)&gt;=1E3,J18/1E3,J18)))),"#,##0.000")&amp;IF((IF(ABS(J18)&gt;=1E12,"T",IF(ABS(J18)&gt;=1E9,"G",IF(ABS(J18)&gt;=1E6,"M",IF(ABS(J18)&gt;=1E3,"K","")))))="",""," "&amp;(IF(ABS(J18)&gt;=1E12,"T",IF(ABS(J18)&gt;=1E9,"G",IF(ABS(J18)&gt;=1E6,"M",IF(ABS(J18)&gt;=1E3,"K",""))))))</f>
        <v>37.064 G</v>
      </c>
      <c r="F18" s="4" t="s">
        <v>465</v>
      </c>
      <c r="G18" s="32">
        <f>'Prefill_8K'!$AY$52</f>
        <v>284334567511.0</v>
      </c>
      <c r="H18" s="32">
        <f>'Prefill_8K'!$AZ$52</f>
        <v>37064255215.0</v>
      </c>
      <c r="I18" s="32">
        <f>'Prefill_8K'!$AY$52</f>
        <v>284334567511.0</v>
      </c>
      <c r="J18" s="32">
        <f>'Prefill_8K'!$AZ$52</f>
        <v>37064255215.0</v>
      </c>
    </row>
    <row r="19" spans="1:20">
      <c r="A19" s="4" t="s">
        <v>466</v>
      </c>
      <c r="B19" s="33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7.451 GB</v>
      </c>
      <c r="C19" s="33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2.238 GB</v>
      </c>
      <c r="D19" s="33" t="str">
        <f>TEXT(IF(ABS(I19)&gt;=1E12,I19/1E12,IF(ABS(I19)&gt;=1E9,I19/1E9,IF(ABS(I19)&gt;=1E6,I19/1E6,IF(ABS(I19)&gt;=1E3,I19/1E3,I19)))),"#,##0.000")&amp;IF((IF(ABS(I19)&gt;=1E12,"TB",IF(ABS(I19)&gt;=1E9,"GB",IF(ABS(I19)&gt;=1E6,"MB",IF(ABS(I19)&gt;=1E3,"KB","bytes")))))="",""," "&amp;(IF(ABS(I19)&gt;=1E12,"TB",IF(ABS(I19)&gt;=1E9,"GB",IF(ABS(I19)&gt;=1E6,"MB",IF(ABS(I19)&gt;=1E3,"KB","bytes"))))))</f>
        <v>7.451 GB</v>
      </c>
      <c r="E19" s="33" t="str">
        <f>TEXT(IF(ABS(J19)&gt;=1E12,J19/1E12,IF(ABS(J19)&gt;=1E9,J19/1E9,IF(ABS(J19)&gt;=1E6,J19/1E6,IF(ABS(J19)&gt;=1E3,J19/1E3,J19)))),"#,##0.000")&amp;IF((IF(ABS(J19)&gt;=1E12,"TB",IF(ABS(J19)&gt;=1E9,"GB",IF(ABS(J19)&gt;=1E6,"MB",IF(ABS(J19)&gt;=1E3,"KB","bytes")))))="",""," "&amp;(IF(ABS(J19)&gt;=1E12,"TB",IF(ABS(J19)&gt;=1E9,"GB",IF(ABS(J19)&gt;=1E6,"MB",IF(ABS(J19)&gt;=1E3,"KB","bytes"))))))</f>
        <v>2.238 GB</v>
      </c>
      <c r="F19" s="4" t="s">
        <v>467</v>
      </c>
      <c r="G19" s="32">
        <f>'Prefill_8K'!$BA$49</f>
        <v>7451384960</v>
      </c>
      <c r="H19" s="32">
        <f>'Prefill_8K'!$BB$49</f>
        <v>2237504960</v>
      </c>
      <c r="I19" s="32">
        <f>'Prefill_8K'!$BA$49</f>
        <v>7451384960</v>
      </c>
      <c r="J19" s="32">
        <f>'Prefill_8K'!$BB$49</f>
        <v>2237504960</v>
      </c>
    </row>
    <row r="20" spans="1:20">
      <c r="A20" s="4" t="s">
        <v>468</v>
      </c>
      <c r="B20" s="33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148.351 GB</v>
      </c>
      <c r="C20" s="33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19.578 GB</v>
      </c>
      <c r="D20" s="33" t="str">
        <f>TEXT(IF(ABS(I20)&gt;=1E12,I20/1E12,IF(ABS(I20)&gt;=1E9,I20/1E9,IF(ABS(I20)&gt;=1E6,I20/1E6,IF(ABS(I20)&gt;=1E3,I20/1E3,I20)))),"#,##0.000")&amp;IF((IF(ABS(I20)&gt;=1E12,"TB",IF(ABS(I20)&gt;=1E9,"GB",IF(ABS(I20)&gt;=1E6,"MB",IF(ABS(I20)&gt;=1E3,"KB","bytes")))))="",""," "&amp;(IF(ABS(I20)&gt;=1E12,"TB",IF(ABS(I20)&gt;=1E9,"GB",IF(ABS(I20)&gt;=1E6,"MB",IF(ABS(I20)&gt;=1E3,"KB","bytes"))))))</f>
        <v>148.351 GB</v>
      </c>
      <c r="E20" s="33" t="str">
        <f>TEXT(IF(ABS(J20)&gt;=1E12,J20/1E12,IF(ABS(J20)&gt;=1E9,J20/1E9,IF(ABS(J20)&gt;=1E6,J20/1E6,IF(ABS(J20)&gt;=1E3,J20/1E3,J20)))),"#,##0.000")&amp;IF((IF(ABS(J20)&gt;=1E12,"TB",IF(ABS(J20)&gt;=1E9,"GB",IF(ABS(J20)&gt;=1E6,"MB",IF(ABS(J20)&gt;=1E3,"KB","bytes")))))="",""," "&amp;(IF(ABS(J20)&gt;=1E12,"TB",IF(ABS(J20)&gt;=1E9,"GB",IF(ABS(J20)&gt;=1E6,"MB",IF(ABS(J20)&gt;=1E3,"KB","bytes"))))))</f>
        <v>19.578 GB</v>
      </c>
      <c r="F20" s="4" t="s">
        <v>469</v>
      </c>
      <c r="G20" s="32">
        <f>'Prefill_8K'!$BA$50</f>
        <v>148351461888.0</v>
      </c>
      <c r="H20" s="32">
        <f>'Prefill_8K'!$BB$50</f>
        <v>19577940480.0</v>
      </c>
      <c r="I20" s="32">
        <f>'Prefill_8K'!$BA$50</f>
        <v>148351461888.0</v>
      </c>
      <c r="J20" s="32">
        <f>'Prefill_8K'!$BB$50</f>
        <v>19577940480.0</v>
      </c>
    </row>
    <row r="21" spans="1:20">
      <c r="A21" s="4" t="s">
        <v>470</v>
      </c>
      <c r="B21" s="33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3.314 GB</v>
      </c>
      <c r="C21" s="33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534.377 MB</v>
      </c>
      <c r="D21" s="33" t="str">
        <f>TEXT(IF(ABS(I21)&gt;=1E12,I21/1E12,IF(ABS(I21)&gt;=1E9,I21/1E9,IF(ABS(I21)&gt;=1E6,I21/1E6,IF(ABS(I21)&gt;=1E3,I21/1E3,I21)))),"#,##0.000")&amp;IF((IF(ABS(I21)&gt;=1E12,"TB",IF(ABS(I21)&gt;=1E9,"GB",IF(ABS(I21)&gt;=1E6,"MB",IF(ABS(I21)&gt;=1E3,"KB","bytes")))))="",""," "&amp;(IF(ABS(I21)&gt;=1E12,"TB",IF(ABS(I21)&gt;=1E9,"GB",IF(ABS(I21)&gt;=1E6,"MB",IF(ABS(I21)&gt;=1E3,"KB","bytes"))))))</f>
        <v>3.314 GB</v>
      </c>
      <c r="E21" s="33" t="str">
        <f>TEXT(IF(ABS(J21)&gt;=1E12,J21/1E12,IF(ABS(J21)&gt;=1E9,J21/1E9,IF(ABS(J21)&gt;=1E6,J21/1E6,IF(ABS(J21)&gt;=1E3,J21/1E3,J21)))),"#,##0.000")&amp;IF((IF(ABS(J21)&gt;=1E12,"TB",IF(ABS(J21)&gt;=1E9,"GB",IF(ABS(J21)&gt;=1E6,"MB",IF(ABS(J21)&gt;=1E3,"KB","bytes")))))="",""," "&amp;(IF(ABS(J21)&gt;=1E12,"TB",IF(ABS(J21)&gt;=1E9,"GB",IF(ABS(J21)&gt;=1E6,"MB",IF(ABS(J21)&gt;=1E3,"KB","bytes"))))))</f>
        <v>534.377 MB</v>
      </c>
      <c r="F21" s="4" t="s">
        <v>463</v>
      </c>
      <c r="G21" s="32">
        <f>'Prefill_8K'!$BA$51</f>
        <v>3314423644.0</v>
      </c>
      <c r="H21" s="32">
        <f>'Prefill_8K'!$BB$51</f>
        <v>534376892.0</v>
      </c>
      <c r="I21" s="32">
        <f>'Prefill_8K'!$BA$51</f>
        <v>3314423644.0</v>
      </c>
      <c r="J21" s="32">
        <f>'Prefill_8K'!$BB$51</f>
        <v>534376892.0</v>
      </c>
    </row>
    <row r="22" spans="1:20">
      <c r="A22" s="31" t="s">
        <v>471</v>
      </c>
      <c r="B22" s="31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159.117 GB</v>
      </c>
      <c r="C22" s="31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22.350 GB</v>
      </c>
      <c r="D22" s="31" t="str">
        <f>TEXT(IF(ABS(I22)&gt;=1E12,I22/1E12,IF(ABS(I22)&gt;=1E9,I22/1E9,IF(ABS(I22)&gt;=1E6,I22/1E6,IF(ABS(I22)&gt;=1E3,I22/1E3,I22)))),"#,##0.000")&amp;IF((IF(ABS(I22)&gt;=1E12,"TB",IF(ABS(I22)&gt;=1E9,"GB",IF(ABS(I22)&gt;=1E6,"MB",IF(ABS(I22)&gt;=1E3,"KB","bytes")))))="",""," "&amp;(IF(ABS(I22)&gt;=1E12,"TB",IF(ABS(I22)&gt;=1E9,"GB",IF(ABS(I22)&gt;=1E6,"MB",IF(ABS(I22)&gt;=1E3,"KB","bytes"))))))</f>
        <v>159.117 GB</v>
      </c>
      <c r="E22" s="31" t="str">
        <f>TEXT(IF(ABS(J22)&gt;=1E12,J22/1E12,IF(ABS(J22)&gt;=1E9,J22/1E9,IF(ABS(J22)&gt;=1E6,J22/1E6,IF(ABS(J22)&gt;=1E3,J22/1E3,J22)))),"#,##0.000")&amp;IF((IF(ABS(J22)&gt;=1E12,"TB",IF(ABS(J22)&gt;=1E9,"GB",IF(ABS(J22)&gt;=1E6,"MB",IF(ABS(J22)&gt;=1E3,"KB","bytes")))))="",""," "&amp;(IF(ABS(J22)&gt;=1E12,"TB",IF(ABS(J22)&gt;=1E9,"GB",IF(ABS(J22)&gt;=1E6,"MB",IF(ABS(J22)&gt;=1E3,"KB","bytes"))))))</f>
        <v>22.350 GB</v>
      </c>
      <c r="F22" s="4" t="s">
        <v>472</v>
      </c>
      <c r="G22" s="32">
        <f>'Prefill_8K'!$BA$52</f>
        <v>159117270492.0</v>
      </c>
      <c r="H22" s="32">
        <f>'Prefill_8K'!$BB$52</f>
        <v>22349822332.0</v>
      </c>
      <c r="I22" s="32">
        <f>'Prefill_8K'!$BA$52</f>
        <v>159117270492.0</v>
      </c>
      <c r="J22" s="32">
        <f>'Prefill_8K'!$BB$52</f>
        <v>22349822332.0</v>
      </c>
    </row>
    <row r="23" spans="1:20">
      <c r="A23" s="4" t="s">
        <v>473</v>
      </c>
      <c r="B23" s="33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50.987 MB</v>
      </c>
      <c r="C23" s="33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50.987 MB</v>
      </c>
      <c r="D23" s="33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5.811 GB</v>
      </c>
      <c r="E23" s="33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5.811 GB</v>
      </c>
      <c r="F23" s="4" t="s">
        <v>474</v>
      </c>
      <c r="G23" s="32">
        <f>'Prefill_8K'!$U$35</f>
        <v>50987008</v>
      </c>
      <c r="H23" s="32">
        <f>'Prefill_8K'!$X$35</f>
        <v>50987008</v>
      </c>
      <c r="I23" s="32">
        <f>'Decode_1M'!$U$35</f>
        <v>5810552832</v>
      </c>
      <c r="J23" s="32">
        <f>'Decode_1M'!$X$35</f>
        <v>5810552832</v>
      </c>
    </row>
    <row r="24" spans="1:20">
      <c r="A24" s="4" t="s">
        <v>475</v>
      </c>
      <c r="B24" s="33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11.010 MB</v>
      </c>
      <c r="C24" s="33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11.010 MB</v>
      </c>
      <c r="D24" s="33" t="str">
        <f>TEXT(IF(ABS(I24)&gt;=1E12,I24/1E12,IF(ABS(I24)&gt;=1E9,I24/1E9,IF(ABS(I24)&gt;=1E6,I24/1E6,IF(ABS(I24)&gt;=1E3,I24/1E3,I24)))),"#,##0.000")&amp;IF((IF(ABS(I24)&gt;=1E12,"TB",IF(ABS(I24)&gt;=1E9,"GB",IF(ABS(I24)&gt;=1E6,"MB",IF(ABS(I24)&gt;=1E3,"KB","bytes")))))="",""," "&amp;(IF(ABS(I24)&gt;=1E12,"TB",IF(ABS(I24)&gt;=1E9,"GB",IF(ABS(I24)&gt;=1E6,"MB",IF(ABS(I24)&gt;=1E3,"KB","bytes"))))))</f>
        <v>1.409 GB</v>
      </c>
      <c r="E24" s="33" t="str">
        <f>TEXT(IF(ABS(J24)&gt;=1E12,J24/1E12,IF(ABS(J24)&gt;=1E9,J24/1E9,IF(ABS(J24)&gt;=1E6,J24/1E6,IF(ABS(J24)&gt;=1E3,J24/1E3,J24)))),"#,##0.000")&amp;IF((IF(ABS(J24)&gt;=1E12,"TB",IF(ABS(J24)&gt;=1E9,"GB",IF(ABS(J24)&gt;=1E6,"MB",IF(ABS(J24)&gt;=1E3,"KB","bytes")))))="",""," "&amp;(IF(ABS(J24)&gt;=1E12,"TB",IF(ABS(J24)&gt;=1E9,"GB",IF(ABS(J24)&gt;=1E6,"MB",IF(ABS(J24)&gt;=1E3,"KB","bytes"))))))</f>
        <v>1.409 GB</v>
      </c>
      <c r="F24" s="4" t="s">
        <v>474</v>
      </c>
      <c r="G24" s="32">
        <f>'Prefill_8K'!$U$36</f>
        <v>11010048</v>
      </c>
      <c r="H24" s="32">
        <f>'Prefill_8K'!$X$36</f>
        <v>11010048</v>
      </c>
      <c r="I24" s="32">
        <f>'Decode_1M'!$U$36</f>
        <v>1409286144</v>
      </c>
      <c r="J24" s="32">
        <f>'Decode_1M'!$X$36</f>
        <v>1409286144</v>
      </c>
    </row>
    <row r="25" spans="1:20">
      <c r="A25" s="4" t="s">
        <v>476</v>
      </c>
      <c r="B25" s="33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12.206 MB</v>
      </c>
      <c r="C25" s="33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12.206 MB</v>
      </c>
      <c r="D25" s="33" t="str">
        <f>TEXT(IF(ABS(I25)&gt;=1E12,I25/1E12,IF(ABS(I25)&gt;=1E9,I25/1E9,IF(ABS(I25)&gt;=1E6,I25/1E6,IF(ABS(I25)&gt;=1E3,I25/1E3,I25)))),"#,##0.000")&amp;IF((IF(ABS(I25)&gt;=1E12,"TB",IF(ABS(I25)&gt;=1E9,"GB",IF(ABS(I25)&gt;=1E6,"MB",IF(ABS(I25)&gt;=1E3,"KB","bytes")))))="",""," "&amp;(IF(ABS(I25)&gt;=1E12,"TB",IF(ABS(I25)&gt;=1E9,"GB",IF(ABS(I25)&gt;=1E6,"MB",IF(ABS(I25)&gt;=1E3,"KB","bytes"))))))</f>
        <v>12.206 MB</v>
      </c>
      <c r="E25" s="33" t="str">
        <f>TEXT(IF(ABS(J25)&gt;=1E12,J25/1E12,IF(ABS(J25)&gt;=1E9,J25/1E9,IF(ABS(J25)&gt;=1E6,J25/1E6,IF(ABS(J25)&gt;=1E3,J25/1E3,J25)))),"#,##0.000")&amp;IF((IF(ABS(J25)&gt;=1E12,"TB",IF(ABS(J25)&gt;=1E9,"GB",IF(ABS(J25)&gt;=1E6,"MB",IF(ABS(J25)&gt;=1E3,"KB","bytes")))))="",""," "&amp;(IF(ABS(J25)&gt;=1E12,"TB",IF(ABS(J25)&gt;=1E9,"GB",IF(ABS(J25)&gt;=1E6,"MB",IF(ABS(J25)&gt;=1E3,"KB","bytes"))))))</f>
        <v>12.206 MB</v>
      </c>
      <c r="F25" s="4" t="s">
        <v>474</v>
      </c>
      <c r="G25" s="32">
        <f>'Prefill_8K'!$U$37</f>
        <v>12206080</v>
      </c>
      <c r="H25" s="32">
        <f>'Prefill_8K'!$X$37</f>
        <v>12206080</v>
      </c>
      <c r="I25" s="32">
        <f>'Decode_1M'!$U$37</f>
        <v>12206080</v>
      </c>
      <c r="J25" s="32">
        <f>'Decode_1M'!$X$37</f>
        <v>12206080</v>
      </c>
    </row>
    <row r="26" spans="1:20">
      <c r="A26" s="4" t="s">
        <v>477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7.232 GB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7.232 GB</v>
      </c>
      <c r="D26" s="33" t="str">
        <f>TEXT(IF(ABS(I26)&gt;=1E12,I26/1E12,IF(ABS(I26)&gt;=1E9,I26/1E9,IF(ABS(I26)&gt;=1E6,I26/1E6,IF(ABS(I26)&gt;=1E3,I26/1E3,I26)))),"#,##0.000")&amp;IF((IF(ABS(I26)&gt;=1E12,"TB",IF(ABS(I26)&gt;=1E9,"GB",IF(ABS(I26)&gt;=1E6,"MB",IF(ABS(I26)&gt;=1E3,"KB","bytes")))))="",""," "&amp;(IF(ABS(I26)&gt;=1E12,"TB",IF(ABS(I26)&gt;=1E9,"GB",IF(ABS(I26)&gt;=1E6,"MB",IF(ABS(I26)&gt;=1E3,"KB","bytes"))))))</f>
        <v>7.232 GB</v>
      </c>
      <c r="E26" s="33" t="str">
        <f>TEXT(IF(ABS(J26)&gt;=1E12,J26/1E12,IF(ABS(J26)&gt;=1E9,J26/1E9,IF(ABS(J26)&gt;=1E6,J26/1E6,IF(ABS(J26)&gt;=1E3,J26/1E3,J26)))),"#,##0.000")&amp;IF((IF(ABS(J26)&gt;=1E12,"TB",IF(ABS(J26)&gt;=1E9,"GB",IF(ABS(J26)&gt;=1E6,"MB",IF(ABS(J26)&gt;=1E3,"KB","bytes")))))="",""," "&amp;(IF(ABS(J26)&gt;=1E12,"TB",IF(ABS(J26)&gt;=1E9,"GB",IF(ABS(J26)&gt;=1E6,"MB",IF(ABS(J26)&gt;=1E3,"KB","bytes"))))))</f>
        <v>7.232 GB</v>
      </c>
      <c r="F26" s="4" t="s">
        <v>474</v>
      </c>
      <c r="G26" s="32">
        <f>'Prefill_8K'!$U$38</f>
        <v>7232045056</v>
      </c>
      <c r="H26" s="32">
        <f>'Prefill_8K'!$X$38</f>
        <v>7232045056</v>
      </c>
      <c r="I26" s="32">
        <f>'Decode_1M'!$U$38</f>
        <v>7232045056</v>
      </c>
      <c r="J26" s="32">
        <f>'Decode_1M'!$X$38</f>
        <v>7232045056</v>
      </c>
    </row>
    <row r="27" spans="1:20">
      <c r="A27" s="31" t="s">
        <v>478</v>
      </c>
      <c r="B27" s="31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166.349 GB</v>
      </c>
      <c r="C27" s="31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29.582 GB</v>
      </c>
      <c r="D27" s="31" t="str">
        <f>TEXT(IF(ABS(I27)&gt;=1E12,I27/1E12,IF(ABS(I27)&gt;=1E9,I27/1E9,IF(ABS(I27)&gt;=1E6,I27/1E6,IF(ABS(I27)&gt;=1E3,I27/1E3,I27)))),"#,##0.000")&amp;IF((IF(ABS(I27)&gt;=1E12,"TB",IF(ABS(I27)&gt;=1E9,"GB",IF(ABS(I27)&gt;=1E6,"MB",IF(ABS(I27)&gt;=1E3,"KB","bytes")))))="",""," "&amp;(IF(ABS(I27)&gt;=1E12,"TB",IF(ABS(I27)&gt;=1E9,"GB",IF(ABS(I27)&gt;=1E6,"MB",IF(ABS(I27)&gt;=1E3,"KB","bytes"))))))</f>
        <v>166.349 GB</v>
      </c>
      <c r="E27" s="31" t="str">
        <f>TEXT(IF(ABS(J27)&gt;=1E12,J27/1E12,IF(ABS(J27)&gt;=1E9,J27/1E9,IF(ABS(J27)&gt;=1E6,J27/1E6,IF(ABS(J27)&gt;=1E3,J27/1E3,J27)))),"#,##0.000")&amp;IF((IF(ABS(J27)&gt;=1E12,"TB",IF(ABS(J27)&gt;=1E9,"GB",IF(ABS(J27)&gt;=1E6,"MB",IF(ABS(J27)&gt;=1E3,"KB","bytes")))))="",""," "&amp;(IF(ABS(J27)&gt;=1E12,"TB",IF(ABS(J27)&gt;=1E9,"GB",IF(ABS(J27)&gt;=1E6,"MB",IF(ABS(J27)&gt;=1E3,"KB","bytes"))))))</f>
        <v>29.582 GB</v>
      </c>
      <c r="F27" s="4" t="s">
        <v>479</v>
      </c>
      <c r="G27" s="32">
        <f>'Prefill_8K'!$BA$52+'Prefill_8K'!$U$38</f>
        <v>166349315548.0</v>
      </c>
      <c r="H27" s="32">
        <f>'Prefill_8K'!$BB$52+'Prefill_8K'!$X$38</f>
        <v>29581867388.0</v>
      </c>
      <c r="I27" s="32">
        <f>'Prefill_8K'!$BA$52+'Decode_1M'!$U$38</f>
        <v>166349315548.0</v>
      </c>
      <c r="J27" s="32">
        <f>'Prefill_8K'!$BB$52+'Decode_1M'!$X$38</f>
        <v>29581867388.0</v>
      </c>
    </row>
    <row r="28" spans="1:20">
      <c r="A28" s="31" t="s">
        <v>480</v>
      </c>
      <c r="B28" s="31" t="str">
        <f>TEXT(IF(ABS(G28)&gt;=1E15,G28/1E15,IF(ABS(G28)&gt;=1E12,G28/1E12,IF(ABS(G28)&gt;=1E9,G28/1E9,IF(ABS(G28)&gt;=1E6,G28/1E6,G28)))),"#,##0.000")&amp;IF((IF(ABS(G28)&gt;=1E15,"PFLOPs",IF(ABS(G28)&gt;=1E12,"TFLOPs",IF(ABS(G28)&gt;=1E9,"GFLOPs",IF(ABS(G28)&gt;=1E6,"MFLOPs","flops")))))="",""," "&amp;(IF(ABS(G28)&gt;=1E15,"PFLOPs",IF(ABS(G28)&gt;=1E12,"TFLOPs",IF(ABS(G28)&gt;=1E9,"GFLOPs",IF(ABS(G28)&gt;=1E6,"MFLOPs","flops"))))))</f>
        <v>228.398 TFLOPs</v>
      </c>
      <c r="C28" s="31" t="str">
        <f>TEXT(IF(ABS(H28)&gt;=1E15,H28/1E15,IF(ABS(H28)&gt;=1E12,H28/1E12,IF(ABS(H28)&gt;=1E9,H28/1E9,IF(ABS(H28)&gt;=1E6,H28/1E6,H28)))),"#,##0.000")&amp;IF((IF(ABS(H28)&gt;=1E15,"PFLOPs",IF(ABS(H28)&gt;=1E12,"TFLOPs",IF(ABS(H28)&gt;=1E9,"GFLOPs",IF(ABS(H28)&gt;=1E6,"MFLOPs","flops")))))="",""," "&amp;(IF(ABS(H28)&gt;=1E15,"PFLOPs",IF(ABS(H28)&gt;=1E12,"TFLOPs",IF(ABS(H28)&gt;=1E9,"GFLOPs",IF(ABS(H28)&gt;=1E6,"MFLOPs","flops"))))))</f>
        <v>55.653 TFLOPs</v>
      </c>
      <c r="D28" s="31" t="str">
        <f>TEXT(IF(ABS(I28)&gt;=1E15,I28/1E15,IF(ABS(I28)&gt;=1E12,I28/1E12,IF(ABS(I28)&gt;=1E9,I28/1E9,IF(ABS(I28)&gt;=1E6,I28/1E6,I28)))),"#,##0.000")&amp;IF((IF(ABS(I28)&gt;=1E15,"PFLOPs",IF(ABS(I28)&gt;=1E12,"TFLOPs",IF(ABS(I28)&gt;=1E9,"GFLOPs",IF(ABS(I28)&gt;=1E6,"MFLOPs","flops")))))="",""," "&amp;(IF(ABS(I28)&gt;=1E15,"PFLOPs",IF(ABS(I28)&gt;=1E12,"TFLOPs",IF(ABS(I28)&gt;=1E9,"GFLOPs",IF(ABS(I28)&gt;=1E6,"MFLOPs","flops"))))))</f>
        <v>140.356 GFLOPs</v>
      </c>
      <c r="E28" s="31" t="str">
        <f>TEXT(IF(ABS(J28)&gt;=1E15,J28/1E15,IF(ABS(J28)&gt;=1E12,J28/1E12,IF(ABS(J28)&gt;=1E9,J28/1E9,IF(ABS(J28)&gt;=1E6,J28/1E6,J28)))),"#,##0.000")&amp;IF((IF(ABS(J28)&gt;=1E15,"PFLOPs",IF(ABS(J28)&gt;=1E12,"TFLOPs",IF(ABS(J28)&gt;=1E9,"GFLOPs",IF(ABS(J28)&gt;=1E6,"MFLOPs","flops")))))="",""," "&amp;(IF(ABS(J28)&gt;=1E15,"PFLOPs",IF(ABS(J28)&gt;=1E12,"TFLOPs",IF(ABS(J28)&gt;=1E9,"GFLOPs",IF(ABS(J28)&gt;=1E6,"MFLOPs","flops"))))))</f>
        <v>23.550 GFLOPs</v>
      </c>
      <c r="F28" s="4" t="s">
        <v>481</v>
      </c>
      <c r="G28" s="32">
        <f>'Prefill_8K'!$AF$13</f>
        <v>228397682114560.0</v>
      </c>
      <c r="H28" s="32">
        <f>'Prefill_8K'!$AI$13</f>
        <v>55652568907776.0</v>
      </c>
      <c r="I28" s="32">
        <f>'Decode_1M'!$AF$13</f>
        <v>140355752110.0</v>
      </c>
      <c r="J28" s="32">
        <f>'Decode_1M'!$AI$13</f>
        <v>23549694126.0</v>
      </c>
    </row>
    <row r="31" spans="1:20">
      <c r="S31" s="3" t="s">
        <v>2</v>
      </c>
      <c r="T31" s="3" t="s">
        <v>482</v>
      </c>
    </row>
    <row r="32" spans="1:20">
      <c r="S32" s="4" t="s">
        <v>439</v>
      </c>
      <c r="T32" s="32">
        <f>G28/1e+12</f>
        <v>228.39768211456</v>
      </c>
    </row>
    <row r="33" spans="19:21">
      <c r="S33" s="4" t="s">
        <v>483</v>
      </c>
      <c r="T33" s="32">
        <f>H28/1e+12</f>
        <v>55.652568907776</v>
      </c>
    </row>
    <row r="34" spans="19:21">
      <c r="S34" s="4" t="s">
        <v>441</v>
      </c>
      <c r="T34" s="32">
        <f>I28/1e+12</f>
        <v>0.14035575211</v>
      </c>
    </row>
    <row r="35" spans="19:21">
      <c r="S35" s="4" t="s">
        <v>484</v>
      </c>
      <c r="T35" s="32">
        <f>J28/1e+12</f>
        <v>0.023549694126</v>
      </c>
    </row>
    <row r="38" spans="19:21">
      <c r="S38" s="3" t="s">
        <v>2</v>
      </c>
      <c r="T38" s="3" t="s">
        <v>485</v>
      </c>
      <c r="U38" s="3" t="s">
        <v>486</v>
      </c>
    </row>
    <row r="39" spans="19:21">
      <c r="S39" s="4" t="s">
        <v>40</v>
      </c>
      <c r="T39" s="32">
        <f>G5/1e+12</f>
        <v>102.836037746688</v>
      </c>
      <c r="U39" s="32">
        <f>H5/1e+12</f>
        <v>23.172382457856</v>
      </c>
    </row>
    <row r="40" spans="19:21">
      <c r="S40" s="4" t="s">
        <v>59</v>
      </c>
      <c r="T40" s="32">
        <f>G6/1e+12</f>
        <v>124.846109360128</v>
      </c>
      <c r="U40" s="32">
        <f>H6/1e+12</f>
        <v>31.765578121216</v>
      </c>
    </row>
    <row r="41" spans="19:21">
      <c r="S41" s="4" t="s">
        <v>487</v>
      </c>
      <c r="T41" s="32">
        <f>G7/1e+12</f>
        <v>0.715535007744</v>
      </c>
      <c r="U41" s="32">
        <f>H7/1e+12</f>
        <v>0.714608328704</v>
      </c>
    </row>
    <row r="45" spans="19:21">
      <c r="S45" s="3" t="s">
        <v>2</v>
      </c>
      <c r="T45" s="3" t="s">
        <v>488</v>
      </c>
      <c r="U45" s="3" t="s">
        <v>489</v>
      </c>
    </row>
    <row r="46" spans="19:21">
      <c r="S46" s="4" t="s">
        <v>40</v>
      </c>
      <c r="T46" s="32">
        <f>I5/1e+09</f>
        <v>123.969470464</v>
      </c>
      <c r="U46" s="32">
        <f>J5/1e+09</f>
        <v>19.452461056</v>
      </c>
    </row>
    <row r="47" spans="19:21">
      <c r="S47" s="4" t="s">
        <v>59</v>
      </c>
      <c r="T47" s="32">
        <f>I6/1e+09</f>
        <v>15.240003584</v>
      </c>
      <c r="U47" s="32">
        <f>J6/1e+09</f>
        <v>3.877634048</v>
      </c>
    </row>
    <row r="48" spans="19:21">
      <c r="S48" s="4" t="s">
        <v>487</v>
      </c>
      <c r="T48" s="32">
        <f>I7/1e+09</f>
        <v>1.146278062</v>
      </c>
      <c r="U48" s="32">
        <f>J7/1e+09</f>
        <v>0.219599022</v>
      </c>
    </row>
    <row r="52" spans="19:21">
      <c r="S52" s="3" t="s">
        <v>2</v>
      </c>
      <c r="T52" s="3" t="s">
        <v>490</v>
      </c>
      <c r="U52" s="3" t="s">
        <v>491</v>
      </c>
    </row>
    <row r="53" spans="19:21">
      <c r="S53" s="4" t="s">
        <v>40</v>
      </c>
      <c r="T53" s="32">
        <f>G19/1e+09</f>
        <v>7.45138496</v>
      </c>
      <c r="U53" s="32">
        <f>H19/1e+09</f>
        <v>2.23750496</v>
      </c>
    </row>
    <row r="54" spans="19:21">
      <c r="S54" s="4" t="s">
        <v>59</v>
      </c>
      <c r="T54" s="32">
        <f>G20/1e+09</f>
        <v>148.351461888</v>
      </c>
      <c r="U54" s="32">
        <f>H20/1e+09</f>
        <v>19.57794048</v>
      </c>
    </row>
    <row r="55" spans="19:21">
      <c r="S55" s="4" t="s">
        <v>487</v>
      </c>
      <c r="T55" s="32">
        <f>G21/1e+09</f>
        <v>3.314423644</v>
      </c>
      <c r="U55" s="32">
        <f>H21/1e+09</f>
        <v>0.534376892</v>
      </c>
    </row>
    <row r="59" spans="19:21">
      <c r="S59" s="3" t="s">
        <v>2</v>
      </c>
      <c r="T59" s="3" t="s">
        <v>490</v>
      </c>
      <c r="U59" s="3" t="s">
        <v>491</v>
      </c>
    </row>
    <row r="60" spans="19:21">
      <c r="S60" s="4" t="s">
        <v>492</v>
      </c>
      <c r="T60" s="32">
        <f>G27/1e+09</f>
        <v>166.349315548</v>
      </c>
      <c r="U60" s="32">
        <f>H27/1e+09</f>
        <v>29.581867388</v>
      </c>
    </row>
    <row r="61" spans="19:21">
      <c r="S61" s="4" t="s">
        <v>493</v>
      </c>
      <c r="T61" s="32">
        <f>I27/1e+09</f>
        <v>166.349315548</v>
      </c>
      <c r="U61" s="32">
        <f>J27/1e+09</f>
        <v>29.581867388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494</v>
      </c>
    </row>
    <row r="2" spans="1:8">
      <c r="A2" s="2" t="s">
        <v>495</v>
      </c>
    </row>
    <row r="4" spans="1:8">
      <c r="A4" s="30" t="s">
        <v>496</v>
      </c>
      <c r="B4" s="30"/>
      <c r="C4" s="30"/>
      <c r="D4" s="30"/>
    </row>
    <row r="5" spans="1:8">
      <c r="A5" s="3" t="s">
        <v>438</v>
      </c>
      <c r="B5" s="3" t="s">
        <v>497</v>
      </c>
      <c r="C5" s="3" t="s">
        <v>498</v>
      </c>
      <c r="D5" s="3" t="s">
        <v>363</v>
      </c>
    </row>
    <row r="6" spans="1:8">
      <c r="A6" s="4" t="s">
        <v>443</v>
      </c>
      <c r="B6" s="33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3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499</v>
      </c>
      <c r="G6" s="32">
        <f>'Prefill_8K'!$AF$14</f>
        <v>102836037746688.0</v>
      </c>
      <c r="H6" s="32">
        <f>'Decode_1M'!$AF$14</f>
        <v>123969470464.0</v>
      </c>
    </row>
    <row r="7" spans="1:8">
      <c r="A7" s="4" t="s">
        <v>445</v>
      </c>
      <c r="B7" s="33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3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499</v>
      </c>
      <c r="G7" s="32">
        <f>'Prefill_8K'!$AF$15</f>
        <v>124846109360128.0</v>
      </c>
      <c r="H7" s="32">
        <f>'Decode_1M'!$AF$15</f>
        <v>15240003584.0</v>
      </c>
    </row>
    <row r="8" spans="1:8">
      <c r="A8" s="4" t="s">
        <v>446</v>
      </c>
      <c r="B8" s="33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715.535 GFLOPs</v>
      </c>
      <c r="C8" s="33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1.146 GFLOPs</v>
      </c>
      <c r="D8" s="4" t="s">
        <v>499</v>
      </c>
      <c r="G8" s="32">
        <f>'Prefill_8K'!$AO$48</f>
        <v>715535007744.0</v>
      </c>
      <c r="H8" s="32">
        <f>'Decode_1M'!$AO$48</f>
        <v>1146278062.0</v>
      </c>
    </row>
    <row r="9" spans="1:8">
      <c r="A9" s="31" t="s">
        <v>447</v>
      </c>
      <c r="B9" s="31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228.398 TFLOPs</v>
      </c>
      <c r="C9" s="31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140.356 GFLOPs</v>
      </c>
      <c r="D9" s="4" t="s">
        <v>499</v>
      </c>
      <c r="G9" s="32">
        <f>'Prefill_8K'!$AF$13</f>
        <v>228397682114560.0</v>
      </c>
      <c r="H9" s="32">
        <f>'Decode_1M'!$AF$13</f>
        <v>140355752110.0</v>
      </c>
    </row>
    <row r="10" spans="1:8">
      <c r="A10" s="4" t="s">
        <v>448</v>
      </c>
      <c r="B10" s="33" t="str">
        <f>TEXT(G10,"#,##0.000")&amp;" GB/s"</f>
        <v>358.038 GB/s</v>
      </c>
      <c r="C10" s="33" t="str">
        <f>TEXT(H10,"#,##0.000")&amp;" GB/s"</f>
        <v>1,049.223 GB/s</v>
      </c>
      <c r="D10" s="4" t="s">
        <v>500</v>
      </c>
      <c r="G10" s="32">
        <f>'Prefill_8K'!$AG$14/(PrefillTargetMs/1000)/1E9</f>
        <v>358.0378144</v>
      </c>
      <c r="H10" s="32">
        <f>'Decode_1M'!$AG$14/(DecodeTargetMs/1000)/1E9</f>
        <v>1049.2228352</v>
      </c>
    </row>
    <row r="11" spans="1:8">
      <c r="A11" s="4" t="s">
        <v>450</v>
      </c>
      <c r="B11" s="33" t="str">
        <f>TEXT(G11,"#,##0.000")&amp;" GB/s"</f>
        <v>191.989 GB/s</v>
      </c>
      <c r="C11" s="33" t="str">
        <f>TEXT(H11,"#,##0.000")&amp;" GB/s"</f>
        <v>462.703 GB/s</v>
      </c>
      <c r="D11" s="4" t="s">
        <v>500</v>
      </c>
      <c r="G11" s="32">
        <f>'Prefill_8K'!$AG$15/(PrefillTargetMs/1000)/1E9</f>
        <v>191.988670976</v>
      </c>
      <c r="H11" s="32">
        <f>'Decode_1M'!$AG$15/(DecodeTargetMs/1000)/1E9</f>
        <v>462.7033672</v>
      </c>
    </row>
    <row r="12" spans="1:8">
      <c r="A12" s="4" t="s">
        <v>451</v>
      </c>
      <c r="B12" s="33" t="str">
        <f>TEXT(G12,"#,##0.000")&amp;" GB/s"</f>
        <v>106.744 GB/s</v>
      </c>
      <c r="C12" s="33" t="str">
        <f>TEXT(H12,"#,##0.000")&amp;" GB/s"</f>
        <v>226.865 GB/s</v>
      </c>
      <c r="D12" s="4" t="s">
        <v>500</v>
      </c>
      <c r="G12" s="32">
        <f>'Prefill_8K'!$AQ$48/(PrefillTargetMs/1000)/1E9</f>
        <v>106.744396636</v>
      </c>
      <c r="H12" s="32">
        <f>'Decode_1M'!$AQ$48/(DecodeTargetMs/1000)/1E9</f>
        <v>226.8650332</v>
      </c>
    </row>
    <row r="13" spans="1:8">
      <c r="A13" s="4" t="s">
        <v>480</v>
      </c>
      <c r="B13" s="33" t="str">
        <f>TEXT(IF(ABS(G13)&gt;=1E15,G13/1E15,IF(ABS(G13)&gt;=1E12,G13/1E12,IF(ABS(G13)&gt;=1E9,G13/1E9,IF(ABS(G13)&gt;=1E6,G13/1E6,G13)))),"#,##0.000")&amp;IF((IF(ABS(G13)&gt;=1E15,"PFLOPs",IF(ABS(G13)&gt;=1E12,"TFLOPs",IF(ABS(G13)&gt;=1E9,"GFLOPs",IF(ABS(G13)&gt;=1E6,"MFLOPs","flops")))))="",""," "&amp;(IF(ABS(G13)&gt;=1E15,"PFLOPs",IF(ABS(G13)&gt;=1E12,"TFLOPs",IF(ABS(G13)&gt;=1E9,"GFLOPs",IF(ABS(G13)&gt;=1E6,"MFLOPs","flops"))))))</f>
        <v>228.398 TFLOPs</v>
      </c>
      <c r="C13" s="33" t="str">
        <f>TEXT(IF(ABS(H13)&gt;=1E15,H13/1E15,IF(ABS(H13)&gt;=1E12,H13/1E12,IF(ABS(H13)&gt;=1E9,H13/1E9,IF(ABS(H13)&gt;=1E6,H13/1E6,H13)))),"#,##0.000")&amp;IF((IF(ABS(H13)&gt;=1E15,"PFLOPs",IF(ABS(H13)&gt;=1E12,"TFLOPs",IF(ABS(H13)&gt;=1E9,"GFLOPs",IF(ABS(H13)&gt;=1E6,"MFLOPs","flops")))))="",""," "&amp;(IF(ABS(H13)&gt;=1E15,"PFLOPs",IF(ABS(H13)&gt;=1E12,"TFLOPs",IF(ABS(H13)&gt;=1E9,"GFLOPs",IF(ABS(H13)&gt;=1E6,"MFLOPs","flops"))))))</f>
        <v>140.356 GFLOPs</v>
      </c>
      <c r="D13" s="4" t="s">
        <v>501</v>
      </c>
      <c r="G13" s="32">
        <f>'Prefill_8K'!$AF$13</f>
        <v>228397682114560.0</v>
      </c>
      <c r="H13" s="32">
        <f>'Decode_1M'!$AF$13</f>
        <v>140355752110.0</v>
      </c>
    </row>
    <row r="14" spans="1:8">
      <c r="A14" s="4" t="s">
        <v>454</v>
      </c>
      <c r="B14" s="33" t="str">
        <f>TEXT(IF(ABS(G14)&gt;=1E12,G14/1E12,IF(ABS(G14)&gt;=1E9,G14/1E9,IF(ABS(G14)&gt;=1E6,G14/1E6,IF(ABS(G14)&gt;=1E3,G14/1E3,G14)))),"#,##0.000")&amp;IF((IF(ABS(G14)&gt;=1E12,"TB",IF(ABS(G14)&gt;=1E9,"GB",IF(ABS(G14)&gt;=1E6,"MB",IF(ABS(G14)&gt;=1E3,"KB","bytes")))))="",""," "&amp;(IF(ABS(G14)&gt;=1E12,"TB",IF(ABS(G14)&gt;=1E9,"GB",IF(ABS(G14)&gt;=1E6,"MB",IF(ABS(G14)&gt;=1E3,"KB","bytes"))))))</f>
        <v>0.000 B</v>
      </c>
      <c r="C14" s="33" t="str">
        <f>TEXT(IF(ABS(H14)&gt;=1E12,H14/1E12,IF(ABS(H14)&gt;=1E9,H14/1E9,IF(ABS(H14)&gt;=1E6,H14/1E6,IF(ABS(H14)&gt;=1E3,H14/1E3,H14)))),"#,##0.000")&amp;IF((IF(ABS(H14)&gt;=1E12,"TB",IF(ABS(H14)&gt;=1E9,"GB",IF(ABS(H14)&gt;=1E6,"MB",IF(ABS(H14)&gt;=1E3,"KB","bytes")))))="",""," "&amp;(IF(ABS(H14)&gt;=1E12,"TB",IF(ABS(H14)&gt;=1E9,"GB",IF(ABS(H14)&gt;=1E6,"MB",IF(ABS(H14)&gt;=1E3,"KB","bytes"))))))</f>
        <v>0.000 B</v>
      </c>
      <c r="D14" s="4" t="s">
        <v>502</v>
      </c>
      <c r="G14" s="32">
        <f>'Prefill_8K'!$AS$48</f>
        <v>0.0</v>
      </c>
      <c r="H14" s="32">
        <f>'Decode_1M'!$AS$48</f>
        <v>0.0</v>
      </c>
    </row>
    <row r="15" spans="1:8">
      <c r="A15" s="4" t="s">
        <v>456</v>
      </c>
      <c r="B15" s="33" t="str">
        <f>TEXT(G15,"#,##0.000")&amp;" GB/s"</f>
        <v>0.000 GB/s</v>
      </c>
      <c r="C15" s="33" t="str">
        <f>TEXT(H15,"#,##0.000")&amp;" GB/s"</f>
        <v>0.000 GB/s</v>
      </c>
      <c r="D15" s="4" t="s">
        <v>457</v>
      </c>
      <c r="G15" s="32">
        <f>'Prefill_8K'!$AS$48/(PrefillTargetMs/1000)/1E9</f>
        <v>0.0</v>
      </c>
      <c r="H15" s="32">
        <f>'Decode_1M'!$AS$48/(DecodeTargetMs/1000)/1E9</f>
        <v>0.0</v>
      </c>
    </row>
    <row r="16" spans="1:8">
      <c r="A16" s="4" t="s">
        <v>458</v>
      </c>
      <c r="B16" s="33" t="str">
        <f>TEXT(IF(ABS(G16)&gt;=1E12,G16/1E12,IF(ABS(G16)&gt;=1E9,G16/1E9,IF(ABS(G16)&gt;=1E6,G16/1E6,IF(ABS(G16)&gt;=1E3,G16/1E3,G16)))),"#,##0.000")&amp;IF((IF(ABS(G16)&gt;=1E12,"T",IF(ABS(G16)&gt;=1E9,"G",IF(ABS(G16)&gt;=1E6,"M",IF(ABS(G16)&gt;=1E3,"K","")))))="",""," "&amp;(IF(ABS(G16)&gt;=1E12,"T",IF(ABS(G16)&gt;=1E9,"G",IF(ABS(G16)&gt;=1E6,"M",IF(ABS(G16)&gt;=1E3,"K",""))))))</f>
        <v>5.086 G</v>
      </c>
      <c r="C16" s="33" t="str">
        <f>TEXT(IF(ABS(H16)&gt;=1E12,H16/1E12,IF(ABS(H16)&gt;=1E9,H16/1E9,IF(ABS(H16)&gt;=1E6,H16/1E6,IF(ABS(H16)&gt;=1E3,H16/1E3,H16)))),"#,##0.000")&amp;IF((IF(ABS(H16)&gt;=1E12,"T",IF(ABS(H16)&gt;=1E9,"G",IF(ABS(H16)&gt;=1E6,"M",IF(ABS(H16)&gt;=1E3,"K","")))))="",""," "&amp;(IF(ABS(H16)&gt;=1E12,"T",IF(ABS(H16)&gt;=1E9,"G",IF(ABS(H16)&gt;=1E6,"M",IF(ABS(H16)&gt;=1E3,"K",""))))))</f>
        <v>5.086 G</v>
      </c>
      <c r="D16" s="4" t="s">
        <v>503</v>
      </c>
      <c r="G16" s="32">
        <f>'Prefill_8K'!$AY$49</f>
        <v>5086249088.0</v>
      </c>
      <c r="H16" s="32">
        <f>'Prefill_8K'!$AY$49</f>
        <v>5086249088.0</v>
      </c>
    </row>
    <row r="17" spans="1:8">
      <c r="A17" s="4" t="s">
        <v>460</v>
      </c>
      <c r="B17" s="33" t="str">
        <f>TEXT(IF(ABS(G17)&gt;=1E12,G17/1E12,IF(ABS(G17)&gt;=1E9,G17/1E9,IF(ABS(G17)&gt;=1E6,G17/1E6,IF(ABS(G17)&gt;=1E3,G17/1E3,G17)))),"#,##0.000")&amp;IF((IF(ABS(G17)&gt;=1E12,"T",IF(ABS(G17)&gt;=1E9,"G",IF(ABS(G17)&gt;=1E6,"M",IF(ABS(G17)&gt;=1E3,"K","")))))="",""," "&amp;(IF(ABS(G17)&gt;=1E12,"T",IF(ABS(G17)&gt;=1E9,"G",IF(ABS(G17)&gt;=1E6,"M",IF(ABS(G17)&gt;=1E3,"K",""))))))</f>
        <v>278.155 G</v>
      </c>
      <c r="C17" s="33" t="str">
        <f>TEXT(IF(ABS(H17)&gt;=1E12,H17/1E12,IF(ABS(H17)&gt;=1E9,H17/1E9,IF(ABS(H17)&gt;=1E6,H17/1E6,IF(ABS(H17)&gt;=1E3,H17/1E3,H17)))),"#,##0.000")&amp;IF((IF(ABS(H17)&gt;=1E12,"T",IF(ABS(H17)&gt;=1E9,"G",IF(ABS(H17)&gt;=1E6,"M",IF(ABS(H17)&gt;=1E3,"K","")))))="",""," "&amp;(IF(ABS(H17)&gt;=1E12,"T",IF(ABS(H17)&gt;=1E9,"G",IF(ABS(H17)&gt;=1E6,"M",IF(ABS(H17)&gt;=1E3,"K",""))))))</f>
        <v>278.155 G</v>
      </c>
      <c r="D17" s="4" t="s">
        <v>461</v>
      </c>
      <c r="G17" s="32">
        <f>'Prefill_8K'!$AY$50</f>
        <v>278154947072.0</v>
      </c>
      <c r="H17" s="32">
        <f>'Prefill_8K'!$AY$50</f>
        <v>278154947072.0</v>
      </c>
    </row>
    <row r="18" spans="1:8">
      <c r="A18" s="4" t="s">
        <v>462</v>
      </c>
      <c r="B18" s="33" t="str">
        <f>TEXT(IF(ABS(G18)&gt;=1E12,G18/1E12,IF(ABS(G18)&gt;=1E9,G18/1E9,IF(ABS(G18)&gt;=1E6,G18/1E6,IF(ABS(G18)&gt;=1E3,G18/1E3,G18)))),"#,##0.000")&amp;IF((IF(ABS(G18)&gt;=1E12,"T",IF(ABS(G18)&gt;=1E9,"G",IF(ABS(G18)&gt;=1E6,"M",IF(ABS(G18)&gt;=1E3,"K","")))))="",""," "&amp;(IF(ABS(G18)&gt;=1E12,"T",IF(ABS(G18)&gt;=1E9,"G",IF(ABS(G18)&gt;=1E6,"M",IF(ABS(G18)&gt;=1E3,"K",""))))))</f>
        <v>1.093 G</v>
      </c>
      <c r="C18" s="33" t="str">
        <f>TEXT(IF(ABS(H18)&gt;=1E12,H18/1E12,IF(ABS(H18)&gt;=1E9,H18/1E9,IF(ABS(H18)&gt;=1E6,H18/1E6,IF(ABS(H18)&gt;=1E3,H18/1E3,H18)))),"#,##0.000")&amp;IF((IF(ABS(H18)&gt;=1E12,"T",IF(ABS(H18)&gt;=1E9,"G",IF(ABS(H18)&gt;=1E6,"M",IF(ABS(H18)&gt;=1E3,"K","")))))="",""," "&amp;(IF(ABS(H18)&gt;=1E12,"T",IF(ABS(H18)&gt;=1E9,"G",IF(ABS(H18)&gt;=1E6,"M",IF(ABS(H18)&gt;=1E3,"K",""))))))</f>
        <v>1.093 G</v>
      </c>
      <c r="D18" s="4" t="s">
        <v>504</v>
      </c>
      <c r="G18" s="32">
        <f>'Prefill_8K'!$AY$51</f>
        <v>1093371351.0</v>
      </c>
      <c r="H18" s="32">
        <f>'Prefill_8K'!$AY$51</f>
        <v>1093371351.0</v>
      </c>
    </row>
    <row r="19" spans="1:8">
      <c r="A19" s="31" t="s">
        <v>464</v>
      </c>
      <c r="B19" s="31" t="str">
        <f>TEXT(IF(ABS(G19)&gt;=1E12,G19/1E12,IF(ABS(G19)&gt;=1E9,G19/1E9,IF(ABS(G19)&gt;=1E6,G19/1E6,IF(ABS(G19)&gt;=1E3,G19/1E3,G19)))),"#,##0.000")&amp;IF((IF(ABS(G19)&gt;=1E12,"T",IF(ABS(G19)&gt;=1E9,"G",IF(ABS(G19)&gt;=1E6,"M",IF(ABS(G19)&gt;=1E3,"K","")))))="",""," "&amp;(IF(ABS(G19)&gt;=1E12,"T",IF(ABS(G19)&gt;=1E9,"G",IF(ABS(G19)&gt;=1E6,"M",IF(ABS(G19)&gt;=1E3,"K",""))))))</f>
        <v>284.335 G</v>
      </c>
      <c r="C19" s="31" t="str">
        <f>TEXT(IF(ABS(H19)&gt;=1E12,H19/1E12,IF(ABS(H19)&gt;=1E9,H19/1E9,IF(ABS(H19)&gt;=1E6,H19/1E6,IF(ABS(H19)&gt;=1E3,H19/1E3,H19)))),"#,##0.000")&amp;IF((IF(ABS(H19)&gt;=1E12,"T",IF(ABS(H19)&gt;=1E9,"G",IF(ABS(H19)&gt;=1E6,"M",IF(ABS(H19)&gt;=1E3,"K","")))))="",""," "&amp;(IF(ABS(H19)&gt;=1E12,"T",IF(ABS(H19)&gt;=1E9,"G",IF(ABS(H19)&gt;=1E6,"M",IF(ABS(H19)&gt;=1E3,"K",""))))))</f>
        <v>284.335 G</v>
      </c>
      <c r="D19" s="4" t="s">
        <v>505</v>
      </c>
      <c r="G19" s="32">
        <f>'Prefill_8K'!$AY$52</f>
        <v>284334567511.0</v>
      </c>
      <c r="H19" s="32">
        <f>'Prefill_8K'!$AY$52</f>
        <v>284334567511.0</v>
      </c>
    </row>
    <row r="20" spans="1:8">
      <c r="A20" s="4" t="s">
        <v>466</v>
      </c>
      <c r="B20" s="33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7.451 GB</v>
      </c>
      <c r="C20" s="33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7.451 GB</v>
      </c>
      <c r="D20" s="4" t="s">
        <v>506</v>
      </c>
      <c r="G20" s="32">
        <f>'Prefill_8K'!$BA$49</f>
        <v>7451384960</v>
      </c>
      <c r="H20" s="32">
        <f>'Prefill_8K'!$BA$49</f>
        <v>7451384960</v>
      </c>
    </row>
    <row r="21" spans="1:8">
      <c r="A21" s="4" t="s">
        <v>468</v>
      </c>
      <c r="B21" s="33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148.351 GB</v>
      </c>
      <c r="C21" s="33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148.351 GB</v>
      </c>
      <c r="D21" s="4" t="s">
        <v>507</v>
      </c>
      <c r="G21" s="32">
        <f>'Prefill_8K'!$BA$50</f>
        <v>148351461888.0</v>
      </c>
      <c r="H21" s="32">
        <f>'Prefill_8K'!$BA$50</f>
        <v>148351461888.0</v>
      </c>
    </row>
    <row r="22" spans="1:8">
      <c r="A22" s="4" t="s">
        <v>470</v>
      </c>
      <c r="B22" s="33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3.314 GB</v>
      </c>
      <c r="C22" s="33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3.314 GB</v>
      </c>
      <c r="D22" s="4" t="s">
        <v>504</v>
      </c>
      <c r="G22" s="32">
        <f>'Prefill_8K'!$BA$51</f>
        <v>3314423644.0</v>
      </c>
      <c r="H22" s="32">
        <f>'Prefill_8K'!$BA$51</f>
        <v>3314423644.0</v>
      </c>
    </row>
    <row r="23" spans="1:8">
      <c r="A23" s="31" t="s">
        <v>471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159.117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159.117 GB</v>
      </c>
      <c r="D23" s="4" t="s">
        <v>508</v>
      </c>
      <c r="G23" s="32">
        <f>'Prefill_8K'!$BA$52</f>
        <v>159117270492.0</v>
      </c>
      <c r="H23" s="32">
        <f>'Prefill_8K'!$BA$52</f>
        <v>159117270492.0</v>
      </c>
    </row>
    <row r="24" spans="1:8">
      <c r="A24" s="4" t="s">
        <v>473</v>
      </c>
      <c r="B24" s="33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50.987 MB</v>
      </c>
      <c r="C24" s="33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5.811 GB</v>
      </c>
      <c r="D24" s="4" t="s">
        <v>509</v>
      </c>
      <c r="G24" s="32">
        <f>'Prefill_8K'!$U$35</f>
        <v>50987008</v>
      </c>
      <c r="H24" s="32">
        <f>'Decode_1M'!$U$35</f>
        <v>5810552832</v>
      </c>
    </row>
    <row r="25" spans="1:8">
      <c r="A25" s="4" t="s">
        <v>475</v>
      </c>
      <c r="B25" s="33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11.010 MB</v>
      </c>
      <c r="C25" s="33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1.409 GB</v>
      </c>
      <c r="D25" s="4" t="s">
        <v>509</v>
      </c>
      <c r="G25" s="32">
        <f>'Prefill_8K'!$U$36</f>
        <v>11010048</v>
      </c>
      <c r="H25" s="32">
        <f>'Decode_1M'!$U$36</f>
        <v>1409286144</v>
      </c>
    </row>
    <row r="26" spans="1:8">
      <c r="A26" s="4" t="s">
        <v>476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12.206 MB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12.206 MB</v>
      </c>
      <c r="D26" s="4" t="s">
        <v>509</v>
      </c>
      <c r="G26" s="32">
        <f>'Prefill_8K'!$U$37</f>
        <v>12206080</v>
      </c>
      <c r="H26" s="32">
        <f>'Decode_1M'!$U$37</f>
        <v>12206080</v>
      </c>
    </row>
    <row r="27" spans="1:8">
      <c r="A27" s="4" t="s">
        <v>477</v>
      </c>
      <c r="B27" s="33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7.232 GB</v>
      </c>
      <c r="C27" s="33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7.232 GB</v>
      </c>
      <c r="D27" s="4" t="s">
        <v>509</v>
      </c>
      <c r="G27" s="32">
        <f>'Prefill_8K'!$U$38</f>
        <v>7232045056</v>
      </c>
      <c r="H27" s="32">
        <f>'Decode_1M'!$U$38</f>
        <v>7232045056</v>
      </c>
    </row>
    <row r="28" spans="1:8">
      <c r="A28" s="31" t="s">
        <v>478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166.349 GB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166.349 GB</v>
      </c>
      <c r="D28" s="4" t="s">
        <v>510</v>
      </c>
      <c r="G28" s="32">
        <f>'Prefill_8K'!$BA$52+'Prefill_8K'!$U$38</f>
        <v>166349315548.0</v>
      </c>
      <c r="H28" s="32">
        <f>'Prefill_8K'!$BA$52+'Decode_1M'!$U$38</f>
        <v>166349315548.0</v>
      </c>
    </row>
    <row r="30" spans="1:8">
      <c r="A30" s="30" t="s">
        <v>511</v>
      </c>
      <c r="B30" s="30"/>
      <c r="C30" s="30"/>
      <c r="D30" s="30"/>
    </row>
    <row r="31" spans="1:8">
      <c r="A31" s="3" t="s">
        <v>438</v>
      </c>
      <c r="B31" s="3" t="s">
        <v>497</v>
      </c>
      <c r="C31" s="3" t="s">
        <v>498</v>
      </c>
      <c r="D31" s="3" t="s">
        <v>363</v>
      </c>
    </row>
    <row r="32" spans="1:8">
      <c r="A32" s="4" t="s">
        <v>443</v>
      </c>
      <c r="B32" s="33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23.172 TFLOPs</v>
      </c>
      <c r="C32" s="33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19.452 GFLOPs</v>
      </c>
      <c r="D32" s="4" t="s">
        <v>499</v>
      </c>
      <c r="G32" s="32">
        <f>'Prefill_8K'!$AI$14</f>
        <v>23172382457856.0</v>
      </c>
      <c r="H32" s="32">
        <f>'Decode_1M'!$AI$14</f>
        <v>19452461056.0</v>
      </c>
    </row>
    <row r="33" spans="1:8">
      <c r="A33" s="4" t="s">
        <v>445</v>
      </c>
      <c r="B33" s="33" t="str">
        <f>TEXT(IF(ABS(G33)&gt;=1E15,G33/1E15,IF(ABS(G33)&gt;=1E12,G33/1E12,IF(ABS(G33)&gt;=1E9,G33/1E9,IF(ABS(G33)&gt;=1E6,G33/1E6,G33)))),"#,##0.000")&amp;IF((IF(ABS(G33)&gt;=1E15,"PFLOPs",IF(ABS(G33)&gt;=1E12,"TFLOPs",IF(ABS(G33)&gt;=1E9,"GFLOPs",IF(ABS(G33)&gt;=1E6,"MFLOPs","flops")))))="",""," "&amp;(IF(ABS(G33)&gt;=1E15,"PFLOPs",IF(ABS(G33)&gt;=1E12,"TFLOPs",IF(ABS(G33)&gt;=1E9,"GFLOPs",IF(ABS(G33)&gt;=1E6,"MFLOPs","flops"))))))</f>
        <v>31.766 TFLOPs</v>
      </c>
      <c r="C33" s="33" t="str">
        <f>TEXT(IF(ABS(H33)&gt;=1E15,H33/1E15,IF(ABS(H33)&gt;=1E12,H33/1E12,IF(ABS(H33)&gt;=1E9,H33/1E9,IF(ABS(H33)&gt;=1E6,H33/1E6,H33)))),"#,##0.000")&amp;IF((IF(ABS(H33)&gt;=1E15,"PFLOPs",IF(ABS(H33)&gt;=1E12,"TFLOPs",IF(ABS(H33)&gt;=1E9,"GFLOPs",IF(ABS(H33)&gt;=1E6,"MFLOPs","flops")))))="",""," "&amp;(IF(ABS(H33)&gt;=1E15,"PFLOPs",IF(ABS(H33)&gt;=1E12,"TFLOPs",IF(ABS(H33)&gt;=1E9,"GFLOPs",IF(ABS(H33)&gt;=1E6,"MFLOPs","flops"))))))</f>
        <v>3.878 GFLOPs</v>
      </c>
      <c r="D33" s="4" t="s">
        <v>499</v>
      </c>
      <c r="G33" s="32">
        <f>'Prefill_8K'!$AI$15</f>
        <v>31765578121216.0</v>
      </c>
      <c r="H33" s="32">
        <f>'Decode_1M'!$AI$15</f>
        <v>3877634048.0</v>
      </c>
    </row>
    <row r="34" spans="1:8">
      <c r="A34" s="4" t="s">
        <v>446</v>
      </c>
      <c r="B34" s="33" t="str">
        <f>TEXT(IF(ABS(G34)&gt;=1E15,G34/1E15,IF(ABS(G34)&gt;=1E12,G34/1E12,IF(ABS(G34)&gt;=1E9,G34/1E9,IF(ABS(G34)&gt;=1E6,G34/1E6,G34)))),"#,##0.000")&amp;IF((IF(ABS(G34)&gt;=1E15,"PFLOPs",IF(ABS(G34)&gt;=1E12,"TFLOPs",IF(ABS(G34)&gt;=1E9,"GFLOPs",IF(ABS(G34)&gt;=1E6,"MFLOPs","flops")))))="",""," "&amp;(IF(ABS(G34)&gt;=1E15,"PFLOPs",IF(ABS(G34)&gt;=1E12,"TFLOPs",IF(ABS(G34)&gt;=1E9,"GFLOPs",IF(ABS(G34)&gt;=1E6,"MFLOPs","flops"))))))</f>
        <v>714.608 GFLOPs</v>
      </c>
      <c r="C34" s="33" t="str">
        <f>TEXT(IF(ABS(H34)&gt;=1E15,H34/1E15,IF(ABS(H34)&gt;=1E12,H34/1E12,IF(ABS(H34)&gt;=1E9,H34/1E9,IF(ABS(H34)&gt;=1E6,H34/1E6,H34)))),"#,##0.000")&amp;IF((IF(ABS(H34)&gt;=1E15,"PFLOPs",IF(ABS(H34)&gt;=1E12,"TFLOPs",IF(ABS(H34)&gt;=1E9,"GFLOPs",IF(ABS(H34)&gt;=1E6,"MFLOPs","flops")))))="",""," "&amp;(IF(ABS(H34)&gt;=1E15,"PFLOPs",IF(ABS(H34)&gt;=1E12,"TFLOPs",IF(ABS(H34)&gt;=1E9,"GFLOPs",IF(ABS(H34)&gt;=1E6,"MFLOPs","flops"))))))</f>
        <v>219.599 MFLOPs</v>
      </c>
      <c r="D34" s="4" t="s">
        <v>499</v>
      </c>
      <c r="G34" s="32">
        <f>'Prefill_8K'!$AP$48</f>
        <v>714608328704.0</v>
      </c>
      <c r="H34" s="32">
        <f>'Decode_1M'!$AP$48</f>
        <v>219599022.0</v>
      </c>
    </row>
    <row r="35" spans="1:8">
      <c r="A35" s="31" t="s">
        <v>447</v>
      </c>
      <c r="B35" s="31" t="str">
        <f>TEXT(IF(ABS(G35)&gt;=1E15,G35/1E15,IF(ABS(G35)&gt;=1E12,G35/1E12,IF(ABS(G35)&gt;=1E9,G35/1E9,IF(ABS(G35)&gt;=1E6,G35/1E6,G35)))),"#,##0.000")&amp;IF((IF(ABS(G35)&gt;=1E15,"PFLOPs",IF(ABS(G35)&gt;=1E12,"TFLOPs",IF(ABS(G35)&gt;=1E9,"GFLOPs",IF(ABS(G35)&gt;=1E6,"MFLOPs","flops")))))="",""," "&amp;(IF(ABS(G35)&gt;=1E15,"PFLOPs",IF(ABS(G35)&gt;=1E12,"TFLOPs",IF(ABS(G35)&gt;=1E9,"GFLOPs",IF(ABS(G35)&gt;=1E6,"MFLOPs","flops"))))))</f>
        <v>55.653 TFLOPs</v>
      </c>
      <c r="C35" s="31" t="str">
        <f>TEXT(IF(ABS(H35)&gt;=1E15,H35/1E15,IF(ABS(H35)&gt;=1E12,H35/1E12,IF(ABS(H35)&gt;=1E9,H35/1E9,IF(ABS(H35)&gt;=1E6,H35/1E6,H35)))),"#,##0.000")&amp;IF((IF(ABS(H35)&gt;=1E15,"PFLOPs",IF(ABS(H35)&gt;=1E12,"TFLOPs",IF(ABS(H35)&gt;=1E9,"GFLOPs",IF(ABS(H35)&gt;=1E6,"MFLOPs","flops")))))="",""," "&amp;(IF(ABS(H35)&gt;=1E15,"PFLOPs",IF(ABS(H35)&gt;=1E12,"TFLOPs",IF(ABS(H35)&gt;=1E9,"GFLOPs",IF(ABS(H35)&gt;=1E6,"MFLOPs","flops"))))))</f>
        <v>23.550 GFLOPs</v>
      </c>
      <c r="D35" s="4" t="s">
        <v>499</v>
      </c>
      <c r="G35" s="32">
        <f>'Prefill_8K'!$AI$13</f>
        <v>55652568907776.0</v>
      </c>
      <c r="H35" s="32">
        <f>'Decode_1M'!$AI$13</f>
        <v>23549694126.0</v>
      </c>
    </row>
    <row r="36" spans="1:8">
      <c r="A36" s="4" t="s">
        <v>448</v>
      </c>
      <c r="B36" s="33" t="str">
        <f>TEXT(G36,"#,##0.000")&amp;" GB/s"</f>
        <v>231.532 GB/s</v>
      </c>
      <c r="C36" s="33" t="str">
        <f>TEXT(H36,"#,##0.000")&amp;" GB/s"</f>
        <v>403.523 GB/s</v>
      </c>
      <c r="D36" s="4" t="s">
        <v>500</v>
      </c>
      <c r="G36" s="32">
        <f>'Prefill_8K'!$AJ$14/(PrefillTargetMs/1000)/1E9</f>
        <v>231.531806144</v>
      </c>
      <c r="H36" s="32">
        <f>'Decode_1M'!$AJ$14/(DecodeTargetMs/1000)/1E9</f>
        <v>403.5232528</v>
      </c>
    </row>
    <row r="37" spans="1:8">
      <c r="A37" s="4" t="s">
        <v>450</v>
      </c>
      <c r="B37" s="33" t="str">
        <f>TEXT(G37,"#,##0.000")&amp;" GB/s"</f>
        <v>32.915 GB/s</v>
      </c>
      <c r="C37" s="33" t="str">
        <f>TEXT(H37,"#,##0.000")&amp;" GB/s"</f>
        <v>160.521 GB/s</v>
      </c>
      <c r="D37" s="4" t="s">
        <v>500</v>
      </c>
      <c r="G37" s="32">
        <f>'Prefill_8K'!$AJ$15/(PrefillTargetMs/1000)/1E9</f>
        <v>32.915497472</v>
      </c>
      <c r="H37" s="32">
        <f>'Decode_1M'!$AJ$15/(DecodeTargetMs/1000)/1E9</f>
        <v>160.5205576</v>
      </c>
    </row>
    <row r="38" spans="1:8">
      <c r="A38" s="4" t="s">
        <v>451</v>
      </c>
      <c r="B38" s="33" t="str">
        <f>TEXT(G38,"#,##0.000")&amp;" GB/s"</f>
        <v>104.891 GB/s</v>
      </c>
      <c r="C38" s="33" t="str">
        <f>TEXT(H38,"#,##0.000")&amp;" GB/s"</f>
        <v>41.483 GB/s</v>
      </c>
      <c r="D38" s="4" t="s">
        <v>500</v>
      </c>
      <c r="G38" s="32">
        <f>'Prefill_8K'!$AR$48/(PrefillTargetMs/1000)/1E9</f>
        <v>104.890576444</v>
      </c>
      <c r="H38" s="32">
        <f>'Decode_1M'!$AR$48/(DecodeTargetMs/1000)/1E9</f>
        <v>41.483014</v>
      </c>
    </row>
    <row r="39" spans="1:8">
      <c r="A39" s="4" t="s">
        <v>480</v>
      </c>
      <c r="B39" s="33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55.653 TFLOPs</v>
      </c>
      <c r="C39" s="33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23.550 GFLOPs</v>
      </c>
      <c r="D39" s="4" t="s">
        <v>501</v>
      </c>
      <c r="G39" s="32">
        <f>'Prefill_8K'!$AI$13</f>
        <v>55652568907776.0</v>
      </c>
      <c r="H39" s="32">
        <f>'Decode_1M'!$AI$13</f>
        <v>23549694126.0</v>
      </c>
    </row>
    <row r="40" spans="1:8">
      <c r="A40" s="4" t="s">
        <v>454</v>
      </c>
      <c r="B40" s="33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40.635 GB</v>
      </c>
      <c r="C40" s="33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5.865 MB</v>
      </c>
      <c r="D40" s="4" t="s">
        <v>502</v>
      </c>
      <c r="G40" s="32">
        <f>'Prefill_8K'!$AT$48</f>
        <v>40635322112.0</v>
      </c>
      <c r="H40" s="32">
        <f>'Decode_1M'!$AT$48</f>
        <v>5865216.0</v>
      </c>
    </row>
    <row r="41" spans="1:8">
      <c r="A41" s="4" t="s">
        <v>456</v>
      </c>
      <c r="B41" s="33" t="str">
        <f>TEXT(G41,"#,##0.000")&amp;" GB/s"</f>
        <v>40.635 GB/s</v>
      </c>
      <c r="C41" s="33" t="str">
        <f>TEXT(H41,"#,##0.000")&amp;" GB/s"</f>
        <v>0.587 GB/s</v>
      </c>
      <c r="D41" s="4" t="s">
        <v>457</v>
      </c>
      <c r="G41" s="32">
        <f>'Prefill_8K'!$AT$48/(PrefillTargetMs/1000)/1E9</f>
        <v>40.635322112</v>
      </c>
      <c r="H41" s="32">
        <f>'Decode_1M'!$AT$48/(DecodeTargetMs/1000)/1E9</f>
        <v>0.5865216</v>
      </c>
    </row>
    <row r="42" spans="1:8">
      <c r="A42" s="4" t="s">
        <v>458</v>
      </c>
      <c r="B42" s="33" t="str">
        <f>TEXT(IF(ABS(G42)&gt;=1E12,G42/1E12,IF(ABS(G42)&gt;=1E9,G42/1E9,IF(ABS(G42)&gt;=1E6,G42/1E6,IF(ABS(G42)&gt;=1E3,G42/1E3,G42)))),"#,##0.000")&amp;IF((IF(ABS(G42)&gt;=1E12,"T",IF(ABS(G42)&gt;=1E9,"G",IF(ABS(G42)&gt;=1E6,"M",IF(ABS(G42)&gt;=1E3,"K","")))))="",""," "&amp;(IF(ABS(G42)&gt;=1E12,"T",IF(ABS(G42)&gt;=1E9,"G",IF(ABS(G42)&gt;=1E6,"M",IF(ABS(G42)&gt;=1E3,"K",""))))))</f>
        <v>1.140 G</v>
      </c>
      <c r="C42" s="33" t="str">
        <f>TEXT(IF(ABS(H42)&gt;=1E12,H42/1E12,IF(ABS(H42)&gt;=1E9,H42/1E9,IF(ABS(H42)&gt;=1E6,H42/1E6,IF(ABS(H42)&gt;=1E3,H42/1E3,H42)))),"#,##0.000")&amp;IF((IF(ABS(H42)&gt;=1E12,"T",IF(ABS(H42)&gt;=1E9,"G",IF(ABS(H42)&gt;=1E6,"M",IF(ABS(H42)&gt;=1E3,"K","")))))="",""," "&amp;(IF(ABS(H42)&gt;=1E12,"T",IF(ABS(H42)&gt;=1E9,"G",IF(ABS(H42)&gt;=1E6,"M",IF(ABS(H42)&gt;=1E3,"K",""))))))</f>
        <v>1.140 G</v>
      </c>
      <c r="D42" s="4" t="s">
        <v>503</v>
      </c>
      <c r="G42" s="32">
        <f>'Prefill_8K'!$AZ$49</f>
        <v>1139835008.0</v>
      </c>
      <c r="H42" s="32">
        <f>'Prefill_8K'!$AZ$49</f>
        <v>1139835008.0</v>
      </c>
    </row>
    <row r="43" spans="1:8">
      <c r="A43" s="4" t="s">
        <v>460</v>
      </c>
      <c r="B43" s="33" t="str">
        <f>TEXT(IF(ABS(G43)&gt;=1E12,G43/1E12,IF(ABS(G43)&gt;=1E9,G43/1E9,IF(ABS(G43)&gt;=1E6,G43/1E6,IF(ABS(G43)&gt;=1E3,G43/1E3,G43)))),"#,##0.000")&amp;IF((IF(ABS(G43)&gt;=1E12,"T",IF(ABS(G43)&gt;=1E9,"G",IF(ABS(G43)&gt;=1E6,"M",IF(ABS(G43)&gt;=1E3,"K","")))))="",""," "&amp;(IF(ABS(G43)&gt;=1E12,"T",IF(ABS(G43)&gt;=1E9,"G",IF(ABS(G43)&gt;=1E6,"M",IF(ABS(G43)&gt;=1E3,"K",""))))))</f>
        <v>35.758 G</v>
      </c>
      <c r="C43" s="33" t="str">
        <f>TEXT(IF(ABS(H43)&gt;=1E12,H43/1E12,IF(ABS(H43)&gt;=1E9,H43/1E9,IF(ABS(H43)&gt;=1E6,H43/1E6,IF(ABS(H43)&gt;=1E3,H43/1E3,H43)))),"#,##0.000")&amp;IF((IF(ABS(H43)&gt;=1E12,"T",IF(ABS(H43)&gt;=1E9,"G",IF(ABS(H43)&gt;=1E6,"M",IF(ABS(H43)&gt;=1E3,"K","")))))="",""," "&amp;(IF(ABS(H43)&gt;=1E12,"T",IF(ABS(H43)&gt;=1E9,"G",IF(ABS(H43)&gt;=1E6,"M",IF(ABS(H43)&gt;=1E3,"K",""))))))</f>
        <v>35.758 G</v>
      </c>
      <c r="D43" s="4" t="s">
        <v>461</v>
      </c>
      <c r="G43" s="32">
        <f>'Prefill_8K'!$AZ$50</f>
        <v>35757730304.0</v>
      </c>
      <c r="H43" s="32">
        <f>'Prefill_8K'!$AZ$50</f>
        <v>35757730304.0</v>
      </c>
    </row>
    <row r="44" spans="1:8">
      <c r="A44" s="4" t="s">
        <v>462</v>
      </c>
      <c r="B44" s="33" t="str">
        <f>TEXT(IF(ABS(G44)&gt;=1E12,G44/1E12,IF(ABS(G44)&gt;=1E9,G44/1E9,IF(ABS(G44)&gt;=1E6,G44/1E6,IF(ABS(G44)&gt;=1E3,G44/1E3,G44)))),"#,##0.000")&amp;IF((IF(ABS(G44)&gt;=1E12,"T",IF(ABS(G44)&gt;=1E9,"G",IF(ABS(G44)&gt;=1E6,"M",IF(ABS(G44)&gt;=1E3,"K","")))))="",""," "&amp;(IF(ABS(G44)&gt;=1E12,"T",IF(ABS(G44)&gt;=1E9,"G",IF(ABS(G44)&gt;=1E6,"M",IF(ABS(G44)&gt;=1E3,"K",""))))))</f>
        <v>166.690 M</v>
      </c>
      <c r="C44" s="33" t="str">
        <f>TEXT(IF(ABS(H44)&gt;=1E12,H44/1E12,IF(ABS(H44)&gt;=1E9,H44/1E9,IF(ABS(H44)&gt;=1E6,H44/1E6,IF(ABS(H44)&gt;=1E3,H44/1E3,H44)))),"#,##0.000")&amp;IF((IF(ABS(H44)&gt;=1E12,"T",IF(ABS(H44)&gt;=1E9,"G",IF(ABS(H44)&gt;=1E6,"M",IF(ABS(H44)&gt;=1E3,"K","")))))="",""," "&amp;(IF(ABS(H44)&gt;=1E12,"T",IF(ABS(H44)&gt;=1E9,"G",IF(ABS(H44)&gt;=1E6,"M",IF(ABS(H44)&gt;=1E3,"K",""))))))</f>
        <v>166.690 M</v>
      </c>
      <c r="D44" s="4" t="s">
        <v>504</v>
      </c>
      <c r="G44" s="32">
        <f>'Prefill_8K'!$AZ$51</f>
        <v>166689903.0</v>
      </c>
      <c r="H44" s="32">
        <f>'Prefill_8K'!$AZ$51</f>
        <v>166689903.0</v>
      </c>
    </row>
    <row r="45" spans="1:8">
      <c r="A45" s="31" t="s">
        <v>464</v>
      </c>
      <c r="B45" s="31" t="str">
        <f>TEXT(IF(ABS(G45)&gt;=1E12,G45/1E12,IF(ABS(G45)&gt;=1E9,G45/1E9,IF(ABS(G45)&gt;=1E6,G45/1E6,IF(ABS(G45)&gt;=1E3,G45/1E3,G45)))),"#,##0.000")&amp;IF((IF(ABS(G45)&gt;=1E12,"T",IF(ABS(G45)&gt;=1E9,"G",IF(ABS(G45)&gt;=1E6,"M",IF(ABS(G45)&gt;=1E3,"K","")))))="",""," "&amp;(IF(ABS(G45)&gt;=1E12,"T",IF(ABS(G45)&gt;=1E9,"G",IF(ABS(G45)&gt;=1E6,"M",IF(ABS(G45)&gt;=1E3,"K",""))))))</f>
        <v>37.064 G</v>
      </c>
      <c r="C45" s="31" t="str">
        <f>TEXT(IF(ABS(H45)&gt;=1E12,H45/1E12,IF(ABS(H45)&gt;=1E9,H45/1E9,IF(ABS(H45)&gt;=1E6,H45/1E6,IF(ABS(H45)&gt;=1E3,H45/1E3,H45)))),"#,##0.000")&amp;IF((IF(ABS(H45)&gt;=1E12,"T",IF(ABS(H45)&gt;=1E9,"G",IF(ABS(H45)&gt;=1E6,"M",IF(ABS(H45)&gt;=1E3,"K","")))))="",""," "&amp;(IF(ABS(H45)&gt;=1E12,"T",IF(ABS(H45)&gt;=1E9,"G",IF(ABS(H45)&gt;=1E6,"M",IF(ABS(H45)&gt;=1E3,"K",""))))))</f>
        <v>37.064 G</v>
      </c>
      <c r="D45" s="4" t="s">
        <v>505</v>
      </c>
      <c r="G45" s="32">
        <f>'Prefill_8K'!$AZ$52</f>
        <v>37064255215.0</v>
      </c>
      <c r="H45" s="32">
        <f>'Prefill_8K'!$AZ$52</f>
        <v>37064255215.0</v>
      </c>
    </row>
    <row r="46" spans="1:8">
      <c r="A46" s="4" t="s">
        <v>466</v>
      </c>
      <c r="B46" s="33" t="str">
        <f>TEXT(IF(ABS(G46)&gt;=1E12,G46/1E12,IF(ABS(G46)&gt;=1E9,G46/1E9,IF(ABS(G46)&gt;=1E6,G46/1E6,IF(ABS(G46)&gt;=1E3,G46/1E3,G46)))),"#,##0.000")&amp;IF((IF(ABS(G46)&gt;=1E12,"TB",IF(ABS(G46)&gt;=1E9,"GB",IF(ABS(G46)&gt;=1E6,"MB",IF(ABS(G46)&gt;=1E3,"KB","bytes")))))="",""," "&amp;(IF(ABS(G46)&gt;=1E12,"TB",IF(ABS(G46)&gt;=1E9,"GB",IF(ABS(G46)&gt;=1E6,"MB",IF(ABS(G46)&gt;=1E3,"KB","bytes"))))))</f>
        <v>2.238 GB</v>
      </c>
      <c r="C46" s="33" t="str">
        <f>TEXT(IF(ABS(H46)&gt;=1E12,H46/1E12,IF(ABS(H46)&gt;=1E9,H46/1E9,IF(ABS(H46)&gt;=1E6,H46/1E6,IF(ABS(H46)&gt;=1E3,H46/1E3,H46)))),"#,##0.000")&amp;IF((IF(ABS(H46)&gt;=1E12,"TB",IF(ABS(H46)&gt;=1E9,"GB",IF(ABS(H46)&gt;=1E6,"MB",IF(ABS(H46)&gt;=1E3,"KB","bytes")))))="",""," "&amp;(IF(ABS(H46)&gt;=1E12,"TB",IF(ABS(H46)&gt;=1E9,"GB",IF(ABS(H46)&gt;=1E6,"MB",IF(ABS(H46)&gt;=1E3,"KB","bytes"))))))</f>
        <v>2.238 GB</v>
      </c>
      <c r="D46" s="4" t="s">
        <v>506</v>
      </c>
      <c r="G46" s="32">
        <f>'Prefill_8K'!$BB$49</f>
        <v>2237504960</v>
      </c>
      <c r="H46" s="32">
        <f>'Prefill_8K'!$BB$49</f>
        <v>2237504960</v>
      </c>
    </row>
    <row r="47" spans="1:8">
      <c r="A47" s="4" t="s">
        <v>468</v>
      </c>
      <c r="B47" s="33" t="str">
        <f>TEXT(IF(ABS(G47)&gt;=1E12,G47/1E12,IF(ABS(G47)&gt;=1E9,G47/1E9,IF(ABS(G47)&gt;=1E6,G47/1E6,IF(ABS(G47)&gt;=1E3,G47/1E3,G47)))),"#,##0.000")&amp;IF((IF(ABS(G47)&gt;=1E12,"TB",IF(ABS(G47)&gt;=1E9,"GB",IF(ABS(G47)&gt;=1E6,"MB",IF(ABS(G47)&gt;=1E3,"KB","bytes")))))="",""," "&amp;(IF(ABS(G47)&gt;=1E12,"TB",IF(ABS(G47)&gt;=1E9,"GB",IF(ABS(G47)&gt;=1E6,"MB",IF(ABS(G47)&gt;=1E3,"KB","bytes"))))))</f>
        <v>19.578 GB</v>
      </c>
      <c r="C47" s="33" t="str">
        <f>TEXT(IF(ABS(H47)&gt;=1E12,H47/1E12,IF(ABS(H47)&gt;=1E9,H47/1E9,IF(ABS(H47)&gt;=1E6,H47/1E6,IF(ABS(H47)&gt;=1E3,H47/1E3,H47)))),"#,##0.000")&amp;IF((IF(ABS(H47)&gt;=1E12,"TB",IF(ABS(H47)&gt;=1E9,"GB",IF(ABS(H47)&gt;=1E6,"MB",IF(ABS(H47)&gt;=1E3,"KB","bytes")))))="",""," "&amp;(IF(ABS(H47)&gt;=1E12,"TB",IF(ABS(H47)&gt;=1E9,"GB",IF(ABS(H47)&gt;=1E6,"MB",IF(ABS(H47)&gt;=1E3,"KB","bytes"))))))</f>
        <v>19.578 GB</v>
      </c>
      <c r="D47" s="4" t="s">
        <v>507</v>
      </c>
      <c r="G47" s="32">
        <f>'Prefill_8K'!$BB$50</f>
        <v>19577940480.0</v>
      </c>
      <c r="H47" s="32">
        <f>'Prefill_8K'!$BB$50</f>
        <v>19577940480.0</v>
      </c>
    </row>
    <row r="48" spans="1:8">
      <c r="A48" s="4" t="s">
        <v>470</v>
      </c>
      <c r="B48" s="33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534.377 MB</v>
      </c>
      <c r="C48" s="33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534.377 MB</v>
      </c>
      <c r="D48" s="4" t="s">
        <v>504</v>
      </c>
      <c r="G48" s="32">
        <f>'Prefill_8K'!$BB$51</f>
        <v>534376892.0</v>
      </c>
      <c r="H48" s="32">
        <f>'Prefill_8K'!$BB$51</f>
        <v>534376892.0</v>
      </c>
    </row>
    <row r="49" spans="1:8">
      <c r="A49" s="31" t="s">
        <v>471</v>
      </c>
      <c r="B49" s="31" t="str">
        <f>TEXT(IF(ABS(G49)&gt;=1E12,G49/1E12,IF(ABS(G49)&gt;=1E9,G49/1E9,IF(ABS(G49)&gt;=1E6,G49/1E6,IF(ABS(G49)&gt;=1E3,G49/1E3,G49)))),"#,##0.000")&amp;IF((IF(ABS(G49)&gt;=1E12,"TB",IF(ABS(G49)&gt;=1E9,"GB",IF(ABS(G49)&gt;=1E6,"MB",IF(ABS(G49)&gt;=1E3,"KB","bytes")))))="",""," "&amp;(IF(ABS(G49)&gt;=1E12,"TB",IF(ABS(G49)&gt;=1E9,"GB",IF(ABS(G49)&gt;=1E6,"MB",IF(ABS(G49)&gt;=1E3,"KB","bytes"))))))</f>
        <v>22.350 GB</v>
      </c>
      <c r="C49" s="31" t="str">
        <f>TEXT(IF(ABS(H49)&gt;=1E12,H49/1E12,IF(ABS(H49)&gt;=1E9,H49/1E9,IF(ABS(H49)&gt;=1E6,H49/1E6,IF(ABS(H49)&gt;=1E3,H49/1E3,H49)))),"#,##0.000")&amp;IF((IF(ABS(H49)&gt;=1E12,"TB",IF(ABS(H49)&gt;=1E9,"GB",IF(ABS(H49)&gt;=1E6,"MB",IF(ABS(H49)&gt;=1E3,"KB","bytes")))))="",""," "&amp;(IF(ABS(H49)&gt;=1E12,"TB",IF(ABS(H49)&gt;=1E9,"GB",IF(ABS(H49)&gt;=1E6,"MB",IF(ABS(H49)&gt;=1E3,"KB","bytes"))))))</f>
        <v>22.350 GB</v>
      </c>
      <c r="D49" s="4" t="s">
        <v>508</v>
      </c>
      <c r="G49" s="32">
        <f>'Prefill_8K'!$BB$52</f>
        <v>22349822332.0</v>
      </c>
      <c r="H49" s="32">
        <f>'Prefill_8K'!$BB$52</f>
        <v>22349822332.0</v>
      </c>
    </row>
    <row r="50" spans="1:8">
      <c r="A50" s="4" t="s">
        <v>473</v>
      </c>
      <c r="B50" s="33" t="str">
        <f>TEXT(IF(ABS(G50)&gt;=1E12,G50/1E12,IF(ABS(G50)&gt;=1E9,G50/1E9,IF(ABS(G50)&gt;=1E6,G50/1E6,IF(ABS(G50)&gt;=1E3,G50/1E3,G50)))),"#,##0.000")&amp;IF((IF(ABS(G50)&gt;=1E12,"TB",IF(ABS(G50)&gt;=1E9,"GB",IF(ABS(G50)&gt;=1E6,"MB",IF(ABS(G50)&gt;=1E3,"KB","bytes")))))="",""," "&amp;(IF(ABS(G50)&gt;=1E12,"TB",IF(ABS(G50)&gt;=1E9,"GB",IF(ABS(G50)&gt;=1E6,"MB",IF(ABS(G50)&gt;=1E3,"KB","bytes"))))))</f>
        <v>50.987 MB</v>
      </c>
      <c r="C50" s="33" t="str">
        <f>TEXT(IF(ABS(H50)&gt;=1E12,H50/1E12,IF(ABS(H50)&gt;=1E9,H50/1E9,IF(ABS(H50)&gt;=1E6,H50/1E6,IF(ABS(H50)&gt;=1E3,H50/1E3,H50)))),"#,##0.000")&amp;IF((IF(ABS(H50)&gt;=1E12,"TB",IF(ABS(H50)&gt;=1E9,"GB",IF(ABS(H50)&gt;=1E6,"MB",IF(ABS(H50)&gt;=1E3,"KB","bytes")))))="",""," "&amp;(IF(ABS(H50)&gt;=1E12,"TB",IF(ABS(H50)&gt;=1E9,"GB",IF(ABS(H50)&gt;=1E6,"MB",IF(ABS(H50)&gt;=1E3,"KB","bytes"))))))</f>
        <v>5.811 GB</v>
      </c>
      <c r="D50" s="4" t="s">
        <v>509</v>
      </c>
      <c r="G50" s="32">
        <f>'Prefill_8K'!$X$35</f>
        <v>50987008</v>
      </c>
      <c r="H50" s="32">
        <f>'Decode_1M'!$X$35</f>
        <v>5810552832</v>
      </c>
    </row>
    <row r="51" spans="1:8">
      <c r="A51" s="4" t="s">
        <v>475</v>
      </c>
      <c r="B51" s="33" t="str">
        <f>TEXT(IF(ABS(G51)&gt;=1E12,G51/1E12,IF(ABS(G51)&gt;=1E9,G51/1E9,IF(ABS(G51)&gt;=1E6,G51/1E6,IF(ABS(G51)&gt;=1E3,G51/1E3,G51)))),"#,##0.000")&amp;IF((IF(ABS(G51)&gt;=1E12,"TB",IF(ABS(G51)&gt;=1E9,"GB",IF(ABS(G51)&gt;=1E6,"MB",IF(ABS(G51)&gt;=1E3,"KB","bytes")))))="",""," "&amp;(IF(ABS(G51)&gt;=1E12,"TB",IF(ABS(G51)&gt;=1E9,"GB",IF(ABS(G51)&gt;=1E6,"MB",IF(ABS(G51)&gt;=1E3,"KB","bytes"))))))</f>
        <v>11.010 MB</v>
      </c>
      <c r="C51" s="33" t="str">
        <f>TEXT(IF(ABS(H51)&gt;=1E12,H51/1E12,IF(ABS(H51)&gt;=1E9,H51/1E9,IF(ABS(H51)&gt;=1E6,H51/1E6,IF(ABS(H51)&gt;=1E3,H51/1E3,H51)))),"#,##0.000")&amp;IF((IF(ABS(H51)&gt;=1E12,"TB",IF(ABS(H51)&gt;=1E9,"GB",IF(ABS(H51)&gt;=1E6,"MB",IF(ABS(H51)&gt;=1E3,"KB","bytes")))))="",""," "&amp;(IF(ABS(H51)&gt;=1E12,"TB",IF(ABS(H51)&gt;=1E9,"GB",IF(ABS(H51)&gt;=1E6,"MB",IF(ABS(H51)&gt;=1E3,"KB","bytes"))))))</f>
        <v>1.409 GB</v>
      </c>
      <c r="D51" s="4" t="s">
        <v>509</v>
      </c>
      <c r="G51" s="32">
        <f>'Prefill_8K'!$X$36</f>
        <v>11010048</v>
      </c>
      <c r="H51" s="32">
        <f>'Decode_1M'!$X$36</f>
        <v>1409286144</v>
      </c>
    </row>
    <row r="52" spans="1:8">
      <c r="A52" s="4" t="s">
        <v>476</v>
      </c>
      <c r="B52" s="33" t="str">
        <f>TEXT(IF(ABS(G52)&gt;=1E12,G52/1E12,IF(ABS(G52)&gt;=1E9,G52/1E9,IF(ABS(G52)&gt;=1E6,G52/1E6,IF(ABS(G52)&gt;=1E3,G52/1E3,G52)))),"#,##0.000")&amp;IF((IF(ABS(G52)&gt;=1E12,"TB",IF(ABS(G52)&gt;=1E9,"GB",IF(ABS(G52)&gt;=1E6,"MB",IF(ABS(G52)&gt;=1E3,"KB","bytes")))))="",""," "&amp;(IF(ABS(G52)&gt;=1E12,"TB",IF(ABS(G52)&gt;=1E9,"GB",IF(ABS(G52)&gt;=1E6,"MB",IF(ABS(G52)&gt;=1E3,"KB","bytes"))))))</f>
        <v>12.206 MB</v>
      </c>
      <c r="C52" s="33" t="str">
        <f>TEXT(IF(ABS(H52)&gt;=1E12,H52/1E12,IF(ABS(H52)&gt;=1E9,H52/1E9,IF(ABS(H52)&gt;=1E6,H52/1E6,IF(ABS(H52)&gt;=1E3,H52/1E3,H52)))),"#,##0.000")&amp;IF((IF(ABS(H52)&gt;=1E12,"TB",IF(ABS(H52)&gt;=1E9,"GB",IF(ABS(H52)&gt;=1E6,"MB",IF(ABS(H52)&gt;=1E3,"KB","bytes")))))="",""," "&amp;(IF(ABS(H52)&gt;=1E12,"TB",IF(ABS(H52)&gt;=1E9,"GB",IF(ABS(H52)&gt;=1E6,"MB",IF(ABS(H52)&gt;=1E3,"KB","bytes"))))))</f>
        <v>12.206 MB</v>
      </c>
      <c r="D52" s="4" t="s">
        <v>509</v>
      </c>
      <c r="G52" s="32">
        <f>'Prefill_8K'!$X$37</f>
        <v>12206080</v>
      </c>
      <c r="H52" s="32">
        <f>'Decode_1M'!$X$37</f>
        <v>12206080</v>
      </c>
    </row>
    <row r="53" spans="1:8">
      <c r="A53" s="4" t="s">
        <v>477</v>
      </c>
      <c r="B53" s="33" t="str">
        <f>TEXT(IF(ABS(G53)&gt;=1E12,G53/1E12,IF(ABS(G53)&gt;=1E9,G53/1E9,IF(ABS(G53)&gt;=1E6,G53/1E6,IF(ABS(G53)&gt;=1E3,G53/1E3,G53)))),"#,##0.000")&amp;IF((IF(ABS(G53)&gt;=1E12,"TB",IF(ABS(G53)&gt;=1E9,"GB",IF(ABS(G53)&gt;=1E6,"MB",IF(ABS(G53)&gt;=1E3,"KB","bytes")))))="",""," "&amp;(IF(ABS(G53)&gt;=1E12,"TB",IF(ABS(G53)&gt;=1E9,"GB",IF(ABS(G53)&gt;=1E6,"MB",IF(ABS(G53)&gt;=1E3,"KB","bytes"))))))</f>
        <v>7.232 GB</v>
      </c>
      <c r="C53" s="33" t="str">
        <f>TEXT(IF(ABS(H53)&gt;=1E12,H53/1E12,IF(ABS(H53)&gt;=1E9,H53/1E9,IF(ABS(H53)&gt;=1E6,H53/1E6,IF(ABS(H53)&gt;=1E3,H53/1E3,H53)))),"#,##0.000")&amp;IF((IF(ABS(H53)&gt;=1E12,"TB",IF(ABS(H53)&gt;=1E9,"GB",IF(ABS(H53)&gt;=1E6,"MB",IF(ABS(H53)&gt;=1E3,"KB","bytes")))))="",""," "&amp;(IF(ABS(H53)&gt;=1E12,"TB",IF(ABS(H53)&gt;=1E9,"GB",IF(ABS(H53)&gt;=1E6,"MB",IF(ABS(H53)&gt;=1E3,"KB","bytes"))))))</f>
        <v>7.232 GB</v>
      </c>
      <c r="D53" s="4" t="s">
        <v>509</v>
      </c>
      <c r="G53" s="32">
        <f>'Prefill_8K'!$X$38</f>
        <v>7232045056</v>
      </c>
      <c r="H53" s="32">
        <f>'Decode_1M'!$X$38</f>
        <v>7232045056</v>
      </c>
    </row>
    <row r="54" spans="1:8">
      <c r="A54" s="31" t="s">
        <v>478</v>
      </c>
      <c r="B54" s="31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29.582 GB</v>
      </c>
      <c r="C54" s="31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29.582 GB</v>
      </c>
      <c r="D54" s="4" t="s">
        <v>510</v>
      </c>
      <c r="G54" s="32">
        <f>'Prefill_8K'!$BB$52+'Prefill_8K'!$X$38</f>
        <v>29581867388.0</v>
      </c>
      <c r="H54" s="32">
        <f>'Prefill_8K'!$BB$52+'Decode_1M'!$X$38</f>
        <v>29581867388.0</v>
      </c>
    </row>
  </sheetData>
  <mergeCells count="2">
    <mergeCell ref="A4:D4"/>
    <mergeCell ref="A30:D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512</v>
      </c>
    </row>
    <row r="2" spans="1:6">
      <c r="A2" s="2" t="s">
        <v>513</v>
      </c>
    </row>
    <row r="3" spans="1:6">
      <c r="A3" s="3" t="s">
        <v>421</v>
      </c>
      <c r="B3" s="3" t="s">
        <v>514</v>
      </c>
      <c r="C3" s="3" t="s">
        <v>515</v>
      </c>
      <c r="D3" s="3" t="s">
        <v>423</v>
      </c>
      <c r="E3" s="3" t="s">
        <v>516</v>
      </c>
      <c r="F3" s="3" t="s">
        <v>517</v>
      </c>
    </row>
    <row r="4" spans="1:6">
      <c r="A4" s="34">
        <v>0</v>
      </c>
      <c r="B4" s="35">
        <v>1</v>
      </c>
      <c r="C4" s="35" t="s">
        <v>518</v>
      </c>
      <c r="D4" s="3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IF(B4=0,"inactive",IF(A4&lt;HashLayers,"Token-ID lookup","score"))</f>
        <v>Token-ID lookup</v>
      </c>
    </row>
    <row r="5" spans="1:6">
      <c r="A5" s="34">
        <v>1</v>
      </c>
      <c r="B5" s="35">
        <v>1</v>
      </c>
      <c r="C5" s="35" t="s">
        <v>518</v>
      </c>
      <c r="D5" s="3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IF(B5=0,"inactive",IF(A5&lt;HashLayers,"Token-ID lookup","score"))</f>
        <v>Token-ID lookup</v>
      </c>
    </row>
    <row r="6" spans="1:6">
      <c r="A6" s="34">
        <v>2</v>
      </c>
      <c r="B6" s="35">
        <v>1</v>
      </c>
      <c r="C6" s="35" t="s">
        <v>519</v>
      </c>
      <c r="D6" s="3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IF(B6=0,"inactive",IF(A6&lt;HashLayers,"Token-ID lookup","score"))</f>
        <v>Token-ID lookup</v>
      </c>
    </row>
    <row r="7" spans="1:6">
      <c r="A7" s="34">
        <v>3</v>
      </c>
      <c r="B7" s="35">
        <v>1</v>
      </c>
      <c r="C7" s="35" t="s">
        <v>520</v>
      </c>
      <c r="D7" s="3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IF(B7=0,"inactive",IF(A7&lt;HashLayers,"Token-ID lookup","score"))</f>
        <v>score</v>
      </c>
    </row>
    <row r="8" spans="1:6">
      <c r="A8" s="34">
        <v>4</v>
      </c>
      <c r="B8" s="35">
        <v>1</v>
      </c>
      <c r="C8" s="35" t="s">
        <v>519</v>
      </c>
      <c r="D8" s="3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IF(B8=0,"inactive",IF(A8&lt;HashLayers,"Token-ID lookup","score"))</f>
        <v>score</v>
      </c>
    </row>
    <row r="9" spans="1:6">
      <c r="A9" s="34">
        <v>5</v>
      </c>
      <c r="B9" s="35">
        <v>1</v>
      </c>
      <c r="C9" s="35" t="s">
        <v>520</v>
      </c>
      <c r="D9" s="3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IF(B9=0,"inactive",IF(A9&lt;HashLayers,"Token-ID lookup","score"))</f>
        <v>score</v>
      </c>
    </row>
    <row r="10" spans="1:6">
      <c r="A10" s="34">
        <v>6</v>
      </c>
      <c r="B10" s="35">
        <v>1</v>
      </c>
      <c r="C10" s="35" t="s">
        <v>519</v>
      </c>
      <c r="D10" s="3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IF(B10=0,"inactive",IF(A10&lt;HashLayers,"Token-ID lookup","score"))</f>
        <v>score</v>
      </c>
    </row>
    <row r="11" spans="1:6">
      <c r="A11" s="34">
        <v>7</v>
      </c>
      <c r="B11" s="35">
        <v>1</v>
      </c>
      <c r="C11" s="35" t="s">
        <v>520</v>
      </c>
      <c r="D11" s="3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IF(B11=0,"inactive",IF(A11&lt;HashLayers,"Token-ID lookup","score"))</f>
        <v>score</v>
      </c>
    </row>
    <row r="12" spans="1:6">
      <c r="A12" s="34">
        <v>8</v>
      </c>
      <c r="B12" s="35">
        <v>1</v>
      </c>
      <c r="C12" s="35" t="s">
        <v>519</v>
      </c>
      <c r="D12" s="3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IF(B12=0,"inactive",IF(A12&lt;HashLayers,"Token-ID lookup","score"))</f>
        <v>score</v>
      </c>
    </row>
    <row r="13" spans="1:6">
      <c r="A13" s="34">
        <v>9</v>
      </c>
      <c r="B13" s="35">
        <v>1</v>
      </c>
      <c r="C13" s="35" t="s">
        <v>520</v>
      </c>
      <c r="D13" s="3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IF(B13=0,"inactive",IF(A13&lt;HashLayers,"Token-ID lookup","score"))</f>
        <v>score</v>
      </c>
    </row>
    <row r="14" spans="1:6">
      <c r="A14" s="34">
        <v>10</v>
      </c>
      <c r="B14" s="35">
        <v>1</v>
      </c>
      <c r="C14" s="35" t="s">
        <v>519</v>
      </c>
      <c r="D14" s="3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IF(B14=0,"inactive",IF(A14&lt;HashLayers,"Token-ID lookup","score"))</f>
        <v>score</v>
      </c>
    </row>
    <row r="15" spans="1:6">
      <c r="A15" s="34">
        <v>11</v>
      </c>
      <c r="B15" s="35">
        <v>1</v>
      </c>
      <c r="C15" s="35" t="s">
        <v>520</v>
      </c>
      <c r="D15" s="3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IF(B15=0,"inactive",IF(A15&lt;HashLayers,"Token-ID lookup","score"))</f>
        <v>score</v>
      </c>
    </row>
    <row r="16" spans="1:6">
      <c r="A16" s="34">
        <v>12</v>
      </c>
      <c r="B16" s="35">
        <v>1</v>
      </c>
      <c r="C16" s="35" t="s">
        <v>519</v>
      </c>
      <c r="D16" s="3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IF(B16=0,"inactive",IF(A16&lt;HashLayers,"Token-ID lookup","score"))</f>
        <v>score</v>
      </c>
    </row>
    <row r="17" spans="1:6">
      <c r="A17" s="34">
        <v>13</v>
      </c>
      <c r="B17" s="35">
        <v>1</v>
      </c>
      <c r="C17" s="35" t="s">
        <v>520</v>
      </c>
      <c r="D17" s="3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IF(B17=0,"inactive",IF(A17&lt;HashLayers,"Token-ID lookup","score"))</f>
        <v>score</v>
      </c>
    </row>
    <row r="18" spans="1:6">
      <c r="A18" s="34">
        <v>14</v>
      </c>
      <c r="B18" s="35">
        <v>1</v>
      </c>
      <c r="C18" s="35" t="s">
        <v>519</v>
      </c>
      <c r="D18" s="3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IF(B18=0,"inactive",IF(A18&lt;HashLayers,"Token-ID lookup","score"))</f>
        <v>score</v>
      </c>
    </row>
    <row r="19" spans="1:6">
      <c r="A19" s="34">
        <v>15</v>
      </c>
      <c r="B19" s="35">
        <v>1</v>
      </c>
      <c r="C19" s="35" t="s">
        <v>520</v>
      </c>
      <c r="D19" s="3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IF(B19=0,"inactive",IF(A19&lt;HashLayers,"Token-ID lookup","score"))</f>
        <v>score</v>
      </c>
    </row>
    <row r="20" spans="1:6">
      <c r="A20" s="34">
        <v>16</v>
      </c>
      <c r="B20" s="35">
        <v>1</v>
      </c>
      <c r="C20" s="35" t="s">
        <v>519</v>
      </c>
      <c r="D20" s="3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IF(B20=0,"inactive",IF(A20&lt;HashLayers,"Token-ID lookup","score"))</f>
        <v>score</v>
      </c>
    </row>
    <row r="21" spans="1:6">
      <c r="A21" s="34">
        <v>17</v>
      </c>
      <c r="B21" s="35">
        <v>1</v>
      </c>
      <c r="C21" s="35" t="s">
        <v>520</v>
      </c>
      <c r="D21" s="3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IF(B21=0,"inactive",IF(A21&lt;HashLayers,"Token-ID lookup","score"))</f>
        <v>score</v>
      </c>
    </row>
    <row r="22" spans="1:6">
      <c r="A22" s="34">
        <v>18</v>
      </c>
      <c r="B22" s="35">
        <v>1</v>
      </c>
      <c r="C22" s="35" t="s">
        <v>519</v>
      </c>
      <c r="D22" s="3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IF(B22=0,"inactive",IF(A22&lt;HashLayers,"Token-ID lookup","score"))</f>
        <v>score</v>
      </c>
    </row>
    <row r="23" spans="1:6">
      <c r="A23" s="34">
        <v>19</v>
      </c>
      <c r="B23" s="35">
        <v>1</v>
      </c>
      <c r="C23" s="35" t="s">
        <v>520</v>
      </c>
      <c r="D23" s="3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IF(B23=0,"inactive",IF(A23&lt;HashLayers,"Token-ID lookup","score"))</f>
        <v>score</v>
      </c>
    </row>
    <row r="24" spans="1:6">
      <c r="A24" s="34">
        <v>20</v>
      </c>
      <c r="B24" s="35">
        <v>1</v>
      </c>
      <c r="C24" s="35" t="s">
        <v>519</v>
      </c>
      <c r="D24" s="3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IF(B24=0,"inactive",IF(A24&lt;HashLayers,"Token-ID lookup","score"))</f>
        <v>score</v>
      </c>
    </row>
    <row r="25" spans="1:6">
      <c r="A25" s="34">
        <v>21</v>
      </c>
      <c r="B25" s="35">
        <v>1</v>
      </c>
      <c r="C25" s="35" t="s">
        <v>520</v>
      </c>
      <c r="D25" s="3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IF(B25=0,"inactive",IF(A25&lt;HashLayers,"Token-ID lookup","score"))</f>
        <v>score</v>
      </c>
    </row>
    <row r="26" spans="1:6">
      <c r="A26" s="34">
        <v>22</v>
      </c>
      <c r="B26" s="35">
        <v>1</v>
      </c>
      <c r="C26" s="35" t="s">
        <v>519</v>
      </c>
      <c r="D26" s="3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IF(B26=0,"inactive",IF(A26&lt;HashLayers,"Token-ID lookup","score"))</f>
        <v>score</v>
      </c>
    </row>
    <row r="27" spans="1:6">
      <c r="A27" s="34">
        <v>23</v>
      </c>
      <c r="B27" s="35">
        <v>1</v>
      </c>
      <c r="C27" s="35" t="s">
        <v>520</v>
      </c>
      <c r="D27" s="3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IF(B27=0,"inactive",IF(A27&lt;HashLayers,"Token-ID lookup","score"))</f>
        <v>score</v>
      </c>
    </row>
    <row r="28" spans="1:6">
      <c r="A28" s="34">
        <v>24</v>
      </c>
      <c r="B28" s="35">
        <v>1</v>
      </c>
      <c r="C28" s="35" t="s">
        <v>519</v>
      </c>
      <c r="D28" s="3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IF(B28=0,"inactive",IF(A28&lt;HashLayers,"Token-ID lookup","score"))</f>
        <v>score</v>
      </c>
    </row>
    <row r="29" spans="1:6">
      <c r="A29" s="34">
        <v>25</v>
      </c>
      <c r="B29" s="35">
        <v>1</v>
      </c>
      <c r="C29" s="35" t="s">
        <v>520</v>
      </c>
      <c r="D29" s="3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IF(B29=0,"inactive",IF(A29&lt;HashLayers,"Token-ID lookup","score"))</f>
        <v>score</v>
      </c>
    </row>
    <row r="30" spans="1:6">
      <c r="A30" s="34">
        <v>26</v>
      </c>
      <c r="B30" s="35">
        <v>1</v>
      </c>
      <c r="C30" s="35" t="s">
        <v>519</v>
      </c>
      <c r="D30" s="3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IF(B30=0,"inactive",IF(A30&lt;HashLayers,"Token-ID lookup","score"))</f>
        <v>score</v>
      </c>
    </row>
    <row r="31" spans="1:6">
      <c r="A31" s="34">
        <v>27</v>
      </c>
      <c r="B31" s="35">
        <v>1</v>
      </c>
      <c r="C31" s="35" t="s">
        <v>520</v>
      </c>
      <c r="D31" s="3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IF(B31=0,"inactive",IF(A31&lt;HashLayers,"Token-ID lookup","score"))</f>
        <v>score</v>
      </c>
    </row>
    <row r="32" spans="1:6">
      <c r="A32" s="34">
        <v>28</v>
      </c>
      <c r="B32" s="35">
        <v>1</v>
      </c>
      <c r="C32" s="35" t="s">
        <v>519</v>
      </c>
      <c r="D32" s="3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IF(B32=0,"inactive",IF(A32&lt;HashLayers,"Token-ID lookup","score"))</f>
        <v>score</v>
      </c>
    </row>
    <row r="33" spans="1:6">
      <c r="A33" s="34">
        <v>29</v>
      </c>
      <c r="B33" s="35">
        <v>1</v>
      </c>
      <c r="C33" s="35" t="s">
        <v>520</v>
      </c>
      <c r="D33" s="3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IF(B33=0,"inactive",IF(A33&lt;HashLayers,"Token-ID lookup","score"))</f>
        <v>score</v>
      </c>
    </row>
    <row r="34" spans="1:6">
      <c r="A34" s="34">
        <v>30</v>
      </c>
      <c r="B34" s="35">
        <v>1</v>
      </c>
      <c r="C34" s="35" t="s">
        <v>519</v>
      </c>
      <c r="D34" s="3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IF(B34=0,"inactive",IF(A34&lt;HashLayers,"Token-ID lookup","score"))</f>
        <v>score</v>
      </c>
    </row>
    <row r="35" spans="1:6">
      <c r="A35" s="34">
        <v>31</v>
      </c>
      <c r="B35" s="35">
        <v>1</v>
      </c>
      <c r="C35" s="35" t="s">
        <v>520</v>
      </c>
      <c r="D35" s="3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IF(B35=0,"inactive",IF(A35&lt;HashLayers,"Token-ID lookup","score"))</f>
        <v>score</v>
      </c>
    </row>
    <row r="36" spans="1:6">
      <c r="A36" s="34">
        <v>32</v>
      </c>
      <c r="B36" s="35">
        <v>1</v>
      </c>
      <c r="C36" s="35" t="s">
        <v>519</v>
      </c>
      <c r="D36" s="3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IF(B36=0,"inactive",IF(A36&lt;HashLayers,"Token-ID lookup","score"))</f>
        <v>score</v>
      </c>
    </row>
    <row r="37" spans="1:6">
      <c r="A37" s="34">
        <v>33</v>
      </c>
      <c r="B37" s="35">
        <v>1</v>
      </c>
      <c r="C37" s="35" t="s">
        <v>520</v>
      </c>
      <c r="D37" s="3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IF(B37=0,"inactive",IF(A37&lt;HashLayers,"Token-ID lookup","score"))</f>
        <v>score</v>
      </c>
    </row>
    <row r="38" spans="1:6">
      <c r="A38" s="34">
        <v>34</v>
      </c>
      <c r="B38" s="35">
        <v>1</v>
      </c>
      <c r="C38" s="35" t="s">
        <v>519</v>
      </c>
      <c r="D38" s="3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IF(B38=0,"inactive",IF(A38&lt;HashLayers,"Token-ID lookup","score"))</f>
        <v>score</v>
      </c>
    </row>
    <row r="39" spans="1:6">
      <c r="A39" s="34">
        <v>35</v>
      </c>
      <c r="B39" s="35">
        <v>1</v>
      </c>
      <c r="C39" s="35" t="s">
        <v>520</v>
      </c>
      <c r="D39" s="3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IF(B39=0,"inactive",IF(A39&lt;HashLayers,"Token-ID lookup","score"))</f>
        <v>score</v>
      </c>
    </row>
    <row r="40" spans="1:6">
      <c r="A40" s="34">
        <v>36</v>
      </c>
      <c r="B40" s="35">
        <v>1</v>
      </c>
      <c r="C40" s="35" t="s">
        <v>519</v>
      </c>
      <c r="D40" s="3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IF(B40=0,"inactive",IF(A40&lt;HashLayers,"Token-ID lookup","score"))</f>
        <v>score</v>
      </c>
    </row>
    <row r="41" spans="1:6">
      <c r="A41" s="34">
        <v>37</v>
      </c>
      <c r="B41" s="35">
        <v>1</v>
      </c>
      <c r="C41" s="35" t="s">
        <v>520</v>
      </c>
      <c r="D41" s="3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IF(B41=0,"inactive",IF(A41&lt;HashLayers,"Token-ID lookup","score"))</f>
        <v>score</v>
      </c>
    </row>
    <row r="42" spans="1:6">
      <c r="A42" s="34">
        <v>38</v>
      </c>
      <c r="B42" s="35">
        <v>1</v>
      </c>
      <c r="C42" s="35" t="s">
        <v>519</v>
      </c>
      <c r="D42" s="3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IF(B42=0,"inactive",IF(A42&lt;HashLayers,"Token-ID lookup","score"))</f>
        <v>score</v>
      </c>
    </row>
    <row r="43" spans="1:6">
      <c r="A43" s="34">
        <v>39</v>
      </c>
      <c r="B43" s="35">
        <v>1</v>
      </c>
      <c r="C43" s="35" t="s">
        <v>520</v>
      </c>
      <c r="D43" s="3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IF(B43=0,"inactive",IF(A43&lt;HashLayers,"Token-ID lookup","score"))</f>
        <v>score</v>
      </c>
    </row>
    <row r="44" spans="1:6">
      <c r="A44" s="34">
        <v>40</v>
      </c>
      <c r="B44" s="35">
        <v>1</v>
      </c>
      <c r="C44" s="35" t="s">
        <v>519</v>
      </c>
      <c r="D44" s="3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IF(B44=0,"inactive",IF(A44&lt;HashLayers,"Token-ID lookup","score"))</f>
        <v>score</v>
      </c>
    </row>
    <row r="45" spans="1:6">
      <c r="A45" s="34">
        <v>41</v>
      </c>
      <c r="B45" s="35">
        <v>1</v>
      </c>
      <c r="C45" s="35" t="s">
        <v>520</v>
      </c>
      <c r="D45" s="3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IF(B45=0,"inactive",IF(A45&lt;HashLayers,"Token-ID lookup","score"))</f>
        <v>score</v>
      </c>
    </row>
    <row r="46" spans="1:6">
      <c r="A46" s="34">
        <v>42</v>
      </c>
      <c r="B46" s="35">
        <v>1</v>
      </c>
      <c r="C46" s="35" t="s">
        <v>519</v>
      </c>
      <c r="D46" s="3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IF(B46=0,"inactive",IF(A46&lt;HashLayers,"Token-ID lookup","score"))</f>
        <v>score</v>
      </c>
    </row>
    <row r="47" spans="1:6" hidden="1">
      <c r="A47" s="34">
        <v>43</v>
      </c>
      <c r="B47" s="35">
        <v>0</v>
      </c>
      <c r="C47" s="35" t="s">
        <v>518</v>
      </c>
      <c r="D47" s="3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IF(B47=0,"inactive",IF(A47&lt;HashLayers,"Token-ID lookup","score"))</f>
        <v>inactive</v>
      </c>
    </row>
    <row r="48" spans="1:6" hidden="1">
      <c r="A48" s="34">
        <v>44</v>
      </c>
      <c r="B48" s="35">
        <v>0</v>
      </c>
      <c r="C48" s="35" t="s">
        <v>518</v>
      </c>
      <c r="D48" s="3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IF(B48=0,"inactive",IF(A48&lt;HashLayers,"Token-ID lookup","score"))</f>
        <v>inactive</v>
      </c>
    </row>
    <row r="49" spans="1:6" hidden="1">
      <c r="A49" s="34">
        <v>45</v>
      </c>
      <c r="B49" s="35">
        <v>0</v>
      </c>
      <c r="C49" s="35" t="s">
        <v>518</v>
      </c>
      <c r="D49" s="3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IF(B49=0,"inactive",IF(A49&lt;HashLayers,"Token-ID lookup","score"))</f>
        <v>inactive</v>
      </c>
    </row>
    <row r="50" spans="1:6" hidden="1">
      <c r="A50" s="34">
        <v>46</v>
      </c>
      <c r="B50" s="35">
        <v>0</v>
      </c>
      <c r="C50" s="35" t="s">
        <v>518</v>
      </c>
      <c r="D50" s="3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IF(B50=0,"inactive",IF(A50&lt;HashLayers,"Token-ID lookup","score"))</f>
        <v>inactive</v>
      </c>
    </row>
    <row r="51" spans="1:6" hidden="1">
      <c r="A51" s="34">
        <v>47</v>
      </c>
      <c r="B51" s="35">
        <v>0</v>
      </c>
      <c r="C51" s="35" t="s">
        <v>518</v>
      </c>
      <c r="D51" s="3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IF(B51=0,"inactive",IF(A51&lt;HashLayers,"Token-ID lookup","score"))</f>
        <v>inactive</v>
      </c>
    </row>
    <row r="52" spans="1:6" hidden="1">
      <c r="A52" s="34">
        <v>48</v>
      </c>
      <c r="B52" s="35">
        <v>0</v>
      </c>
      <c r="C52" s="35" t="s">
        <v>518</v>
      </c>
      <c r="D52" s="3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IF(B52=0,"inactive",IF(A52&lt;HashLayers,"Token-ID lookup","score"))</f>
        <v>inactive</v>
      </c>
    </row>
    <row r="53" spans="1:6" hidden="1">
      <c r="A53" s="34">
        <v>49</v>
      </c>
      <c r="B53" s="35">
        <v>0</v>
      </c>
      <c r="C53" s="35" t="s">
        <v>518</v>
      </c>
      <c r="D53" s="3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IF(B53=0,"inactive",IF(A53&lt;HashLayers,"Token-ID lookup","score"))</f>
        <v>inactive</v>
      </c>
    </row>
    <row r="54" spans="1:6" hidden="1">
      <c r="A54" s="34">
        <v>50</v>
      </c>
      <c r="B54" s="35">
        <v>0</v>
      </c>
      <c r="C54" s="35" t="s">
        <v>518</v>
      </c>
      <c r="D54" s="3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IF(B54=0,"inactive",IF(A54&lt;HashLayers,"Token-ID lookup","score"))</f>
        <v>inactive</v>
      </c>
    </row>
    <row r="55" spans="1:6" hidden="1">
      <c r="A55" s="34">
        <v>51</v>
      </c>
      <c r="B55" s="35">
        <v>0</v>
      </c>
      <c r="C55" s="35" t="s">
        <v>518</v>
      </c>
      <c r="D55" s="3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IF(B55=0,"inactive",IF(A55&lt;HashLayers,"Token-ID lookup","score"))</f>
        <v>inactive</v>
      </c>
    </row>
    <row r="56" spans="1:6" hidden="1">
      <c r="A56" s="34">
        <v>52</v>
      </c>
      <c r="B56" s="35">
        <v>0</v>
      </c>
      <c r="C56" s="35" t="s">
        <v>518</v>
      </c>
      <c r="D56" s="3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IF(B56=0,"inactive",IF(A56&lt;HashLayers,"Token-ID lookup","score"))</f>
        <v>inactive</v>
      </c>
    </row>
    <row r="57" spans="1:6" hidden="1">
      <c r="A57" s="34">
        <v>53</v>
      </c>
      <c r="B57" s="35">
        <v>0</v>
      </c>
      <c r="C57" s="35" t="s">
        <v>518</v>
      </c>
      <c r="D57" s="3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IF(B57=0,"inactive",IF(A57&lt;HashLayers,"Token-ID lookup","score"))</f>
        <v>inactive</v>
      </c>
    </row>
    <row r="58" spans="1:6" hidden="1">
      <c r="A58" s="34">
        <v>54</v>
      </c>
      <c r="B58" s="35">
        <v>0</v>
      </c>
      <c r="C58" s="35" t="s">
        <v>518</v>
      </c>
      <c r="D58" s="3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IF(B58=0,"inactive",IF(A58&lt;HashLayers,"Token-ID lookup","score"))</f>
        <v>inactive</v>
      </c>
    </row>
    <row r="59" spans="1:6" hidden="1">
      <c r="A59" s="34">
        <v>55</v>
      </c>
      <c r="B59" s="35">
        <v>0</v>
      </c>
      <c r="C59" s="35" t="s">
        <v>518</v>
      </c>
      <c r="D59" s="3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IF(B59=0,"inactive",IF(A59&lt;HashLayers,"Token-ID lookup","score"))</f>
        <v>inactive</v>
      </c>
    </row>
    <row r="60" spans="1:6" hidden="1">
      <c r="A60" s="34">
        <v>56</v>
      </c>
      <c r="B60" s="35">
        <v>0</v>
      </c>
      <c r="C60" s="35" t="s">
        <v>518</v>
      </c>
      <c r="D60" s="3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IF(B60=0,"inactive",IF(A60&lt;HashLayers,"Token-ID lookup","score"))</f>
        <v>inactive</v>
      </c>
    </row>
    <row r="61" spans="1:6" hidden="1">
      <c r="A61" s="34">
        <v>57</v>
      </c>
      <c r="B61" s="35">
        <v>0</v>
      </c>
      <c r="C61" s="35" t="s">
        <v>518</v>
      </c>
      <c r="D61" s="3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IF(B61=0,"inactive",IF(A61&lt;HashLayers,"Token-ID lookup","score"))</f>
        <v>inactive</v>
      </c>
    </row>
    <row r="62" spans="1:6" hidden="1">
      <c r="A62" s="34">
        <v>58</v>
      </c>
      <c r="B62" s="35">
        <v>0</v>
      </c>
      <c r="C62" s="35" t="s">
        <v>518</v>
      </c>
      <c r="D62" s="3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IF(B62=0,"inactive",IF(A62&lt;HashLayers,"Token-ID lookup","score"))</f>
        <v>inactive</v>
      </c>
    </row>
    <row r="63" spans="1:6" hidden="1">
      <c r="A63" s="34">
        <v>59</v>
      </c>
      <c r="B63" s="35">
        <v>0</v>
      </c>
      <c r="C63" s="35" t="s">
        <v>518</v>
      </c>
      <c r="D63" s="3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IF(B63=0,"inactive",IF(A63&lt;HashLayers,"Token-ID lookup","score"))</f>
        <v>inactive</v>
      </c>
    </row>
    <row r="64" spans="1:6" hidden="1">
      <c r="A64" s="34">
        <v>60</v>
      </c>
      <c r="B64" s="35">
        <v>0</v>
      </c>
      <c r="C64" s="35" t="s">
        <v>518</v>
      </c>
      <c r="D64" s="3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IF(B64=0,"inactive",IF(A64&lt;HashLayers,"Token-ID lookup","score"))</f>
        <v>inactive</v>
      </c>
    </row>
    <row r="65" spans="1:6" hidden="1">
      <c r="A65" s="34">
        <v>61</v>
      </c>
      <c r="B65" s="35">
        <v>0</v>
      </c>
      <c r="C65" s="35" t="s">
        <v>518</v>
      </c>
      <c r="D65" s="3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IF(B65=0,"inactive",IF(A65&lt;HashLayers,"Token-ID lookup","score"))</f>
        <v>inactive</v>
      </c>
    </row>
    <row r="66" spans="1:6" hidden="1">
      <c r="A66" s="34">
        <v>62</v>
      </c>
      <c r="B66" s="35">
        <v>0</v>
      </c>
      <c r="C66" s="35" t="s">
        <v>518</v>
      </c>
      <c r="D66" s="3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IF(B66=0,"inactive",IF(A66&lt;HashLayers,"Token-ID lookup","score"))</f>
        <v>inactive</v>
      </c>
    </row>
    <row r="67" spans="1:6" hidden="1">
      <c r="A67" s="34">
        <v>63</v>
      </c>
      <c r="B67" s="35">
        <v>0</v>
      </c>
      <c r="C67" s="35" t="s">
        <v>518</v>
      </c>
      <c r="D67" s="3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IF(B67=0,"inactive",IF(A67&lt;HashLayers,"Token-ID lookup","score"))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521</v>
      </c>
    </row>
    <row r="3" spans="1:2">
      <c r="A3" s="3" t="s">
        <v>522</v>
      </c>
      <c r="B3" s="3" t="s">
        <v>523</v>
      </c>
    </row>
    <row r="4" spans="1:2">
      <c r="A4" s="4" t="s">
        <v>359</v>
      </c>
      <c r="B4" s="4" t="s">
        <v>524</v>
      </c>
    </row>
    <row r="5" spans="1:2">
      <c r="A5" s="4" t="s">
        <v>525</v>
      </c>
      <c r="B5" s="4" t="s">
        <v>526</v>
      </c>
    </row>
    <row r="6" spans="1:2">
      <c r="A6" s="4" t="s">
        <v>527</v>
      </c>
      <c r="B6" s="4" t="s">
        <v>528</v>
      </c>
    </row>
    <row r="7" spans="1:2">
      <c r="A7" s="4" t="s">
        <v>529</v>
      </c>
      <c r="B7" s="4" t="s">
        <v>530</v>
      </c>
    </row>
    <row r="8" spans="1:2">
      <c r="A8" s="4" t="s">
        <v>59</v>
      </c>
      <c r="B8" s="4" t="s">
        <v>531</v>
      </c>
    </row>
    <row r="9" spans="1:2">
      <c r="A9" s="4" t="s">
        <v>532</v>
      </c>
      <c r="B9" s="4" t="s">
        <v>533</v>
      </c>
    </row>
    <row r="10" spans="1:2">
      <c r="A10" s="4" t="s">
        <v>534</v>
      </c>
      <c r="B10" s="4" t="s">
        <v>535</v>
      </c>
    </row>
    <row r="11" spans="1:2">
      <c r="A11" s="4" t="s">
        <v>536</v>
      </c>
      <c r="B11" s="4" t="s">
        <v>537</v>
      </c>
    </row>
    <row r="12" spans="1:2">
      <c r="A12" s="4" t="s">
        <v>538</v>
      </c>
      <c r="B12" s="4" t="s">
        <v>539</v>
      </c>
    </row>
    <row r="13" spans="1:2">
      <c r="A13" s="4" t="s">
        <v>409</v>
      </c>
      <c r="B13" s="4" t="s">
        <v>540</v>
      </c>
    </row>
    <row r="14" spans="1:2">
      <c r="A14" s="4" t="s">
        <v>541</v>
      </c>
      <c r="B14" s="4" t="s">
        <v>542</v>
      </c>
    </row>
    <row r="15" spans="1:2">
      <c r="A15" s="4" t="s">
        <v>543</v>
      </c>
      <c r="B15" s="4" t="s">
        <v>544</v>
      </c>
    </row>
    <row r="16" spans="1:2">
      <c r="A16" s="4" t="s">
        <v>545</v>
      </c>
      <c r="B16" s="4" t="s">
        <v>546</v>
      </c>
    </row>
    <row r="17" spans="1:2">
      <c r="A17" s="4" t="s">
        <v>547</v>
      </c>
      <c r="B17" s="4" t="s">
        <v>548</v>
      </c>
    </row>
    <row r="18" spans="1:2">
      <c r="A18" s="4" t="s">
        <v>549</v>
      </c>
      <c r="B18" s="4" t="s">
        <v>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2026-08-29T01:19:05Z</dcterms:created>
  <dcterms:modified xsi:type="dcterms:W3CDTF">2026-08-29T01:19:05Z</dcterms:modified>
</cp:coreProperties>
</file>