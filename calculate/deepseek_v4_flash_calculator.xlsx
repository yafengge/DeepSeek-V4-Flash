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8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dtype" sheetId="6" r:id="rId6"/>
    <sheet name="Comparison" sheetId="7" r:id="rId7"/>
    <sheet name="Methodology" sheetId="8" r:id="rId8"/>
    <sheet name="Summary" sheetId="9" r:id="rId9"/>
  </sheets>
  <definedNames>
    <definedName name="_xlnm._FilterDatabase" localSheetId="1" hidden="1">Layer_Config!$A$3:$F$67</definedName>
    <definedName name="_xlnm._FilterDatabase" localSheetId="0" hidden="1">Parameters!$A$3:$F$64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'Decode_1M'!$B$9</definedName>
    <definedName name="DC_IndexPairs">'Decode_1M'!$B$8</definedName>
    <definedName name="DC_LongPairs">'Decode_1M'!$B$7</definedName>
    <definedName name="DC_RawPairs">'Decode_1M'!$B$5</definedName>
    <definedName name="DC_Rows">'Decode_1M'!$B$4</definedName>
    <definedName name="DC_ShortPairs">'Decode_1M'!$B$6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'Prefill_8K'!$B$9</definedName>
    <definedName name="PF_IndexPairs">'Prefill_8K'!$B$8</definedName>
    <definedName name="PF_LongPairs">'Prefill_8K'!$B$7</definedName>
    <definedName name="PF_RawPairs">'Prefill_8K'!$B$5</definedName>
    <definedName name="PF_Rows">'Prefill_8K'!$B$4</definedName>
    <definedName name="PF_ShortPairs">'Prefill_8K'!$B$6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<sst xmlns="http://schemas.openxmlformats.org/spreadsheetml/2006/main" count="1252" uniqueCount="538">
  <si>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</si>
  <si>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</si>
  <si>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</si>
  <si>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</si>
  <si>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</si>
  <si>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</si>
  <si>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Description</t>
  </si>
  <si>
    <t>Validation</t>
  </si>
  <si>
    <t>Parallel</t>
  </si>
  <si>
    <t>TP1 comparison size</t>
  </si>
  <si>
    <t>TP1Size</t>
  </si>
  <si>
    <t>First tensor-parallel configuration.</t>
  </si>
  <si>
    <t>TP8 comparison size</t>
  </si>
  <si>
    <t>TP8Size</t>
  </si>
  <si>
    <t>Second tensor-parallel configuration; editable.</t>
  </si>
  <si>
    <t>Scenario</t>
  </si>
  <si>
    <t>Prefill batch size</t>
  </si>
  <si>
    <t>PrefillBatch</t>
  </si>
  <si>
    <t>Editable prefill batch size.</t>
  </si>
  <si>
    <t>Prefill sequence length</t>
  </si>
  <si>
    <t>PrefillSequence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</si>
  <si>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</si>
  <si>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</si>
  <si>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</si>
  <si>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</si>
  <si>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</si>
  <si>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</si>
  <si>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</si>
  <si>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</si>
  <si>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</si>
  <si>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</si>
  <si>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</si>
  <si>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</si>
  <si>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</si>
  <si>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</si>
  <si>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</si>
  <si>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</si>
  <si>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</si>
  <si>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</si>
  <si>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</si>
  <si>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</si>
  <si>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</si>
  <si>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</si>
  <si>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</si>
  <si>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</si>
  <si>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</si>
  <si>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</si>
  <si>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</si>
  <si>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</si>
  <si>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</si>
  <si>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</si>
  <si>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</si>
  <si>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</si>
  <si>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</si>
  <si>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</si>
  <si>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</si>
  <si>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</si>
  <si>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</si>
  <si>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</si>
  <si>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</si>
  <si>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</si>
  <si>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</si>
  <si>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</si>
  <si>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Global routed-expert count per block.</t>
  </si>
  <si>
    <t>Activated experts</t>
  </si>
  <si>
    <t>ActivatedExperts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</si>
  <si>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</si>
  <si>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</si>
  <si>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</si>
  <si>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</si>
  <si>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</si>
  <si>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</si>
  <si>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</si>
  <si>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</si>
  <si>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</si>
  <si>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</si>
  <si>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</si>
  <si>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</si>
  <si>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</si>
  <si>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</si>
  <si>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</si>
  <si>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</si>
  <si>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</si>
  <si>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</si>
  <si>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</si>
  <si>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</si>
  <si>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</si>
  <si>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</si>
  <si>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</si>
  <si>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</si>
  <si>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</si>
  <si>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</si>
  <si>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Compressed entries retained by ratio-4 attention.</t>
  </si>
  <si>
    <t>HC</t>
  </si>
  <si>
    <t>HC slots</t>
  </si>
  <si>
    <t>HCSlots</t>
  </si>
  <si>
    <t>Hyper-Connection residual streams.</t>
  </si>
  <si>
    <t>Sinkhorn iterations</t>
  </si>
  <si>
    <t>HCIters</t>
  </si>
  <si>
    <t>HC combination normalization iterations.</t>
  </si>
  <si>
    <t>Routing</t>
  </si>
  <si>
    <t>Hash-routed layers</t>
  </si>
  <si>
    <t>HashLayers</t>
  </si>
  <si>
    <t>First active layers using token-ID routing.</t>
  </si>
  <si>
    <t>DType</t>
  </si>
  <si>
    <t>BF16 bytes</t>
  </si>
  <si>
    <t>BF16Bytes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</si>
  <si>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</si>
  <si>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</si>
  <si>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</si>
  <si>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</si>
  <si>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</si>
  <si>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</si>
  <si>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</si>
  <si>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</si>
  <si>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</si>
  <si>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</si>
  <si>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</si>
  <si>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</si>
  <si>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</si>
  <si>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</si>
  <si>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</si>
  <si>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</si>
  <si>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</si>
  <si>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</si>
  <si>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</si>
  <si>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</si>
  <si>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</si>
  <si>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</si>
  <si>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</si>
  <si>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</si>
  <si>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</si>
  <si>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</si>
  <si>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</si>
  <si>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</si>
  <si>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</si>
  <si>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</si>
  <si>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</si>
  <si>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</si>
  <si>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</si>
  <si>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Editable illustrative hardware peak.</t>
  </si>
  <si>
    <t>HBM bandwidth</t>
  </si>
  <si>
    <t>HBMBandwidthGBps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</si>
  <si>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</si>
  <si>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</si>
  <si>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</si>
  <si>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</si>
  <si>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</si>
  <si>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</si>
  <si>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Used only to derive required HBM/interconnect bandwidth.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</si>
  <si>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</si>
  <si>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</si>
  <si>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</si>
  <si>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</si>
  <si>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</si>
  <si>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</si>
  <si>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</si>
  <si>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</si>
  <si>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</si>
  <si>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</si>
  <si>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</si>
  <si>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</si>
  <si>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</si>
  <si>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</si>
  <si>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</si>
  <si>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</si>
  <si>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</si>
  <si>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</si>
  <si>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TP1 local Q heads</t>
  </si>
  <si>
    <t>TP1LocalHeads</t>
  </si>
  <si>
    <t>Q heads on one TP1 rank.</t>
  </si>
  <si>
    <t>TP1 kernel local heads</t>
  </si>
  <si>
    <t>TP1KernelLocalHeads</t>
  </si>
  <si>
    <t>Sparse-kernel heads after padding.</t>
  </si>
  <si>
    <t>TP1 local index heads</t>
  </si>
  <si>
    <t>TP1LocalIndexHeads</t>
  </si>
  <si>
    <t>Indexer heads on one TP1 rank.</t>
  </si>
  <si>
    <t>TP1 local experts</t>
  </si>
  <si>
    <t>TP1LocalExperts</t>
  </si>
  <si>
    <t>Routed experts on one TP1 rank.</t>
  </si>
  <si>
    <t>TP1 local output groups</t>
  </si>
  <si>
    <t>TP1LocalOGroups</t>
  </si>
  <si>
    <t>Output groups on one TP1 rank.</t>
  </si>
  <si>
    <t>TP1 local vocabulary</t>
  </si>
  <si>
    <t>TP1LocalVocab</t>
  </si>
  <si>
    <t>Vocabulary rows on one TP1 rank.</t>
  </si>
  <si>
    <t>TP8 local Q heads</t>
  </si>
  <si>
    <t>TP8LocalHeads</t>
  </si>
  <si>
    <t>Q heads on one TP8 rank.</t>
  </si>
  <si>
    <t>TP8 kernel local heads</t>
  </si>
  <si>
    <t>TP8KernelLocalHeads</t>
  </si>
  <si>
    <t>TP8 local index heads</t>
  </si>
  <si>
    <t>TP8LocalIndexHeads</t>
  </si>
  <si>
    <t>Indexer heads on one TP8 rank.</t>
  </si>
  <si>
    <t>TP8 local experts</t>
  </si>
  <si>
    <t>TP8LocalExperts</t>
  </si>
  <si>
    <t>Routed experts on one TP8 rank.</t>
  </si>
  <si>
    <t>TP8 local output groups</t>
  </si>
  <si>
    <t>TP8LocalOGroups</t>
  </si>
  <si>
    <t>Output groups on one TP8 rank.</t>
  </si>
  <si>
    <t>TP8 local vocabulary</t>
  </si>
  <si>
    <t>TP8LocalVocab</t>
  </si>
  <si>
    <t>Vocabulary rows on one TP8 rank.</t>
  </si>
  <si>
    <t>Architecture validation</t>
  </si>
  <si>
    <t>Q heads divisible by TP1 and TP8</t>
  </si>
  <si>
    <t>Experts divisible by TP1 and TP8</t>
  </si>
  <si>
    <t>Output groups divisible by TP1 and TP8</t>
  </si>
  <si>
    <t>Indexer heads divisible by TP1 and TP8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</si>
  <si>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</si>
  <si>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</si>
  <si>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</si>
  <si>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</si>
  <si>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</si>
  <si>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</si>
  <si>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</si>
  <si>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</si>
  <si>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</si>
  <si>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</si>
  <si>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</si>
  <si>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</si>
  <si>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</si>
  <si>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TP1 vs TP8 Inference</t>
  </si>
  <si>
    <t>Inference only: no backward, gradients, optimizer, or training-state memory. Scrollable below row 3.</t>
  </si>
  <si>
    <t>Helper metric</t>
  </si>
  <si>
    <t>Token rows</t>
  </si>
  <si>
    <t>Causal raw-window pairs</t>
  </si>
  <si>
    <t>Capped short-compressed pairs</t>
  </si>
  <si>
    <t>Long-compressed pairs</t>
  </si>
  <si>
    <t>Indexer scan pairs</t>
  </si>
  <si>
    <t>Expert activation probability</t>
  </si>
  <si>
    <t>Detailed inference calculations</t>
  </si>
  <si>
    <t>Item</t>
  </si>
  <si>
    <t>Layer scope</t>
  </si>
  <si>
    <t>TP1 FLOPs</t>
  </si>
  <si>
    <t>TP8 FLOPs/rank</t>
  </si>
  <si>
    <t>TP1 HBM/rank</t>
  </si>
  <si>
    <t>TP8 HBM/rank</t>
  </si>
  <si>
    <t>TP1 Interconnect</t>
  </si>
  <si>
    <t>TP8 Interconnect/rank</t>
  </si>
  <si>
    <t>Accounting</t>
  </si>
  <si>
    <t>Notes</t>
  </si>
  <si>
    <t>Q/K/O projections</t>
  </si>
  <si>
    <t>All active layers</t>
  </si>
  <si>
    <t>Major</t>
  </si>
  <si>
    <t>Wq_a and Wkv are replicated; Wq_b/Wo_a/Wo_b are TP-sharded.</t>
  </si>
  <si>
    <t>Sparse attention QK + AV</t>
  </si>
  <si>
    <t>Window/short/long layer mix</t>
  </si>
  <si>
    <t>KV is shared across heads; per-rank kernel heads include minimum-head padding.</t>
  </si>
  <si>
    <t>Ratio-4 Indexer projections</t>
  </si>
  <si>
    <t>Indexer Q and token-weight projections; only ratio-4 layers use it.</t>
  </si>
  <si>
    <t>Ratio-4 Indexer score scan</t>
  </si>
  <si>
    <t>Scans all completed ratio-4 index entries before Top-K selection.</t>
  </si>
  <si>
    <t>Main KV compressor projections</t>
  </si>
  <si>
    <t>All compressed-KV layers</t>
  </si>
  <si>
    <t>Replicated on every TP rank; ratio-4 uses overlapping 2x projections.</t>
  </si>
  <si>
    <t>Indexer compressor projections</t>
  </si>
  <si>
    <t>Replicated auxiliary compressor used to build the Indexer cache.</t>
  </si>
  <si>
    <t>Router score projection</t>
  </si>
  <si>
    <t>The source computes gate scores even in hash-routed layers.</t>
  </si>
  <si>
    <t>Top-K routed experts</t>
  </si>
  <si>
    <t>Balanced expected assignments per rank; parameter read uses expert activation probability.</t>
  </si>
  <si>
    <t>Shared expert</t>
  </si>
  <si>
    <t>Shared experts are replicated and computed independently on every TP rank.</t>
  </si>
  <si>
    <t>Other</t>
  </si>
  <si>
    <t>Hyper-Connections and block norms</t>
  </si>
  <si>
    <t>Auxiliary</t>
  </si>
  <si>
    <t>Approximate HC arithmetic; sigmoid/exp are tracked qualitatively.</t>
  </si>
  <si>
    <t>LM head</t>
  </si>
  <si>
    <t>Tail</t>
  </si>
  <si>
    <t>The inference path computes logits only from the final hidden token.</t>
  </si>
  <si>
    <t>Communication</t>
  </si>
  <si>
    <t>TP collectives</t>
  </si>
  <si>
    <t>Embedding + each block + LM head</t>
  </si>
  <si>
    <t>Zero at TP=1. This is transfer volume, not HBM traffic.</t>
  </si>
  <si>
    <t>Scenario summary</t>
  </si>
  <si>
    <t>Metric</t>
  </si>
  <si>
    <t>TP1</t>
  </si>
  <si>
    <t>TP8/rank</t>
  </si>
  <si>
    <t>Attention major FLOPs</t>
  </si>
  <si>
    <t>MoE major FLOPs</t>
  </si>
  <si>
    <t>Other inference FLOPs</t>
  </si>
  <si>
    <t>Total inference FLOPs</t>
  </si>
  <si>
    <t>Attention HBM traffic</t>
  </si>
  <si>
    <t>MoE HBM traffic</t>
  </si>
  <si>
    <t>Other HBM traffic</t>
  </si>
  <si>
    <t>Total HBM traffic</t>
  </si>
  <si>
    <t>Interconnect transfer</t>
  </si>
  <si>
    <t>Arithmetic intensity</t>
  </si>
  <si>
    <t>One-inference compute demand</t>
  </si>
  <si>
    <t>Required HBM at target</t>
  </si>
  <si>
    <t>1M-context Decode - TP1 vs TP8 Inference</t>
  </si>
  <si>
    <t>Raw-window candidates</t>
  </si>
  <si>
    <t>Short-compressed Top-K candidates</t>
  </si>
  <si>
    <t>Long-compressed candidates</t>
  </si>
  <si>
    <t>Indexer scan candidates</t>
  </si>
  <si>
    <t>TP1 / TP8 每 Rank 推理参数与 KV 容量</t>
  </si>
  <si>
    <t>仅统计推理驻留数据；不含梯度、优化器、反向激活和训练状态。</t>
  </si>
  <si>
    <t>大类</t>
  </si>
  <si>
    <t>参数组件</t>
  </si>
  <si>
    <t>全局参数量</t>
  </si>
  <si>
    <t>TP1 参数量/rank</t>
  </si>
  <si>
    <t>TP8 参数量/rank</t>
  </si>
  <si>
    <t>TP1 容量/rank</t>
  </si>
  <si>
    <t>TP8 容量/rank</t>
  </si>
  <si>
    <t>说明</t>
  </si>
  <si>
    <t>Core Q/K/O projections</t>
  </si>
  <si>
    <t>Wq_a/Wkv replicated; Q/O output dimensions TP-sharded.</t>
  </si>
  <si>
    <t>KV compressors</t>
  </si>
  <si>
    <t>Replicated FP32 inference compressor parameters.</t>
  </si>
  <si>
    <t>Ratio-4 Indexers</t>
  </si>
  <si>
    <t>Indexer Q/weight projections are sharded; index compressor is replicated.</t>
  </si>
  <si>
    <t>FP4 routed experts are uniformly sharded across ranks.</t>
  </si>
  <si>
    <t>Shared FP8 experts are replicated on every rank.</t>
  </si>
  <si>
    <t>Router and hash tables</t>
  </si>
  <si>
    <t>Gate, bias, and token-to-expert tables are replicated.</t>
  </si>
  <si>
    <t>Embedding</t>
  </si>
  <si>
    <t>Vocabulary-parallel embedding.</t>
  </si>
  <si>
    <t>Vocabulary-parallel FP32 inference head.</t>
  </si>
  <si>
    <t>Hyper-Connections</t>
  </si>
  <si>
    <t>Replicated HC parameters; inference only.</t>
  </si>
  <si>
    <t>Norms and attention sinks</t>
  </si>
  <si>
    <t>Only local attention-sink vectors are sharded.</t>
  </si>
  <si>
    <t>Tail HC and final norm</t>
  </si>
  <si>
    <t>Replicated final inference tail.</t>
  </si>
  <si>
    <t>参数量与参数容量汇总</t>
  </si>
  <si>
    <t>Total</t>
  </si>
  <si>
    <t>KV Cache 与 Compressor State（每 Rank，TP 间复制）</t>
  </si>
  <si>
    <t>项目</t>
  </si>
  <si>
    <t>TP1/rank</t>
  </si>
  <si>
    <t>Prefill effective main KV</t>
  </si>
  <si>
    <t>8K Prefill 已生成的主 Attention KV。</t>
  </si>
  <si>
    <t>Prefill effective Indexer KV</t>
  </si>
  <si>
    <t>8K Prefill 已生成的 ratio-4 Indexer KV。</t>
  </si>
  <si>
    <t>Prefill compressor states</t>
  </si>
  <si>
    <t>主 Compressor 与 Indexer Compressor 状态。</t>
  </si>
  <si>
    <t>Prefill preallocated KV + states</t>
  </si>
  <si>
    <t>按 MaxContext 预分配，适合评估实际设备容量。</t>
  </si>
  <si>
    <t>Decode effective main KV</t>
  </si>
  <si>
    <t>DecodeContext 下的主 Attention KV。</t>
  </si>
  <si>
    <t>Decode effective Indexer KV</t>
  </si>
  <si>
    <t>DecodeContext 下的 ratio-4 Indexer KV。</t>
  </si>
  <si>
    <t>Decode compressor states</t>
  </si>
  <si>
    <t>Decode Batch 对应的 Compressor 状态。</t>
  </si>
  <si>
    <t>Decode preallocated KV + states</t>
  </si>
  <si>
    <t>按 MaxContext 预分配，KV 在每个 TP Rank 复制。</t>
  </si>
  <si>
    <t>单 Rank 设备驻留容量（默认均匀分片）</t>
  </si>
  <si>
    <t>配置</t>
  </si>
  <si>
    <t>Rank</t>
  </si>
  <si>
    <t>Attention 参数</t>
  </si>
  <si>
    <t>MoE 参数</t>
  </si>
  <si>
    <t>Other 参数</t>
  </si>
  <si>
    <t>参数总计</t>
  </si>
  <si>
    <t>Decode KV+State</t>
  </si>
  <si>
    <t>总驻留</t>
  </si>
  <si>
    <t>逻辑参数量</t>
  </si>
  <si>
    <t>有效</t>
  </si>
  <si>
    <t>任一 Rank</t>
  </si>
  <si>
    <t>1 个 Rank 均相同</t>
  </si>
  <si>
    <t>TP8</t>
  </si>
  <si>
    <t>8 个 Rank 均相同</t>
  </si>
  <si>
    <t>DeepSeek V4 Flash DType Layout</t>
  </si>
  <si>
    <t>按当前 config.json 与 inference 实现整理；存储 dtype 与计算 dtype 分开列出。</t>
  </si>
  <si>
    <t>适用范围</t>
  </si>
  <si>
    <t>模块/张量</t>
  </si>
  <si>
    <t>落盘/参数存储</t>
  </si>
  <si>
    <t>激活/中间计算</t>
  </si>
  <si>
    <t>全局配置</t>
  </si>
  <si>
    <t>torch_dtype / 主干激活</t>
  </si>
  <si>
    <t>BF16</t>
  </si>
  <si>
    <t>config.json 的 torch_dtype=bfloat16；隐藏状态与残差主路径使用 BF16。</t>
  </si>
  <si>
    <t>普通量化线性层</t>
  </si>
  <si>
    <t>FP8 E4M3 + FP8 E8M0 scale</t>
  </si>
  <si>
    <t>动态 FP8 activation quant</t>
  </si>
  <si>
    <t>quantization_config: quant_method=fp8，fmt=e4m3，scale_fmt=ue8m0。</t>
  </si>
  <si>
    <t>所有层 0-42</t>
  </si>
  <si>
    <t>Attention 主投影 wq_a/wq_b/wkv/wo_b</t>
  </si>
  <si>
    <t>FP8 GEMM；输入由 BF16 动态量化</t>
  </si>
  <si>
    <t>大多数 Attention 线性权重。</t>
  </si>
  <si>
    <t>Attention 输出投影 wo_a</t>
  </si>
  <si>
    <t>BF16 einsum</t>
  </si>
  <si>
    <t>checkpoint 中为 FP8，转换后在推理实现中按 BF16 使用。</t>
  </si>
  <si>
    <t>RMSNorm 权重与归一化</t>
  </si>
  <si>
    <t>权重 BF16；实现参数 FP32</t>
  </si>
  <si>
    <t>FP32 math，输出回 BF16</t>
  </si>
  <si>
    <t>Norm 计算先转 FP32 以提高稳定性。</t>
  </si>
  <si>
    <t>ratio-4 / ratio-128 层</t>
  </si>
  <si>
    <t>Main Compressor wkv/wgate/ape</t>
  </si>
  <si>
    <t>checkpoint 主要为 BF16；实现参数 FP32</t>
  </si>
  <si>
    <t>FP32 compression / softmax</t>
  </si>
  <si>
    <t>Compressor 参数在推理实现中提升到 FP32。</t>
  </si>
  <si>
    <t>ratio-4 层</t>
  </si>
  <si>
    <t>Indexer projections and score</t>
  </si>
  <si>
    <t>wq_b FP8；weights_proj BF16</t>
  </si>
  <si>
    <t>QAT/FP4-simulated QKV；score FP32</t>
  </si>
  <si>
    <t>仅 ratio-4 层启用 Indexer。</t>
  </si>
  <si>
    <t>Routed Experts w1/w2/w3</t>
  </si>
  <si>
    <t>FP4 E2M1 packed + FP8 E8M0 scale</t>
  </si>
  <si>
    <t>FP4 GEMM；SwiGLU FP32；输出回 BF16</t>
  </si>
  <si>
    <t>expert_dtype=fp4；每 token 激活 6 个 routed experts。</t>
  </si>
  <si>
    <t>Shared Expert w1/w2/w3</t>
  </si>
  <si>
    <t>FP8 GEMM；SwiGLU FP32</t>
  </si>
  <si>
    <t>每层 1 个 shared expert，跨 TP rank 复制。</t>
  </si>
  <si>
    <t>Router scores / route weights</t>
  </si>
  <si>
    <t>bias FP32；hash table INT32</t>
  </si>
  <si>
    <t>FP32</t>
  </si>
  <si>
    <t>sqrt(softplus) 评分、top-k 和归一化在 FP32 中完成。</t>
  </si>
  <si>
    <t>第 0-2 层</t>
  </si>
  <si>
    <t>Hash routing table</t>
  </si>
  <si>
    <t>INT32</t>
  </si>
  <si>
    <t>INT32 indexing</t>
  </si>
  <si>
    <t>前 3 层使用 token-ID 到 expert-ID 的预计算路由。</t>
  </si>
  <si>
    <t>mHC parameters / attention sink</t>
  </si>
  <si>
    <t>HC mixing、Sinkhorn 与 sink 参数使用 FP32。</t>
  </si>
  <si>
    <t>KV cache</t>
  </si>
  <si>
    <t>BF16；部分非 RoPE 维度做 FP8 simulation</t>
  </si>
  <si>
    <t>当前 inference 实现中的 KV cache 为 BF16。</t>
  </si>
  <si>
    <t>模型尾部</t>
  </si>
  <si>
    <t>Final norm / HC head</t>
  </si>
  <si>
    <t>FP32 inference parameters</t>
  </si>
  <si>
    <t>最终 HC reduction 与 RMSNorm。</t>
  </si>
  <si>
    <t>LM head / logits</t>
  </si>
  <si>
    <t>checkpoint BF16；实现参数 FP32</t>
  </si>
  <si>
    <t>FP32 linear 与 logits</t>
  </si>
  <si>
    <t>词表并行；logits 以 FP32 计算。</t>
  </si>
  <si>
    <t>43 层逐层 dtype 与 Attention / Router 模式</t>
  </si>
  <si>
    <t>Attention 模式</t>
  </si>
  <si>
    <t>压缩比例</t>
  </si>
  <si>
    <t>Router 模式</t>
  </si>
  <si>
    <t>Hidden / residual</t>
  </si>
  <si>
    <t>Attention 主投影</t>
  </si>
  <si>
    <t>Routed Expert</t>
  </si>
  <si>
    <t>Shared Expert</t>
  </si>
  <si>
    <t>Norm / HC / Router math</t>
  </si>
  <si>
    <t>Window</t>
  </si>
  <si>
    <t>Hash routing (INT32)</t>
  </si>
  <si>
    <t>FP8 E4M3; wo_a BF16</t>
  </si>
  <si>
    <t>FP4 E2M1</t>
  </si>
  <si>
    <t>FP8 E4M3</t>
  </si>
  <si>
    <t>Short compressed sparse</t>
  </si>
  <si>
    <t>Long compressed</t>
  </si>
  <si>
    <t>Score routing (FP32)</t>
  </si>
  <si>
    <t>TP1 / TP8 推理资源对比图</t>
  </si>
  <si>
    <t>数量单位直接显示在数值单元格中；图表数据保留为数值，不显示科学计数法。</t>
  </si>
  <si>
    <t>Prefill TP1</t>
  </si>
  <si>
    <t>Prefill TP8</t>
  </si>
  <si>
    <t>Decode TP1</t>
  </si>
  <si>
    <t>Decode TP8</t>
  </si>
  <si>
    <t>静态参数大类（Prefill/Decode 共用）</t>
  </si>
  <si>
    <t>TP1 单 Rank</t>
  </si>
  <si>
    <t>TP8 单 Rank</t>
  </si>
  <si>
    <t>说明：参数容量只由模型结构、dtype 和 TP 分片决定，与 Prefill/Decode 场景无关；两列分别是单 Rank 值，不相加。</t>
  </si>
  <si>
    <t>单 Rank 容量项</t>
  </si>
  <si>
    <t>静态参数（场景共用）</t>
  </si>
  <si>
    <t>预分配 KV+State（Prefill/Decode 当前相同）</t>
  </si>
  <si>
    <t>总驻留（静态参数+KV+State）</t>
  </si>
  <si>
    <t>算力需求场景</t>
  </si>
  <si>
    <t>所需</t>
  </si>
  <si>
    <t>Prefill TP1/rank</t>
  </si>
  <si>
    <t>Prefill TP8/rank</t>
  </si>
  <si>
    <t>Decode TP1/rank</t>
  </si>
  <si>
    <t>Decode TP8/rank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</si>
  <si>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</si>
  <si>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</si>
  <si>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</si>
  <si>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</si>
  <si>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</si>
  <si>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</si>
  <si>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计。Attention 与 MoE 主要 GEMM 使用显式公式；HC 与逐元素运算为近似估计。</t>
  </si>
  <si>
    <t>Prefill Attention</t>
  </si>
  <si>
    <t>使用因果候选对数量，不直接使用 S×S；Raw Window、Compressed KV 和 Indexer 扫描分别统计。</t>
  </si>
  <si>
    <t>Decode Attention</t>
  </si>
  <si>
    <t>每个 DecodeTokens 在 DecodeContext 下建模；ratio-4 主 Attention 取 Top-K，但 Indexer 需要扫描全部已完成压缩项。</t>
  </si>
  <si>
    <t>每 Token 执行 Top-K Routed Experts 和 Shared Experts。HBM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</si>
  <si>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</si>
  <si>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</si>
  <si>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</si>
  <si>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估算：Routed Expert FP4、多数投影 FP8、Wo_a BF16、Compressor FP32、LM Head FP32，并计入量化 Scale。</t>
  </si>
  <si>
    <t>KV Cache</t>
  </si>
  <si>
    <t>有效容量表示已填充项；预分配容量使用 MaxContext。当前实现的 KV 和 Compressor State 在每个 TP Rank 上完整复制。</t>
  </si>
  <si>
    <t>TP 分片</t>
  </si>
  <si>
    <t>Wq_a、Wkv、Compressor、Router、HC、Shared Expert 复制；Q/O 部分投影、Routed Experts、Embedding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</si>
  <si>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</si>
  <si>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</si>
  <si>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</si>
  <si>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 Parameters 中可编辑硬件峰值并假设互不重叠；真实运行时间必须通过 Profiling 验证。</t>
  </si>
  <si>
    <t>单位</t>
  </si>
  <si>
    <t>FLOPs 使用 M/G/T/P 十进制单位；容量与流量使用 KB/MB/GB/TB，1 GB=10^9 Bytes；Memory 明细保留原始公式。</t>
  </si>
  <si>
    <t>公式维护</t>
  </si>
  <si>
    <t>蓝色单元格为输入；结果由 Excel 公式计算并在打开时完整重算。隐藏列保留原始未缩放值，便于审计。</t>
  </si>
  <si>
    <t>单 Rank 推理硬件资源汇总</t>
  </si>
  <si>
    <t>TP1 与 TP8 分区独立展示；所有值均为单个 Rank，不进行跨 Rank 或跨 TP 求和。</t>
  </si>
  <si>
    <t>TP1（配置值=1）单 Rank 资源</t>
  </si>
  <si>
    <t>资源项目</t>
  </si>
  <si>
    <t>Prefill/rank</t>
  </si>
  <si>
    <t>Decode/rank</t>
  </si>
  <si>
    <t>Attention 计算量</t>
  </si>
  <si>
    <t>单次推理调用的单 Rank 计算量。</t>
  </si>
  <si>
    <t>MoE 计算量</t>
  </si>
  <si>
    <t>Other 推理计算量</t>
  </si>
  <si>
    <t>总推理计算量</t>
  </si>
  <si>
    <t>Attention HBM 流量</t>
  </si>
  <si>
    <t>本地逻辑 HBM 读写量，不含缓存复用。</t>
  </si>
  <si>
    <t>MoE HBM 流量</t>
  </si>
  <si>
    <t>Other HBM 流量</t>
  </si>
  <si>
    <t>总 HBM 流量</t>
  </si>
  <si>
    <t>Attention 所需 HBM 带宽</t>
  </si>
  <si>
    <t>按 Parameters 中目标时延换算。</t>
  </si>
  <si>
    <t>MoE 所需 HBM 带宽</t>
  </si>
  <si>
    <t>Other 所需 HBM 带宽</t>
  </si>
  <si>
    <t>一次推理所需芯片计算量</t>
  </si>
  <si>
    <t>单次推理调用的单 Rank 总 FLOPs；不除以目标时延，延迟由芯片峰值算力另行估算。</t>
  </si>
  <si>
    <t>卡间互连传输量</t>
  </si>
  <si>
    <t>Ring 集合通信单 Rank 发送加接收；TP1 为 0。</t>
  </si>
  <si>
    <t>目标时延所需互连带宽</t>
  </si>
  <si>
    <t>未考虑通信与计算重叠、拓扑和协议效率。</t>
  </si>
  <si>
    <t>Attention 逻辑参数量</t>
  </si>
  <si>
    <t>投影、Compressor、Indexer。</t>
  </si>
  <si>
    <t>MoE 逻辑参数量</t>
  </si>
  <si>
    <t>Routed/Shared Expert 与 Router。</t>
  </si>
  <si>
    <t>Other 逻辑参数量</t>
  </si>
  <si>
    <t>Embedding、LM Head、HC、Norm。</t>
  </si>
  <si>
    <t>总逻辑参数量</t>
  </si>
  <si>
    <t>不含 MTP。</t>
  </si>
  <si>
    <t>Attention 参数容量</t>
  </si>
  <si>
    <t>按推理 dtype 与 Scale 计算。</t>
  </si>
  <si>
    <t>MoE 参数容量</t>
  </si>
  <si>
    <t>Routed FP4，Shared FP8。</t>
  </si>
  <si>
    <t>Other 参数容量</t>
  </si>
  <si>
    <t>总参数容量</t>
  </si>
  <si>
    <t>单 Rank 静态参数驻留。</t>
  </si>
  <si>
    <t>有效主 KV Cache</t>
  </si>
  <si>
    <t>KV/State 在当前实现中每个 TP Rank 复制。</t>
  </si>
  <si>
    <t>有效 Indexer KV Cache</t>
  </si>
  <si>
    <t>Compressor State</t>
  </si>
  <si>
    <t>预分配 KV + State</t>
  </si>
  <si>
    <t>总驻留容量</t>
  </si>
  <si>
    <t>参数 + 预分配 KV/State；不含临时 workspace。</t>
  </si>
  <si>
    <t>TP8（配置值=8）单 Rank 资源</t>
  </si>
</sst>
</file>

<file path=xl/styles.xml><?xml version="1.0" encoding="utf-8"?>
<styleSheet xmlns="http://schemas.openxmlformats.org/spreadsheetml/2006/main">
  <numFmts count="31">
    <numFmt numFmtId="164" formatCode="0.######## &quot;ranks&quot;"/>
    <numFmt numFmtId="165" formatCode="0.######## &quot;sequences&quot;"/>
    <numFmt numFmtId="166" formatCode="0.######## &quot;tokens&quot;"/>
    <numFmt numFmtId="167" formatCode="0.######## &quot;elements&quot;"/>
    <numFmt numFmtId="168" formatCode="0.######## &quot;heads&quot;"/>
    <numFmt numFmtId="169" formatCode="0.######## &quot;groups&quot;"/>
    <numFmt numFmtId="170" formatCode="0.######## &quot;experts&quot;"/>
    <numFmt numFmtId="171" formatCode="0.######## &quot;experts/token&quot;"/>
    <numFmt numFmtId="172" formatCode="0.######## &quot;tokens/entry&quot;"/>
    <numFmt numFmtId="173" formatCode="0.######## &quot;entries&quot;"/>
    <numFmt numFmtId="174" formatCode="0.######## &quot;streams&quot;"/>
    <numFmt numFmtId="175" formatCode="0.######## &quot;iterations&quot;"/>
    <numFmt numFmtId="176" formatCode="0.######## &quot;layers&quot;"/>
    <numFmt numFmtId="177" formatCode="0.######## &quot;bytes&quot;"/>
    <numFmt numFmtId="178" formatCode="0.######## &quot;TFLOP/s&quot;"/>
    <numFmt numFmtId="179" formatCode="0.######## &quot;GB/s&quot;"/>
    <numFmt numFmtId="180" formatCode="0.######## &quot;ms&quot;"/>
    <numFmt numFmtId="181" formatCode="0.######## &quot;heads/rank&quot;"/>
    <numFmt numFmtId="182" formatCode="0.######## &quot;experts/rank&quot;"/>
    <numFmt numFmtId="183" formatCode="0.######## &quot;groups/rank&quot;"/>
    <numFmt numFmtId="184" formatCode="0.######## &quot;tokens/rank&quot;"/>
    <numFmt numFmtId="185" formatCode="#,##0"/>
    <numFmt numFmtId="186" formatCode="0.########"/>
    <numFmt numFmtId="187" formatCode="0.######## &quot;token rows&quot;"/>
    <numFmt numFmtId="188" formatCode="0.######## &quot;pairs/sequence&quot;"/>
    <numFmt numFmtId="189" formatCode="0.######## &quot;probability&quot;"/>
    <numFmt numFmtId="190" formatCode="#,##0.000"/>
    <numFmt numFmtId="191" formatCode="#,##0.000 &quot;GB&quot;"/>
    <numFmt numFmtId="192" formatCode="#,##0.000 &quot;G&quot;"/>
    <numFmt numFmtId="193" formatCode="#,##0.000 &quot;TFLOPs&quot;"/>
    <numFmt numFmtId="194" formatCode="#,##0.000 &quot;GFLOPs&quot;"/>
  </numFmts>
  <fonts count="6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168" fontId="0" fillId="3" borderId="1" xfId="0" applyNumberFormat="1" applyFill="1" applyBorder="1"/>
    <xf numFmtId="169" fontId="0" fillId="3" borderId="1" xfId="0" applyNumberFormat="1" applyFill="1" applyBorder="1"/>
    <xf numFmtId="170" fontId="0" fillId="3" borderId="1" xfId="0" applyNumberFormat="1" applyFill="1" applyBorder="1"/>
    <xf numFmtId="171" fontId="0" fillId="3" borderId="1" xfId="0" applyNumberFormat="1" applyFill="1" applyBorder="1"/>
    <xf numFmtId="172" fontId="0" fillId="3" borderId="1" xfId="0" applyNumberFormat="1" applyFill="1" applyBorder="1"/>
    <xf numFmtId="173" fontId="0" fillId="3" borderId="1" xfId="0" applyNumberFormat="1" applyFill="1" applyBorder="1"/>
    <xf numFmtId="174" fontId="0" fillId="3" borderId="1" xfId="0" applyNumberFormat="1" applyFill="1" applyBorder="1"/>
    <xf numFmtId="175" fontId="0" fillId="3" borderId="1" xfId="0" applyNumberFormat="1" applyFill="1" applyBorder="1"/>
    <xf numFmtId="176" fontId="0" fillId="3" borderId="1" xfId="0" applyNumberFormat="1" applyFill="1" applyBorder="1"/>
    <xf numFmtId="177" fontId="0" fillId="3" borderId="1" xfId="0" applyNumberFormat="1" applyFill="1" applyBorder="1"/>
    <xf numFmtId="178" fontId="0" fillId="3" borderId="1" xfId="0" applyNumberFormat="1" applyFill="1" applyBorder="1"/>
    <xf numFmtId="179" fontId="0" fillId="3" borderId="1" xfId="0" applyNumberFormat="1" applyFill="1" applyBorder="1"/>
    <xf numFmtId="180" fontId="0" fillId="3" borderId="1" xfId="0" applyNumberFormat="1" applyFill="1" applyBorder="1"/>
    <xf numFmtId="176" fontId="0" fillId="4" borderId="1" xfId="0" applyNumberFormat="1" applyFill="1" applyBorder="1"/>
    <xf numFmtId="181" fontId="0" fillId="4" borderId="1" xfId="0" applyNumberFormat="1" applyFill="1" applyBorder="1"/>
    <xf numFmtId="182" fontId="0" fillId="4" borderId="1" xfId="0" applyNumberFormat="1" applyFill="1" applyBorder="1"/>
    <xf numFmtId="183" fontId="0" fillId="4" borderId="1" xfId="0" applyNumberFormat="1" applyFill="1" applyBorder="1"/>
    <xf numFmtId="18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85" fontId="0" fillId="0" borderId="1" xfId="0" applyNumberFormat="1" applyBorder="1"/>
    <xf numFmtId="186" fontId="0" fillId="3" borderId="1" xfId="0" applyNumberFormat="1" applyFill="1" applyBorder="1"/>
    <xf numFmtId="186" fontId="0" fillId="4" borderId="1" xfId="0" applyNumberFormat="1" applyFill="1" applyBorder="1"/>
    <xf numFmtId="187" fontId="0" fillId="4" borderId="1" xfId="0" applyNumberFormat="1" applyFill="1" applyBorder="1"/>
    <xf numFmtId="188" fontId="0" fillId="4" borderId="1" xfId="0" applyNumberFormat="1" applyFill="1" applyBorder="1"/>
    <xf numFmtId="189" fontId="0" fillId="4" borderId="1" xfId="0" applyNumberFormat="1" applyFill="1" applyBorder="1"/>
    <xf numFmtId="190" fontId="0" fillId="0" borderId="1" xfId="0" applyNumberFormat="1" applyBorder="1" applyAlignment="1">
      <alignment horizontal="right"/>
    </xf>
    <xf numFmtId="190" fontId="0" fillId="0" borderId="1" xfId="0" applyNumberFormat="1" applyBorder="1"/>
    <xf numFmtId="190" fontId="5" fillId="7" borderId="1" xfId="0" applyNumberFormat="1" applyFont="1" applyFill="1" applyBorder="1"/>
    <xf numFmtId="191" fontId="0" fillId="0" borderId="1" xfId="0" applyNumberFormat="1" applyBorder="1"/>
    <xf numFmtId="192" fontId="0" fillId="0" borderId="1" xfId="0" applyNumberFormat="1" applyBorder="1"/>
    <xf numFmtId="193" fontId="0" fillId="0" borderId="1" xfId="0" applyNumberFormat="1" applyBorder="1"/>
    <xf numFmtId="194" fontId="0" fillId="0" borderId="1" xfId="0" applyNumberForma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一次推理所需总计算量/单 Rank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单次推理 FLOPs</c:v>
          </c:tx>
          <c:dLbls>
            <c:numFmt formatCode="0.0" sourceLinked="0"/>
            <c:showVal val="1"/>
          </c:dLbls>
          <c:cat>
            <c:strRef>
              <c:f>Comparison!$A$31:$A$34</c:f>
              <c:strCache>
                <c:ptCount val="4"/>
                <c:pt idx="0">
                  <c:v>Prefill TP1/rank</c:v>
                </c:pt>
                <c:pt idx="1">
                  <c:v>Prefill TP8/rank</c:v>
                </c:pt>
                <c:pt idx="2">
                  <c:v>Decode TP1/rank</c:v>
                </c:pt>
                <c:pt idx="3">
                  <c:v>Decode TP8/rank</c:v>
                </c:pt>
              </c:strCache>
            </c:strRef>
          </c:cat>
          <c:val>
            <c:numRef>
              <c:f>Comparison!$H$31:$H$34</c:f>
              <c:numCache>
                <c:formatCode>General</c:formatCode>
                <c:ptCount val="4"/>
                <c:pt idx="0">
                  <c:v>228384427393024.0</c:v>
                </c:pt>
                <c:pt idx="1">
                  <c:v>55639314186240.0</c:v>
                </c:pt>
                <c:pt idx="2">
                  <c:v>140354134102.0</c:v>
                </c:pt>
                <c:pt idx="3">
                  <c:v>23548076118.0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FLOPs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Comparison!$D$5:$D$7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Comparison!$E$5:$E$7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Comparison!$B$11:$B$13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Comparison!$C$11:$C$13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Comparison!$D$11:$D$13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Comparison!$E$11:$E$13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静态参数容量/单 Rank（Prefill/Decode 共用）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Comparison!$B$17:$B$19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Comparison!$C$17:$C$19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TP1 vs TP8：单 Rank 推理驻留容量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Comparison!$A$23:$A$25</c:f>
              <c:strCache>
                <c:ptCount val="3"/>
                <c:pt idx="0">
                  <c:v>静态参数（场景共用）</c:v>
                </c:pt>
                <c:pt idx="1">
                  <c:v>预分配 KV+State（Prefill/Decode 当前相同）</c:v>
                </c:pt>
                <c:pt idx="2">
                  <c:v>总驻留（静态参数+KV+State）</c:v>
                </c:pt>
              </c:strCache>
            </c:strRef>
          </c:cat>
          <c:val>
            <c:numRef>
              <c:f>Comparison!$B$23:$B$25</c:f>
              <c:numCache>
                <c:formatCode>General</c:formatCode>
                <c:ptCount val="3"/>
                <c:pt idx="0">
                  <c:v>159.117270492</c:v>
                </c:pt>
                <c:pt idx="1">
                  <c:v>7.232045056</c:v>
                </c:pt>
                <c:pt idx="2">
                  <c:v>166.349315548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Comparison!$A$23:$A$25</c:f>
              <c:strCache>
                <c:ptCount val="3"/>
                <c:pt idx="0">
                  <c:v>静态参数（场景共用）</c:v>
                </c:pt>
                <c:pt idx="1">
                  <c:v>预分配 KV+State（Prefill/Decode 当前相同）</c:v>
                </c:pt>
                <c:pt idx="2">
                  <c:v>总驻留（静态参数+KV+State）</c:v>
                </c:pt>
              </c:strCache>
            </c:strRef>
          </c:cat>
          <c:val>
            <c:numRef>
              <c:f>Comparison!$C$23:$C$25</c:f>
              <c:numCache>
                <c:formatCode>General</c:formatCode>
                <c:ptCount val="3"/>
                <c:pt idx="0">
                  <c:v>22.349822332</c:v>
                </c:pt>
                <c:pt idx="1">
                  <c:v>7.232045056</c:v>
                </c:pt>
                <c:pt idx="2">
                  <c:v>29.581867388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low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legend>
      <c:legendPos val="b"/>
      <c:layout/>
    </c:legend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0</xdr:rowOff>
    </xdr:from>
    <xdr:to>
      <xdr:col>3</xdr:col>
      <xdr:colOff>1371600</xdr:colOff>
      <xdr:row>51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3</xdr:col>
      <xdr:colOff>1371600</xdr:colOff>
      <xdr:row>68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52</xdr:row>
      <xdr:rowOff>0</xdr:rowOff>
    </xdr:from>
    <xdr:to>
      <xdr:col>18</xdr:col>
      <xdr:colOff>361950</xdr:colOff>
      <xdr:row>68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3</xdr:col>
      <xdr:colOff>1371600</xdr:colOff>
      <xdr:row>85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0</xdr:colOff>
      <xdr:row>69</xdr:row>
      <xdr:rowOff>0</xdr:rowOff>
    </xdr:from>
    <xdr:to>
      <xdr:col>18</xdr:col>
      <xdr:colOff>361950</xdr:colOff>
      <xdr:row>85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3</xdr:col>
      <xdr:colOff>1371600</xdr:colOff>
      <xdr:row>102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0</xdr:colOff>
      <xdr:row>86</xdr:row>
      <xdr:rowOff>0</xdr:rowOff>
    </xdr:from>
    <xdr:to>
      <xdr:col>18</xdr:col>
      <xdr:colOff>361950</xdr:colOff>
      <xdr:row>102</xdr:row>
      <xdr:rowOff>104775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K44" totalsRowShown="0">
  <autoFilter ref="A32:K44"/>
  <tableColumns count="11">
    <tableColumn id="1" name="Category"/>
    <tableColumn id="2" name="Item"/>
    <tableColumn id="3" name="Layer scope"/>
    <tableColumn id="4" name="TP1 FLOPs"/>
    <tableColumn id="5" name="TP8 FLOPs/rank"/>
    <tableColumn id="6" name="TP1 HBM/rank"/>
    <tableColumn id="7" name="TP8 HBM/rank"/>
    <tableColumn id="8" name="TP1 Interconnect"/>
    <tableColumn id="9" name="TP8 Interconnect/rank"/>
    <tableColumn id="10" name="Accounting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C_Inference_Detail" displayName="DC_Inference_Detail" ref="A32:K44" totalsRowShown="0">
  <autoFilter ref="A32:K44"/>
  <tableColumns count="11">
    <tableColumn id="1" name="Category"/>
    <tableColumn id="2" name="Item"/>
    <tableColumn id="3" name="Layer scope"/>
    <tableColumn id="4" name="TP1 FLOPs"/>
    <tableColumn id="5" name="TP8 FLOPs/rank"/>
    <tableColumn id="6" name="TP1 HBM/rank"/>
    <tableColumn id="7" name="TP8 HBM/rank"/>
    <tableColumn id="8" name="TP1 Interconnect"/>
    <tableColumn id="9" name="TP8 Interconnect/rank"/>
    <tableColumn id="10" name="Accounting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ference_Parameter_Detail" displayName="Inference_Parameter_Detail" ref="A3:H14" totalsRowShown="0">
  <autoFilter ref="A3:H14"/>
  <tableColumns count="8">
    <tableColumn id="1" name="大类"/>
    <tableColumn id="2" name="参数组件"/>
    <tableColumn id="3" name="全局参数量"/>
    <tableColumn id="4" name="TP1 参数量/rank"/>
    <tableColumn id="5" name="TP8 参数量/rank"/>
    <tableColumn id="6" name="TP1 容量/rank"/>
    <tableColumn id="7" name="TP8 容量/rank"/>
    <tableColumn id="8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_Rank_Inference_Memory" displayName="Per_Rank_Inference_Memory" ref="A37:J39" totalsRowShown="0">
  <autoFilter ref="A37:J39"/>
  <tableColumns count="10">
    <tableColumn id="1" name="配置"/>
    <tableColumn id="2" name="Rank"/>
    <tableColumn id="3" name="Attention 参数"/>
    <tableColumn id="4" name="MoE 参数"/>
    <tableColumn id="5" name="Other 参数"/>
    <tableColumn id="6" name="参数总计"/>
    <tableColumn id="7" name="Decode KV+State"/>
    <tableColumn id="8" name="总驻留"/>
    <tableColumn id="9" name="逻辑参数量"/>
    <tableColumn id="10" name="有效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DType_Module_Layout" displayName="DType_Module_Layout" ref="A3:E18" totalsRowShown="0">
  <autoFilter ref="A3:E18"/>
  <tableColumns count="5">
    <tableColumn id="1" name="适用范围"/>
    <tableColumn id="2" name="模块/张量"/>
    <tableColumn id="3" name="落盘/参数存储"/>
    <tableColumn id="4" name="激活/中间计算"/>
    <tableColumn id="5" name="说明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Type_Layer_Layout" displayName="DType_Layer_Layout" ref="A21:I64" totalsRowShown="0">
  <autoFilter ref="A21:I64"/>
  <tableColumns count="9">
    <tableColumn id="1" name="Layer ID"/>
    <tableColumn id="2" name="Attention 模式"/>
    <tableColumn id="3" name="压缩比例"/>
    <tableColumn id="4" name="Router 模式"/>
    <tableColumn id="5" name="Hidden / residual"/>
    <tableColumn id="6" name="Attention 主投影"/>
    <tableColumn id="7" name="Routed Expert"/>
    <tableColumn id="8" name="Shared Expert"/>
    <tableColumn id="9" name="Norm / HC / Router math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58.7109375" customWidth="1"/>
    <col min="6" max="6" width="16.7109375" customWidth="1"/>
  </cols>
  <sheetData>
    <row r="1" spans="1:6">
      <c r="A1" s="1" t="s">
        <v>0</v>
      </c>
    </row>
    <row r="2" spans="1:6">
      <c r="A2" s="2" t="s">
        <v>1</v>
      </c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spans="1:6">
      <c r="A4" s="4" t="s">
        <v>8</v>
      </c>
      <c r="B4" s="4" t="s">
        <v>9</v>
      </c>
      <c r="C4" s="4" t="s">
        <v>10</v>
      </c>
      <c r="D4" s="5">
        <v>1</v>
      </c>
      <c r="E4" s="4" t="s">
        <v>11</v>
      </c>
    </row>
    <row r="5" spans="1:6">
      <c r="A5" s="4" t="s">
        <v>8</v>
      </c>
      <c r="B5" s="4" t="s">
        <v>12</v>
      </c>
      <c r="C5" s="4" t="s">
        <v>13</v>
      </c>
      <c r="D5" s="5">
        <v>8</v>
      </c>
      <c r="E5" s="4" t="s">
        <v>14</v>
      </c>
    </row>
    <row r="6" spans="1:6">
      <c r="A6" s="4" t="s">
        <v>15</v>
      </c>
      <c r="B6" s="4" t="s">
        <v>16</v>
      </c>
      <c r="C6" s="4" t="s">
        <v>17</v>
      </c>
      <c r="D6" s="6">
        <v>1</v>
      </c>
      <c r="E6" s="4" t="s">
        <v>18</v>
      </c>
    </row>
    <row r="7" spans="1:6">
      <c r="A7" s="4" t="s">
        <v>15</v>
      </c>
      <c r="B7" s="4" t="s">
        <v>19</v>
      </c>
      <c r="C7" s="4" t="s">
        <v>20</v>
      </c>
      <c r="D7" s="7">
        <v>8192</v>
      </c>
      <c r="E7" s="4" t="s">
        <v>21</v>
      </c>
    </row>
    <row r="8" spans="1:6">
      <c r="A8" s="4" t="s">
        <v>15</v>
      </c>
      <c r="B8" s="4" t="s">
        <v>22</v>
      </c>
      <c r="C8" s="4" t="s">
        <v>23</v>
      </c>
      <c r="D8" s="6">
        <v>1</v>
      </c>
      <c r="E8" s="4" t="s">
        <v>24</v>
      </c>
    </row>
    <row r="9" spans="1:6">
      <c r="A9" s="4" t="s">
        <v>15</v>
      </c>
      <c r="B9" s="4" t="s">
        <v>25</v>
      </c>
      <c r="C9" s="4" t="s">
        <v>26</v>
      </c>
      <c r="D9" s="7">
        <v>1</v>
      </c>
      <c r="E9" s="4" t="s">
        <v>27</v>
      </c>
    </row>
    <row r="10" spans="1:6">
      <c r="A10" s="4" t="s">
        <v>15</v>
      </c>
      <c r="B10" s="4" t="s">
        <v>28</v>
      </c>
      <c r="C10" s="4" t="s">
        <v>29</v>
      </c>
      <c r="D10" s="7">
        <v>1048576</v>
      </c>
      <c r="E10" s="4" t="s">
        <v>30</v>
      </c>
    </row>
    <row r="11" spans="1:6">
      <c r="A11" s="4" t="s">
        <v>15</v>
      </c>
      <c r="B11" s="4" t="s">
        <v>31</v>
      </c>
      <c r="C11" s="4" t="s">
        <v>32</v>
      </c>
      <c r="D11" s="7">
        <v>1048576</v>
      </c>
      <c r="E11" s="4" t="s">
        <v>33</v>
      </c>
    </row>
    <row r="12" spans="1:6">
      <c r="A12" s="4" t="s">
        <v>34</v>
      </c>
      <c r="B12" s="4" t="s">
        <v>35</v>
      </c>
      <c r="C12" s="4" t="s">
        <v>36</v>
      </c>
      <c r="D12" s="8">
        <v>4096</v>
      </c>
      <c r="E12" s="4" t="s">
        <v>37</v>
      </c>
    </row>
    <row r="13" spans="1:6">
      <c r="A13" s="4" t="s">
        <v>34</v>
      </c>
      <c r="B13" s="4" t="s">
        <v>38</v>
      </c>
      <c r="C13" s="4" t="s">
        <v>39</v>
      </c>
      <c r="D13" s="7">
        <v>129280</v>
      </c>
      <c r="E13" s="4" t="s">
        <v>40</v>
      </c>
    </row>
    <row r="14" spans="1:6">
      <c r="A14" s="4" t="s">
        <v>41</v>
      </c>
      <c r="B14" s="4" t="s">
        <v>42</v>
      </c>
      <c r="C14" s="4" t="s">
        <v>43</v>
      </c>
      <c r="D14" s="9">
        <v>64</v>
      </c>
      <c r="E14" s="4" t="s">
        <v>44</v>
      </c>
    </row>
    <row r="15" spans="1:6">
      <c r="A15" s="4" t="s">
        <v>41</v>
      </c>
      <c r="B15" s="4" t="s">
        <v>45</v>
      </c>
      <c r="C15" s="4" t="s">
        <v>46</v>
      </c>
      <c r="D15" s="8">
        <v>512</v>
      </c>
      <c r="E15" s="4" t="s">
        <v>47</v>
      </c>
    </row>
    <row r="16" spans="1:6">
      <c r="A16" s="4" t="s">
        <v>41</v>
      </c>
      <c r="B16" s="4" t="s">
        <v>48</v>
      </c>
      <c r="C16" s="4" t="s">
        <v>49</v>
      </c>
      <c r="D16" s="8">
        <v>64</v>
      </c>
      <c r="E16" s="4" t="s">
        <v>50</v>
      </c>
    </row>
    <row r="17" spans="1:5">
      <c r="A17" s="4" t="s">
        <v>41</v>
      </c>
      <c r="B17" s="4" t="s">
        <v>51</v>
      </c>
      <c r="C17" s="4" t="s">
        <v>52</v>
      </c>
      <c r="D17" s="8">
        <v>1024</v>
      </c>
      <c r="E17" s="4" t="s">
        <v>53</v>
      </c>
    </row>
    <row r="18" spans="1:5">
      <c r="A18" s="4" t="s">
        <v>41</v>
      </c>
      <c r="B18" s="4" t="s">
        <v>54</v>
      </c>
      <c r="C18" s="4" t="s">
        <v>55</v>
      </c>
      <c r="D18" s="10">
        <v>8</v>
      </c>
      <c r="E18" s="4" t="s">
        <v>56</v>
      </c>
    </row>
    <row r="19" spans="1:5">
      <c r="A19" s="4" t="s">
        <v>41</v>
      </c>
      <c r="B19" s="4" t="s">
        <v>57</v>
      </c>
      <c r="C19" s="4" t="s">
        <v>58</v>
      </c>
      <c r="D19" s="8">
        <v>1024</v>
      </c>
      <c r="E19" s="4" t="s">
        <v>59</v>
      </c>
    </row>
    <row r="20" spans="1:5">
      <c r="A20" s="4" t="s">
        <v>60</v>
      </c>
      <c r="B20" s="4" t="s">
        <v>61</v>
      </c>
      <c r="C20" s="4" t="s">
        <v>62</v>
      </c>
      <c r="D20" s="11">
        <v>256</v>
      </c>
      <c r="E20" s="4" t="s">
        <v>63</v>
      </c>
    </row>
    <row r="21" spans="1:5">
      <c r="A21" s="4" t="s">
        <v>60</v>
      </c>
      <c r="B21" s="4" t="s">
        <v>64</v>
      </c>
      <c r="C21" s="4" t="s">
        <v>65</v>
      </c>
      <c r="D21" s="12">
        <v>6</v>
      </c>
      <c r="E21" s="4" t="s">
        <v>66</v>
      </c>
    </row>
    <row r="22" spans="1:5">
      <c r="A22" s="4" t="s">
        <v>60</v>
      </c>
      <c r="B22" s="4" t="s">
        <v>67</v>
      </c>
      <c r="C22" s="4" t="s">
        <v>68</v>
      </c>
      <c r="D22" s="11">
        <v>1</v>
      </c>
      <c r="E22" s="4" t="s">
        <v>69</v>
      </c>
    </row>
    <row r="23" spans="1:5">
      <c r="A23" s="4" t="s">
        <v>60</v>
      </c>
      <c r="B23" s="4" t="s">
        <v>70</v>
      </c>
      <c r="C23" s="4" t="s">
        <v>71</v>
      </c>
      <c r="D23" s="8">
        <v>2048</v>
      </c>
      <c r="E23" s="4" t="s">
        <v>72</v>
      </c>
    </row>
    <row r="24" spans="1:5">
      <c r="A24" s="4" t="s">
        <v>73</v>
      </c>
      <c r="B24" s="4" t="s">
        <v>74</v>
      </c>
      <c r="C24" s="4" t="s">
        <v>75</v>
      </c>
      <c r="D24" s="7">
        <v>128</v>
      </c>
      <c r="E24" s="4" t="s">
        <v>76</v>
      </c>
    </row>
    <row r="25" spans="1:5">
      <c r="A25" s="4" t="s">
        <v>73</v>
      </c>
      <c r="B25" s="4" t="s">
        <v>77</v>
      </c>
      <c r="C25" s="4" t="s">
        <v>78</v>
      </c>
      <c r="D25" s="13">
        <v>4</v>
      </c>
      <c r="E25" s="4" t="s">
        <v>79</v>
      </c>
    </row>
    <row r="26" spans="1:5">
      <c r="A26" s="4" t="s">
        <v>73</v>
      </c>
      <c r="B26" s="4" t="s">
        <v>80</v>
      </c>
      <c r="C26" s="4" t="s">
        <v>81</v>
      </c>
      <c r="D26" s="13">
        <v>128</v>
      </c>
      <c r="E26" s="4" t="s">
        <v>82</v>
      </c>
    </row>
    <row r="27" spans="1:5">
      <c r="A27" s="4" t="s">
        <v>83</v>
      </c>
      <c r="B27" s="4" t="s">
        <v>84</v>
      </c>
      <c r="C27" s="4" t="s">
        <v>85</v>
      </c>
      <c r="D27" s="9">
        <v>64</v>
      </c>
      <c r="E27" s="4" t="s">
        <v>86</v>
      </c>
    </row>
    <row r="28" spans="1:5">
      <c r="A28" s="4" t="s">
        <v>83</v>
      </c>
      <c r="B28" s="4" t="s">
        <v>87</v>
      </c>
      <c r="C28" s="4" t="s">
        <v>88</v>
      </c>
      <c r="D28" s="8">
        <v>128</v>
      </c>
      <c r="E28" s="4" t="s">
        <v>89</v>
      </c>
    </row>
    <row r="29" spans="1:5">
      <c r="A29" s="4" t="s">
        <v>83</v>
      </c>
      <c r="B29" s="4" t="s">
        <v>90</v>
      </c>
      <c r="C29" s="4" t="s">
        <v>91</v>
      </c>
      <c r="D29" s="14">
        <v>512</v>
      </c>
      <c r="E29" s="4" t="s">
        <v>92</v>
      </c>
    </row>
    <row r="30" spans="1:5">
      <c r="A30" s="4" t="s">
        <v>93</v>
      </c>
      <c r="B30" s="4" t="s">
        <v>94</v>
      </c>
      <c r="C30" s="4" t="s">
        <v>95</v>
      </c>
      <c r="D30" s="15">
        <v>4</v>
      </c>
      <c r="E30" s="4" t="s">
        <v>96</v>
      </c>
    </row>
    <row r="31" spans="1:5">
      <c r="A31" s="4" t="s">
        <v>93</v>
      </c>
      <c r="B31" s="4" t="s">
        <v>97</v>
      </c>
      <c r="C31" s="4" t="s">
        <v>98</v>
      </c>
      <c r="D31" s="16">
        <v>20</v>
      </c>
      <c r="E31" s="4" t="s">
        <v>99</v>
      </c>
    </row>
    <row r="32" spans="1:5">
      <c r="A32" s="4" t="s">
        <v>100</v>
      </c>
      <c r="B32" s="4" t="s">
        <v>101</v>
      </c>
      <c r="C32" s="4" t="s">
        <v>102</v>
      </c>
      <c r="D32" s="17">
        <v>3</v>
      </c>
      <c r="E32" s="4" t="s">
        <v>103</v>
      </c>
    </row>
    <row r="33" spans="1:5">
      <c r="A33" s="4" t="s">
        <v>104</v>
      </c>
      <c r="B33" s="4" t="s">
        <v>105</v>
      </c>
      <c r="C33" s="4" t="s">
        <v>106</v>
      </c>
      <c r="D33" s="18">
        <v>2</v>
      </c>
      <c r="E33" s="4" t="s">
        <v>107</v>
      </c>
    </row>
    <row r="34" spans="1:5">
      <c r="A34" s="4" t="s">
        <v>104</v>
      </c>
      <c r="B34" s="4" t="s">
        <v>108</v>
      </c>
      <c r="C34" s="4" t="s">
        <v>109</v>
      </c>
      <c r="D34" s="18">
        <v>4</v>
      </c>
      <c r="E34" s="4" t="s">
        <v>110</v>
      </c>
    </row>
    <row r="35" spans="1:5">
      <c r="A35" s="4" t="s">
        <v>104</v>
      </c>
      <c r="B35" s="4" t="s">
        <v>111</v>
      </c>
      <c r="C35" s="4" t="s">
        <v>112</v>
      </c>
      <c r="D35" s="18">
        <v>1</v>
      </c>
      <c r="E35" s="4" t="s">
        <v>113</v>
      </c>
    </row>
    <row r="36" spans="1:5">
      <c r="A36" s="4" t="s">
        <v>104</v>
      </c>
      <c r="B36" s="4" t="s">
        <v>114</v>
      </c>
      <c r="C36" s="4" t="s">
        <v>115</v>
      </c>
      <c r="D36" s="18">
        <v>0.5</v>
      </c>
      <c r="E36" s="4" t="s">
        <v>116</v>
      </c>
    </row>
    <row r="37" spans="1:5">
      <c r="A37" s="4" t="s">
        <v>104</v>
      </c>
      <c r="B37" s="4" t="s">
        <v>117</v>
      </c>
      <c r="C37" s="4" t="s">
        <v>118</v>
      </c>
      <c r="D37" s="18">
        <v>1</v>
      </c>
      <c r="E37" s="4" t="s">
        <v>119</v>
      </c>
    </row>
    <row r="38" spans="1:5">
      <c r="A38" s="4" t="s">
        <v>104</v>
      </c>
      <c r="B38" s="4" t="s">
        <v>120</v>
      </c>
      <c r="C38" s="4" t="s">
        <v>121</v>
      </c>
      <c r="D38" s="18">
        <v>4</v>
      </c>
      <c r="E38" s="4" t="s">
        <v>122</v>
      </c>
    </row>
    <row r="39" spans="1:5">
      <c r="A39" s="4" t="s">
        <v>104</v>
      </c>
      <c r="B39" s="4" t="s">
        <v>123</v>
      </c>
      <c r="C39" s="4" t="s">
        <v>124</v>
      </c>
      <c r="D39" s="18">
        <v>8</v>
      </c>
      <c r="E39" s="4" t="s">
        <v>125</v>
      </c>
    </row>
    <row r="40" spans="1:5">
      <c r="A40" s="4" t="s">
        <v>126</v>
      </c>
      <c r="B40" s="4" t="s">
        <v>127</v>
      </c>
      <c r="C40" s="4" t="s">
        <v>128</v>
      </c>
      <c r="D40" s="8">
        <v>128</v>
      </c>
      <c r="E40" s="4" t="s">
        <v>129</v>
      </c>
    </row>
    <row r="41" spans="1:5">
      <c r="A41" s="4" t="s">
        <v>126</v>
      </c>
      <c r="B41" s="4" t="s">
        <v>130</v>
      </c>
      <c r="C41" s="4" t="s">
        <v>131</v>
      </c>
      <c r="D41" s="8">
        <v>32</v>
      </c>
      <c r="E41" s="4" t="s">
        <v>132</v>
      </c>
    </row>
    <row r="42" spans="1:5">
      <c r="A42" s="4" t="s">
        <v>133</v>
      </c>
      <c r="B42" s="4" t="s">
        <v>134</v>
      </c>
      <c r="C42" s="4" t="s">
        <v>135</v>
      </c>
      <c r="D42" s="9">
        <v>16</v>
      </c>
      <c r="E42" s="4" t="s">
        <v>136</v>
      </c>
    </row>
    <row r="43" spans="1:5">
      <c r="A43" s="4" t="s">
        <v>137</v>
      </c>
      <c r="B43" s="4" t="s">
        <v>138</v>
      </c>
      <c r="C43" s="4" t="s">
        <v>139</v>
      </c>
      <c r="D43" s="19">
        <v>1000</v>
      </c>
      <c r="E43" s="4" t="s">
        <v>140</v>
      </c>
    </row>
    <row r="44" spans="1:5">
      <c r="A44" s="4" t="s">
        <v>137</v>
      </c>
      <c r="B44" s="4" t="s">
        <v>141</v>
      </c>
      <c r="C44" s="4" t="s">
        <v>142</v>
      </c>
      <c r="D44" s="20">
        <v>3000</v>
      </c>
      <c r="E44" s="4" t="s">
        <v>143</v>
      </c>
    </row>
    <row r="45" spans="1:5">
      <c r="A45" s="4" t="s">
        <v>137</v>
      </c>
      <c r="B45" s="4" t="s">
        <v>144</v>
      </c>
      <c r="C45" s="4" t="s">
        <v>145</v>
      </c>
      <c r="D45" s="20">
        <v>900</v>
      </c>
      <c r="E45" s="4" t="s">
        <v>146</v>
      </c>
    </row>
    <row r="46" spans="1:5">
      <c r="A46" s="4" t="s">
        <v>137</v>
      </c>
      <c r="B46" s="4" t="s">
        <v>147</v>
      </c>
      <c r="C46" s="4" t="s">
        <v>148</v>
      </c>
      <c r="D46" s="21">
        <v>1000</v>
      </c>
      <c r="E46" s="4" t="s">
        <v>149</v>
      </c>
    </row>
    <row r="47" spans="1:5">
      <c r="A47" s="4" t="s">
        <v>137</v>
      </c>
      <c r="B47" s="4" t="s">
        <v>150</v>
      </c>
      <c r="C47" s="4" t="s">
        <v>151</v>
      </c>
      <c r="D47" s="21">
        <v>10</v>
      </c>
      <c r="E47" s="4" t="s">
        <v>149</v>
      </c>
    </row>
    <row r="48" spans="1:5">
      <c r="A48" s="4" t="s">
        <v>152</v>
      </c>
      <c r="B48" s="4" t="s">
        <v>153</v>
      </c>
      <c r="C48" s="4" t="s">
        <v>154</v>
      </c>
      <c r="D48" s="22">
        <f>SUM(Layer_Config!$B$4:$B$67)</f>
        <v>43</v>
      </c>
      <c r="E48" s="4" t="s">
        <v>155</v>
      </c>
    </row>
    <row r="49" spans="1:5">
      <c r="A49" s="4" t="s">
        <v>152</v>
      </c>
      <c r="B49" s="4" t="s">
        <v>156</v>
      </c>
      <c r="C49" s="4" t="s">
        <v>157</v>
      </c>
      <c r="D49" s="22">
        <f>COUNTIFS(Layer_Config!$B$4:$B$67,1,Layer_Config!$C$4:$C$67,"window")</f>
        <v>2</v>
      </c>
      <c r="E49" s="4" t="s">
        <v>158</v>
      </c>
    </row>
    <row r="50" spans="1:5">
      <c r="A50" s="4" t="s">
        <v>152</v>
      </c>
      <c r="B50" s="4" t="s">
        <v>159</v>
      </c>
      <c r="C50" s="4" t="s">
        <v>160</v>
      </c>
      <c r="D50" s="22">
        <f>COUNTIFS(Layer_Config!$B$4:$B$67,1,Layer_Config!$C$4:$C$67,"short")</f>
        <v>21</v>
      </c>
      <c r="E50" s="4" t="s">
        <v>161</v>
      </c>
    </row>
    <row r="51" spans="1:5">
      <c r="A51" s="4" t="s">
        <v>152</v>
      </c>
      <c r="B51" s="4" t="s">
        <v>162</v>
      </c>
      <c r="C51" s="4" t="s">
        <v>163</v>
      </c>
      <c r="D51" s="22">
        <f>COUNTIFS(Layer_Config!$B$4:$B$67,1,Layer_Config!$C$4:$C$67,"long")</f>
        <v>20</v>
      </c>
      <c r="E51" s="4" t="s">
        <v>164</v>
      </c>
    </row>
    <row r="52" spans="1:5">
      <c r="A52" s="4" t="s">
        <v>152</v>
      </c>
      <c r="B52" s="4" t="s">
        <v>165</v>
      </c>
      <c r="C52" s="4" t="s">
        <v>166</v>
      </c>
      <c r="D52" s="22">
        <f>COUNTIFS(Layer_Config!$B$4:$B$67,1,Layer_Config!$A$4:$A$67,"&lt;"&amp;HashLayers)</f>
        <v>3</v>
      </c>
      <c r="E52" s="4" t="s">
        <v>167</v>
      </c>
    </row>
    <row r="53" spans="1:5">
      <c r="A53" s="4" t="s">
        <v>152</v>
      </c>
      <c r="B53" s="4" t="s">
        <v>168</v>
      </c>
      <c r="C53" s="4" t="s">
        <v>169</v>
      </c>
      <c r="D53" s="23">
        <f>NumHeads/TP1Size</f>
        <v>64.0</v>
      </c>
      <c r="E53" s="4" t="s">
        <v>170</v>
      </c>
    </row>
    <row r="54" spans="1:5">
      <c r="A54" s="4" t="s">
        <v>152</v>
      </c>
      <c r="B54" s="4" t="s">
        <v>171</v>
      </c>
      <c r="C54" s="4" t="s">
        <v>172</v>
      </c>
      <c r="D54" s="23">
        <f>MAX(TP1LocalHeads,KernelMinHeads)</f>
        <v>64.0</v>
      </c>
      <c r="E54" s="4" t="s">
        <v>173</v>
      </c>
    </row>
    <row r="55" spans="1:5">
      <c r="A55" s="4" t="s">
        <v>152</v>
      </c>
      <c r="B55" s="4" t="s">
        <v>174</v>
      </c>
      <c r="C55" s="4" t="s">
        <v>175</v>
      </c>
      <c r="D55" s="23">
        <f>IndexHeads/TP1Size</f>
        <v>64.0</v>
      </c>
      <c r="E55" s="4" t="s">
        <v>176</v>
      </c>
    </row>
    <row r="56" spans="1:5">
      <c r="A56" s="4" t="s">
        <v>152</v>
      </c>
      <c r="B56" s="4" t="s">
        <v>177</v>
      </c>
      <c r="C56" s="4" t="s">
        <v>178</v>
      </c>
      <c r="D56" s="24">
        <f>RoutedExperts/TP1Size</f>
        <v>256.0</v>
      </c>
      <c r="E56" s="4" t="s">
        <v>179</v>
      </c>
    </row>
    <row r="57" spans="1:5">
      <c r="A57" s="4" t="s">
        <v>152</v>
      </c>
      <c r="B57" s="4" t="s">
        <v>180</v>
      </c>
      <c r="C57" s="4" t="s">
        <v>181</v>
      </c>
      <c r="D57" s="25">
        <f>OGroups/TP1Size</f>
        <v>8.0</v>
      </c>
      <c r="E57" s="4" t="s">
        <v>182</v>
      </c>
    </row>
    <row r="58" spans="1:5">
      <c r="A58" s="4" t="s">
        <v>152</v>
      </c>
      <c r="B58" s="4" t="s">
        <v>183</v>
      </c>
      <c r="C58" s="4" t="s">
        <v>184</v>
      </c>
      <c r="D58" s="26">
        <f>VocabSize/TP1Size</f>
        <v>129280.0</v>
      </c>
      <c r="E58" s="4" t="s">
        <v>185</v>
      </c>
    </row>
    <row r="59" spans="1:5">
      <c r="A59" s="4" t="s">
        <v>152</v>
      </c>
      <c r="B59" s="4" t="s">
        <v>186</v>
      </c>
      <c r="C59" s="4" t="s">
        <v>187</v>
      </c>
      <c r="D59" s="23">
        <f>NumHeads/TP8Size</f>
        <v>8.0</v>
      </c>
      <c r="E59" s="4" t="s">
        <v>188</v>
      </c>
    </row>
    <row r="60" spans="1:5">
      <c r="A60" s="4" t="s">
        <v>152</v>
      </c>
      <c r="B60" s="4" t="s">
        <v>189</v>
      </c>
      <c r="C60" s="4" t="s">
        <v>190</v>
      </c>
      <c r="D60" s="23">
        <f>MAX(TP8LocalHeads,KernelMinHeads)</f>
        <v>16</v>
      </c>
      <c r="E60" s="4" t="s">
        <v>173</v>
      </c>
    </row>
    <row r="61" spans="1:5">
      <c r="A61" s="4" t="s">
        <v>152</v>
      </c>
      <c r="B61" s="4" t="s">
        <v>191</v>
      </c>
      <c r="C61" s="4" t="s">
        <v>192</v>
      </c>
      <c r="D61" s="23">
        <f>IndexHeads/TP8Size</f>
        <v>8.0</v>
      </c>
      <c r="E61" s="4" t="s">
        <v>193</v>
      </c>
    </row>
    <row r="62" spans="1:5">
      <c r="A62" s="4" t="s">
        <v>152</v>
      </c>
      <c r="B62" s="4" t="s">
        <v>194</v>
      </c>
      <c r="C62" s="4" t="s">
        <v>195</v>
      </c>
      <c r="D62" s="24">
        <f>RoutedExperts/TP8Size</f>
        <v>32.0</v>
      </c>
      <c r="E62" s="4" t="s">
        <v>196</v>
      </c>
    </row>
    <row r="63" spans="1:5">
      <c r="A63" s="4" t="s">
        <v>152</v>
      </c>
      <c r="B63" s="4" t="s">
        <v>197</v>
      </c>
      <c r="C63" s="4" t="s">
        <v>198</v>
      </c>
      <c r="D63" s="25">
        <f>OGroups/TP8Size</f>
        <v>1.0</v>
      </c>
      <c r="E63" s="4" t="s">
        <v>199</v>
      </c>
    </row>
    <row r="64" spans="1:5">
      <c r="A64" s="4" t="s">
        <v>152</v>
      </c>
      <c r="B64" s="4" t="s">
        <v>200</v>
      </c>
      <c r="C64" s="4" t="s">
        <v>201</v>
      </c>
      <c r="D64" s="26">
        <f>VocabSize/TP8Size</f>
        <v>16160.0</v>
      </c>
      <c r="E64" s="4" t="s">
        <v>202</v>
      </c>
    </row>
    <row r="66" spans="1:6">
      <c r="A66" s="27" t="s">
        <v>203</v>
      </c>
      <c r="B66" s="27"/>
      <c r="C66" s="27"/>
      <c r="D66" s="27"/>
      <c r="E66" s="27"/>
      <c r="F66" s="27"/>
    </row>
    <row r="67" spans="1:6">
      <c r="A67" s="4" t="s">
        <v>204</v>
      </c>
      <c r="F67" s="28" t="str">
        <f>IF(AND(MOD(NumHeads,TP1Size)=0,MOD(NumHeads,TP8Size)=0),"OK","ERROR")</f>
        <v>OK</v>
      </c>
    </row>
    <row r="68" spans="1:6">
      <c r="A68" s="4" t="s">
        <v>205</v>
      </c>
      <c r="F68" s="28" t="str">
        <f>IF(AND(MOD(RoutedExperts,TP1Size)=0,MOD(RoutedExperts,TP8Size)=0),"OK","ERROR")</f>
        <v>OK</v>
      </c>
    </row>
    <row r="69" spans="1:6">
      <c r="A69" s="4" t="s">
        <v>206</v>
      </c>
      <c r="F69" s="28" t="str">
        <f>IF(AND(MOD(OGroups,TP1Size)=0,MOD(OGroups,TP8Size)=0),"OK","ERROR")</f>
        <v>OK</v>
      </c>
    </row>
    <row r="70" spans="1:6">
      <c r="A70" s="4" t="s">
        <v>207</v>
      </c>
      <c r="F70" s="28" t="str">
        <f>IF(AND(MOD(IndexHeads,TP1Size)=0,MOD(IndexHeads,TP8Size)=0),"OK","ERROR")</f>
        <v>OK</v>
      </c>
    </row>
    <row r="71" spans="1:6">
      <c r="A71" s="4" t="s">
        <v>208</v>
      </c>
      <c r="F71" s="28" t="str">
        <f>IF(ActivatedExperts&lt;=RoutedExperts,"OK","ERROR")</f>
        <v>OK</v>
      </c>
    </row>
    <row r="72" spans="1:6">
      <c r="A72" s="4" t="s">
        <v>209</v>
      </c>
      <c r="F72" s="28" t="str">
        <f>IF(RopeDim&lt;=HeadDim,"OK","ERROR")</f>
        <v>OK</v>
      </c>
    </row>
  </sheetData>
  <autoFilter ref="A3:F64"/>
  <mergeCells count="1">
    <mergeCell ref="A66:F66"/>
  </mergeCells>
  <conditionalFormatting sqref="F4:F73">
    <cfRule type="containsText" dxfId="0" priority="1" operator="containsText" text="ERROR">
      <formula>NOT(ISERROR(SEARCH("ERROR",F4)))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210</v>
      </c>
    </row>
    <row r="2" spans="1:6">
      <c r="A2" s="2" t="s">
        <v>211</v>
      </c>
    </row>
    <row r="3" spans="1:6">
      <c r="A3" s="3" t="s">
        <v>212</v>
      </c>
      <c r="B3" s="3" t="s">
        <v>213</v>
      </c>
      <c r="C3" s="3" t="s">
        <v>214</v>
      </c>
      <c r="D3" s="3" t="s">
        <v>215</v>
      </c>
      <c r="E3" s="3" t="s">
        <v>216</v>
      </c>
      <c r="F3" s="3" t="s">
        <v>217</v>
      </c>
    </row>
    <row r="4" spans="1:6">
      <c r="A4" s="29">
        <v>0</v>
      </c>
      <c r="B4" s="30">
        <v>1</v>
      </c>
      <c r="C4" s="30" t="s">
        <v>218</v>
      </c>
      <c r="D4" s="31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29">
        <v>1</v>
      </c>
      <c r="B5" s="30">
        <v>1</v>
      </c>
      <c r="C5" s="30" t="s">
        <v>218</v>
      </c>
      <c r="D5" s="31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29">
        <v>2</v>
      </c>
      <c r="B6" s="30">
        <v>1</v>
      </c>
      <c r="C6" s="30" t="s">
        <v>219</v>
      </c>
      <c r="D6" s="31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29">
        <v>3</v>
      </c>
      <c r="B7" s="30">
        <v>1</v>
      </c>
      <c r="C7" s="30" t="s">
        <v>220</v>
      </c>
      <c r="D7" s="31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29">
        <v>4</v>
      </c>
      <c r="B8" s="30">
        <v>1</v>
      </c>
      <c r="C8" s="30" t="s">
        <v>219</v>
      </c>
      <c r="D8" s="31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29">
        <v>5</v>
      </c>
      <c r="B9" s="30">
        <v>1</v>
      </c>
      <c r="C9" s="30" t="s">
        <v>220</v>
      </c>
      <c r="D9" s="31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29">
        <v>6</v>
      </c>
      <c r="B10" s="30">
        <v>1</v>
      </c>
      <c r="C10" s="30" t="s">
        <v>219</v>
      </c>
      <c r="D10" s="31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29">
        <v>7</v>
      </c>
      <c r="B11" s="30">
        <v>1</v>
      </c>
      <c r="C11" s="30" t="s">
        <v>220</v>
      </c>
      <c r="D11" s="31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29">
        <v>8</v>
      </c>
      <c r="B12" s="30">
        <v>1</v>
      </c>
      <c r="C12" s="30" t="s">
        <v>219</v>
      </c>
      <c r="D12" s="31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29">
        <v>9</v>
      </c>
      <c r="B13" s="30">
        <v>1</v>
      </c>
      <c r="C13" s="30" t="s">
        <v>220</v>
      </c>
      <c r="D13" s="31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29">
        <v>10</v>
      </c>
      <c r="B14" s="30">
        <v>1</v>
      </c>
      <c r="C14" s="30" t="s">
        <v>219</v>
      </c>
      <c r="D14" s="31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29">
        <v>11</v>
      </c>
      <c r="B15" s="30">
        <v>1</v>
      </c>
      <c r="C15" s="30" t="s">
        <v>220</v>
      </c>
      <c r="D15" s="31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29">
        <v>12</v>
      </c>
      <c r="B16" s="30">
        <v>1</v>
      </c>
      <c r="C16" s="30" t="s">
        <v>219</v>
      </c>
      <c r="D16" s="31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29">
        <v>13</v>
      </c>
      <c r="B17" s="30">
        <v>1</v>
      </c>
      <c r="C17" s="30" t="s">
        <v>220</v>
      </c>
      <c r="D17" s="31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29">
        <v>14</v>
      </c>
      <c r="B18" s="30">
        <v>1</v>
      </c>
      <c r="C18" s="30" t="s">
        <v>219</v>
      </c>
      <c r="D18" s="31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29">
        <v>15</v>
      </c>
      <c r="B19" s="30">
        <v>1</v>
      </c>
      <c r="C19" s="30" t="s">
        <v>220</v>
      </c>
      <c r="D19" s="31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29">
        <v>16</v>
      </c>
      <c r="B20" s="30">
        <v>1</v>
      </c>
      <c r="C20" s="30" t="s">
        <v>219</v>
      </c>
      <c r="D20" s="31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29">
        <v>17</v>
      </c>
      <c r="B21" s="30">
        <v>1</v>
      </c>
      <c r="C21" s="30" t="s">
        <v>220</v>
      </c>
      <c r="D21" s="31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29">
        <v>18</v>
      </c>
      <c r="B22" s="30">
        <v>1</v>
      </c>
      <c r="C22" s="30" t="s">
        <v>219</v>
      </c>
      <c r="D22" s="31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29">
        <v>19</v>
      </c>
      <c r="B23" s="30">
        <v>1</v>
      </c>
      <c r="C23" s="30" t="s">
        <v>220</v>
      </c>
      <c r="D23" s="31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29">
        <v>20</v>
      </c>
      <c r="B24" s="30">
        <v>1</v>
      </c>
      <c r="C24" s="30" t="s">
        <v>219</v>
      </c>
      <c r="D24" s="31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29">
        <v>21</v>
      </c>
      <c r="B25" s="30">
        <v>1</v>
      </c>
      <c r="C25" s="30" t="s">
        <v>220</v>
      </c>
      <c r="D25" s="31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29">
        <v>22</v>
      </c>
      <c r="B26" s="30">
        <v>1</v>
      </c>
      <c r="C26" s="30" t="s">
        <v>219</v>
      </c>
      <c r="D26" s="31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29">
        <v>23</v>
      </c>
      <c r="B27" s="30">
        <v>1</v>
      </c>
      <c r="C27" s="30" t="s">
        <v>220</v>
      </c>
      <c r="D27" s="31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29">
        <v>24</v>
      </c>
      <c r="B28" s="30">
        <v>1</v>
      </c>
      <c r="C28" s="30" t="s">
        <v>219</v>
      </c>
      <c r="D28" s="31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29">
        <v>25</v>
      </c>
      <c r="B29" s="30">
        <v>1</v>
      </c>
      <c r="C29" s="30" t="s">
        <v>220</v>
      </c>
      <c r="D29" s="31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29">
        <v>26</v>
      </c>
      <c r="B30" s="30">
        <v>1</v>
      </c>
      <c r="C30" s="30" t="s">
        <v>219</v>
      </c>
      <c r="D30" s="31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29">
        <v>27</v>
      </c>
      <c r="B31" s="30">
        <v>1</v>
      </c>
      <c r="C31" s="30" t="s">
        <v>220</v>
      </c>
      <c r="D31" s="31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29">
        <v>28</v>
      </c>
      <c r="B32" s="30">
        <v>1</v>
      </c>
      <c r="C32" s="30" t="s">
        <v>219</v>
      </c>
      <c r="D32" s="31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29">
        <v>29</v>
      </c>
      <c r="B33" s="30">
        <v>1</v>
      </c>
      <c r="C33" s="30" t="s">
        <v>220</v>
      </c>
      <c r="D33" s="31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29">
        <v>30</v>
      </c>
      <c r="B34" s="30">
        <v>1</v>
      </c>
      <c r="C34" s="30" t="s">
        <v>219</v>
      </c>
      <c r="D34" s="31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29">
        <v>31</v>
      </c>
      <c r="B35" s="30">
        <v>1</v>
      </c>
      <c r="C35" s="30" t="s">
        <v>220</v>
      </c>
      <c r="D35" s="31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29">
        <v>32</v>
      </c>
      <c r="B36" s="30">
        <v>1</v>
      </c>
      <c r="C36" s="30" t="s">
        <v>219</v>
      </c>
      <c r="D36" s="31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29">
        <v>33</v>
      </c>
      <c r="B37" s="30">
        <v>1</v>
      </c>
      <c r="C37" s="30" t="s">
        <v>220</v>
      </c>
      <c r="D37" s="31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29">
        <v>34</v>
      </c>
      <c r="B38" s="30">
        <v>1</v>
      </c>
      <c r="C38" s="30" t="s">
        <v>219</v>
      </c>
      <c r="D38" s="31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29">
        <v>35</v>
      </c>
      <c r="B39" s="30">
        <v>1</v>
      </c>
      <c r="C39" s="30" t="s">
        <v>220</v>
      </c>
      <c r="D39" s="31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29">
        <v>36</v>
      </c>
      <c r="B40" s="30">
        <v>1</v>
      </c>
      <c r="C40" s="30" t="s">
        <v>219</v>
      </c>
      <c r="D40" s="31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29">
        <v>37</v>
      </c>
      <c r="B41" s="30">
        <v>1</v>
      </c>
      <c r="C41" s="30" t="s">
        <v>220</v>
      </c>
      <c r="D41" s="31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29">
        <v>38</v>
      </c>
      <c r="B42" s="30">
        <v>1</v>
      </c>
      <c r="C42" s="30" t="s">
        <v>219</v>
      </c>
      <c r="D42" s="31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29">
        <v>39</v>
      </c>
      <c r="B43" s="30">
        <v>1</v>
      </c>
      <c r="C43" s="30" t="s">
        <v>220</v>
      </c>
      <c r="D43" s="31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29">
        <v>40</v>
      </c>
      <c r="B44" s="30">
        <v>1</v>
      </c>
      <c r="C44" s="30" t="s">
        <v>219</v>
      </c>
      <c r="D44" s="31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29">
        <v>41</v>
      </c>
      <c r="B45" s="30">
        <v>1</v>
      </c>
      <c r="C45" s="30" t="s">
        <v>220</v>
      </c>
      <c r="D45" s="31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29">
        <v>42</v>
      </c>
      <c r="B46" s="30">
        <v>1</v>
      </c>
      <c r="C46" s="30" t="s">
        <v>219</v>
      </c>
      <c r="D46" s="31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29">
        <v>43</v>
      </c>
      <c r="B47" s="30">
        <v>0</v>
      </c>
      <c r="C47" s="30" t="s">
        <v>218</v>
      </c>
      <c r="D47" s="31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29">
        <v>44</v>
      </c>
      <c r="B48" s="30">
        <v>0</v>
      </c>
      <c r="C48" s="30" t="s">
        <v>218</v>
      </c>
      <c r="D48" s="31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29">
        <v>45</v>
      </c>
      <c r="B49" s="30">
        <v>0</v>
      </c>
      <c r="C49" s="30" t="s">
        <v>218</v>
      </c>
      <c r="D49" s="31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29">
        <v>46</v>
      </c>
      <c r="B50" s="30">
        <v>0</v>
      </c>
      <c r="C50" s="30" t="s">
        <v>218</v>
      </c>
      <c r="D50" s="31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29">
        <v>47</v>
      </c>
      <c r="B51" s="30">
        <v>0</v>
      </c>
      <c r="C51" s="30" t="s">
        <v>218</v>
      </c>
      <c r="D51" s="31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29">
        <v>48</v>
      </c>
      <c r="B52" s="30">
        <v>0</v>
      </c>
      <c r="C52" s="30" t="s">
        <v>218</v>
      </c>
      <c r="D52" s="31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29">
        <v>49</v>
      </c>
      <c r="B53" s="30">
        <v>0</v>
      </c>
      <c r="C53" s="30" t="s">
        <v>218</v>
      </c>
      <c r="D53" s="31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29">
        <v>50</v>
      </c>
      <c r="B54" s="30">
        <v>0</v>
      </c>
      <c r="C54" s="30" t="s">
        <v>218</v>
      </c>
      <c r="D54" s="31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29">
        <v>51</v>
      </c>
      <c r="B55" s="30">
        <v>0</v>
      </c>
      <c r="C55" s="30" t="s">
        <v>218</v>
      </c>
      <c r="D55" s="31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29">
        <v>52</v>
      </c>
      <c r="B56" s="30">
        <v>0</v>
      </c>
      <c r="C56" s="30" t="s">
        <v>218</v>
      </c>
      <c r="D56" s="31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29">
        <v>53</v>
      </c>
      <c r="B57" s="30">
        <v>0</v>
      </c>
      <c r="C57" s="30" t="s">
        <v>218</v>
      </c>
      <c r="D57" s="31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29">
        <v>54</v>
      </c>
      <c r="B58" s="30">
        <v>0</v>
      </c>
      <c r="C58" s="30" t="s">
        <v>218</v>
      </c>
      <c r="D58" s="31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29">
        <v>55</v>
      </c>
      <c r="B59" s="30">
        <v>0</v>
      </c>
      <c r="C59" s="30" t="s">
        <v>218</v>
      </c>
      <c r="D59" s="31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29">
        <v>56</v>
      </c>
      <c r="B60" s="30">
        <v>0</v>
      </c>
      <c r="C60" s="30" t="s">
        <v>218</v>
      </c>
      <c r="D60" s="31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29">
        <v>57</v>
      </c>
      <c r="B61" s="30">
        <v>0</v>
      </c>
      <c r="C61" s="30" t="s">
        <v>218</v>
      </c>
      <c r="D61" s="31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29">
        <v>58</v>
      </c>
      <c r="B62" s="30">
        <v>0</v>
      </c>
      <c r="C62" s="30" t="s">
        <v>218</v>
      </c>
      <c r="D62" s="31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29">
        <v>59</v>
      </c>
      <c r="B63" s="30">
        <v>0</v>
      </c>
      <c r="C63" s="30" t="s">
        <v>218</v>
      </c>
      <c r="D63" s="31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29">
        <v>60</v>
      </c>
      <c r="B64" s="30">
        <v>0</v>
      </c>
      <c r="C64" s="30" t="s">
        <v>218</v>
      </c>
      <c r="D64" s="31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29">
        <v>61</v>
      </c>
      <c r="B65" s="30">
        <v>0</v>
      </c>
      <c r="C65" s="30" t="s">
        <v>218</v>
      </c>
      <c r="D65" s="31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29">
        <v>62</v>
      </c>
      <c r="B66" s="30">
        <v>0</v>
      </c>
      <c r="C66" s="30" t="s">
        <v>218</v>
      </c>
      <c r="D66" s="31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29">
        <v>63</v>
      </c>
      <c r="B67" s="30">
        <v>0</v>
      </c>
      <c r="C67" s="30" t="s">
        <v>218</v>
      </c>
      <c r="D67" s="31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33.7109375" customWidth="1"/>
    <col min="3" max="3" width="25.7109375" customWidth="1"/>
    <col min="4" max="9" width="16.7109375" customWidth="1"/>
    <col min="10" max="10" width="13.7109375" customWidth="1"/>
    <col min="11" max="11" width="60.7109375" customWidth="1"/>
    <col min="12" max="32" width="0" hidden="1" customWidth="1"/>
  </cols>
  <sheetData>
    <row r="1" spans="1:32">
      <c r="A1" s="1" t="s">
        <v>221</v>
      </c>
    </row>
    <row r="2" spans="1:32">
      <c r="A2" s="2" t="s">
        <v>222</v>
      </c>
    </row>
    <row r="3" spans="1:32">
      <c r="A3" s="3" t="s">
        <v>223</v>
      </c>
      <c r="B3" s="3" t="s">
        <v>5</v>
      </c>
    </row>
    <row r="4" spans="1:32">
      <c r="A4" s="4" t="s">
        <v>224</v>
      </c>
      <c r="B4" s="32">
        <f>PrefillBatch*PrefillSequence</f>
        <v>8192</v>
      </c>
    </row>
    <row r="5" spans="1:32">
      <c r="A5" s="4" t="s">
        <v>225</v>
      </c>
      <c r="B5" s="33">
        <f>IF(PrefillSequence&lt;=WindowSize,PrefillSequence*(PrefillSequence+1)/2,WindowSize*(WindowSize+1)/2+(PrefillSequence-WindowSize)*WindowSize)</f>
        <v>1040448</v>
      </c>
    </row>
    <row r="6" spans="1:32">
      <c r="A6" s="4" t="s">
        <v>226</v>
      </c>
      <c r="B6" s="33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</row>
    <row r="7" spans="1:32">
      <c r="A7" s="4" t="s">
        <v>227</v>
      </c>
      <c r="B7" s="33">
        <f>LongRatio*INT(PrefillSequence/LongRatio)*(INT(PrefillSequence/LongRatio)-1)/2+INT(PrefillSequence/LongRatio)*(MOD(PrefillSequence,LongRatio)+1)</f>
        <v>258112</v>
      </c>
    </row>
    <row r="8" spans="1:32">
      <c r="A8" s="4" t="s">
        <v>228</v>
      </c>
      <c r="B8" s="33">
        <f>ShortRatio*INT(PrefillSequence/ShortRatio)*(INT(PrefillSequence/ShortRatio)-1)/2+INT(PrefillSequence/ShortRatio)*(MOD(PrefillSequence,ShortRatio)+1)</f>
        <v>8386560</v>
      </c>
    </row>
    <row r="9" spans="1:32">
      <c r="A9" s="4" t="s">
        <v>229</v>
      </c>
      <c r="B9" s="34">
        <f>1-(1-ActivatedExperts/RoutedExperts)^PF_Rows</f>
        <v>1.0</v>
      </c>
    </row>
    <row r="11" spans="1:32">
      <c r="A11" s="27" t="s">
        <v>274</v>
      </c>
      <c r="B11" s="27"/>
      <c r="C11" s="27"/>
    </row>
    <row r="12" spans="1:32">
      <c r="A12" s="3" t="s">
        <v>275</v>
      </c>
      <c r="B12" s="3" t="s">
        <v>276</v>
      </c>
      <c r="C12" s="3" t="s">
        <v>277</v>
      </c>
    </row>
    <row r="13" spans="1:32">
      <c r="A13" s="4" t="s">
        <v>278</v>
      </c>
      <c r="B13" s="35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102.836 TFLOPs</v>
      </c>
      <c r="C13" s="35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23.172 TFLOPs</v>
      </c>
      <c r="AE13" s="36">
        <f>SUMIFS($U$33:$U$44,$A$33:$A$44,"Attention",$J$33:$J$44,"Major")</f>
        <v>102836037746688.0</v>
      </c>
      <c r="AF13" s="36">
        <f>SUMIFS($V$33:$V$44,$A$33:$A$44,"Attention",$J$33:$J$44,"Major")</f>
        <v>23172382457856.0</v>
      </c>
    </row>
    <row r="14" spans="1:32">
      <c r="A14" s="4" t="s">
        <v>279</v>
      </c>
      <c r="B14" s="35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124.846 TFLOPs</v>
      </c>
      <c r="C14" s="35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31.766 TFLOPs</v>
      </c>
      <c r="AE14" s="36">
        <f>SUMIFS($U$33:$U$44,$A$33:$A$44,"MoE",$J$33:$J$44,"Major")</f>
        <v>124846109360128.0</v>
      </c>
      <c r="AF14" s="36">
        <f>SUMIFS($V$33:$V$44,$A$33:$A$44,"MoE",$J$33:$J$44,"Major")</f>
        <v>31765578121216.0</v>
      </c>
    </row>
    <row r="15" spans="1:32">
      <c r="A15" s="4" t="s">
        <v>280</v>
      </c>
      <c r="B15" s="35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702.280 GFLOPs</v>
      </c>
      <c r="C15" s="35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701.354 GFLOPs</v>
      </c>
      <c r="AE15" s="36">
        <f>SUMIF($A$33:$A$44,"Other",$U$33:$U$44)</f>
        <v>702280286208.0</v>
      </c>
      <c r="AF15" s="36">
        <f>SUMIF($A$33:$A$44,"Other",$V$33:$V$44)</f>
        <v>701353607168.0</v>
      </c>
    </row>
    <row r="16" spans="1:32">
      <c r="A16" s="4" t="s">
        <v>281</v>
      </c>
      <c r="B16" s="37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228.384 TFLOPs</v>
      </c>
      <c r="C16" s="37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55.639 TFLOPs</v>
      </c>
      <c r="AE16" s="36">
        <f>SUM($U$33:$U$44)</f>
        <v>228384427393024.0</v>
      </c>
      <c r="AF16" s="36">
        <f>SUM($V$33:$V$44)</f>
        <v>55639314186240.0</v>
      </c>
    </row>
    <row r="17" spans="1:32">
      <c r="A17" s="4" t="s">
        <v>282</v>
      </c>
      <c r="B17" s="35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358.038 GB</v>
      </c>
      <c r="C17" s="35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231.532 GB</v>
      </c>
      <c r="AE17" s="36">
        <f>SUMIF($A$33:$A$44,"Attention",$W$33:$W$44)+SUMIF($A$33:$A$44,"Attention",$X$33:$X$44)</f>
        <v>358037814400.0</v>
      </c>
      <c r="AF17" s="36">
        <f>SUMIF($A$33:$A$44,"Attention",$Y$33:$Y$44)+SUMIF($A$33:$A$44,"Attention",$Z$33:$Z$44)</f>
        <v>231531806144.0</v>
      </c>
    </row>
    <row r="18" spans="1:32">
      <c r="A18" s="4" t="s">
        <v>283</v>
      </c>
      <c r="B18" s="35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191.989 GB</v>
      </c>
      <c r="C18" s="35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32.915 GB</v>
      </c>
      <c r="AE18" s="36">
        <f>SUMIF($A$33:$A$44,"MoE",$W$33:$W$44)+SUMIF($A$33:$A$44,"MoE",$X$33:$X$44)</f>
        <v>191988670976.0</v>
      </c>
      <c r="AF18" s="36">
        <f>SUMIF($A$33:$A$44,"MoE",$Y$33:$Y$44)+SUMIF($A$33:$A$44,"MoE",$Z$33:$Z$44)</f>
        <v>32915497472.0</v>
      </c>
    </row>
    <row r="19" spans="1:32">
      <c r="A19" s="4" t="s">
        <v>284</v>
      </c>
      <c r="B19" s="35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94.596 GB</v>
      </c>
      <c r="C19" s="35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92.742 GB</v>
      </c>
      <c r="AE19" s="36">
        <f>SUMIF($A$33:$A$44,"Other",$W$33:$W$44)+SUMIF($A$33:$A$44,"Other",$X$33:$X$44)</f>
        <v>94595729480.0</v>
      </c>
      <c r="AF19" s="36">
        <f>SUMIF($A$33:$A$44,"Other",$Y$33:$Y$44)+SUMIF($A$33:$A$44,"Other",$Z$33:$Z$44)</f>
        <v>92741918920.0</v>
      </c>
    </row>
    <row r="20" spans="1:32">
      <c r="A20" s="4" t="s">
        <v>285</v>
      </c>
      <c r="B20" s="37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644.622 GB</v>
      </c>
      <c r="C20" s="37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357.189 GB</v>
      </c>
      <c r="AE20" s="36">
        <f>SUM($W$33:$X$44)</f>
        <v>644622214856.0</v>
      </c>
      <c r="AF20" s="36">
        <f>SUM($Y$33:$Z$44)</f>
        <v>357189222536.0</v>
      </c>
    </row>
    <row r="21" spans="1:32">
      <c r="A21" s="4" t="s">
        <v>286</v>
      </c>
      <c r="B21" s="35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5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40.635 GB</v>
      </c>
      <c r="AE21" s="36">
        <f>SUM($AA$33:$AA$44)</f>
        <v>0.0</v>
      </c>
      <c r="AF21" s="36">
        <f>SUM($AB$33:$AB$44)</f>
        <v>40635322112.0</v>
      </c>
    </row>
    <row r="22" spans="1:32">
      <c r="A22" s="4" t="s">
        <v>287</v>
      </c>
      <c r="B22" s="35" t="str">
        <f>TEXT(AE22,"#,##0.000")&amp;" FLOPs/byte"</f>
        <v>354.292 FLOPs/byte</v>
      </c>
      <c r="C22" s="35" t="str">
        <f>TEXT(AF22,"#,##0.000")&amp;" FLOPs/byte"</f>
        <v>155.770 FLOPs/byte</v>
      </c>
      <c r="AE22" s="36">
        <f>SUM($U$33:$U$44)/(SUM($W$33:$W$44)+SUM($X$33:$X$44))</f>
        <v>354.29189706724895</v>
      </c>
      <c r="AF22" s="36">
        <f>SUM($V$33:$V$44)/(SUM($Y$33:$Y$44)+SUM($Z$33:$Z$44))</f>
        <v>155.76985719559968</v>
      </c>
    </row>
    <row r="23" spans="1:32">
      <c r="A23" s="4" t="s">
        <v>288</v>
      </c>
      <c r="B23" s="35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228.384 TFLOPs</v>
      </c>
      <c r="C23" s="35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55.639 TFLOPs</v>
      </c>
      <c r="AE23" s="36">
        <f>SUM($U$33:$U$44)</f>
        <v>228384427393024.0</v>
      </c>
      <c r="AF23" s="36">
        <f>SUM($V$33:$V$44)</f>
        <v>55639314186240.0</v>
      </c>
    </row>
    <row r="24" spans="1:32">
      <c r="A24" s="4" t="s">
        <v>289</v>
      </c>
      <c r="B24" s="35" t="str">
        <f>TEXT(AE24,"#,##0.000")&amp;" GB/s"</f>
        <v>644.622 GB/s</v>
      </c>
      <c r="C24" s="35" t="str">
        <f>TEXT(AF24,"#,##0.000")&amp;" GB/s"</f>
        <v>357.189 GB/s</v>
      </c>
      <c r="AE24" s="36">
        <f>(SUM($W$33:$W$44)+SUM($X$33:$X$44))/(PrefillTargetMs/1000)/1E9</f>
        <v>644.622214856</v>
      </c>
      <c r="AF24" s="36">
        <f>(SUM($Y$33:$Y$44)+SUM($Z$33:$Z$44))/(PrefillTargetMs/1000)/1E9</f>
        <v>357.189222536</v>
      </c>
    </row>
    <row r="31" spans="1:32">
      <c r="A31" s="27" t="s">
        <v>230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32">
      <c r="A32" t="s">
        <v>2</v>
      </c>
      <c r="B32" t="s">
        <v>231</v>
      </c>
      <c r="C32" t="s">
        <v>232</v>
      </c>
      <c r="D32" t="s">
        <v>233</v>
      </c>
      <c r="E32" t="s">
        <v>234</v>
      </c>
      <c r="F32" t="s">
        <v>235</v>
      </c>
      <c r="G32" t="s">
        <v>236</v>
      </c>
      <c r="H32" t="s">
        <v>237</v>
      </c>
      <c r="I32" t="s">
        <v>238</v>
      </c>
      <c r="J32" t="s">
        <v>239</v>
      </c>
      <c r="K32" t="s">
        <v>240</v>
      </c>
    </row>
    <row r="33" spans="1:30">
      <c r="A33" s="4" t="s">
        <v>41</v>
      </c>
      <c r="B33" s="4" t="s">
        <v>241</v>
      </c>
      <c r="C33" s="4" t="s">
        <v>242</v>
      </c>
      <c r="D33" s="35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75.351 TFLOPs</v>
      </c>
      <c r="E33" s="35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13.297 TFLOPs</v>
      </c>
      <c r="F33" s="35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74.216 GB</v>
      </c>
      <c r="G33" s="35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24.438 GB</v>
      </c>
      <c r="H33" s="35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5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243</v>
      </c>
      <c r="K33" s="4" t="s">
        <v>244</v>
      </c>
      <c r="T33" s="36">
        <f>PF_Rows*TotalLayers*2*(HiddenSize*QLoraRank+QLoraRank*NumHeads*HeadDim+HiddenSize*HeadDim+NumHeads*HeadDim*OLoraRank+OGroups*OLoraRank*HiddenSize)</f>
        <v>75350906241024</v>
      </c>
      <c r="U33" s="36">
        <f>PF_Rows*TotalLayers*2*(HiddenSize*QLoraRank+QLoraRank*TP1LocalHeads*HeadDim+HiddenSize*HeadDim+TP1LocalHeads*HeadDim*OLoraRank+TP1LocalOGroups*OLoraRank*HiddenSize)</f>
        <v>75350906241024.0</v>
      </c>
      <c r="V33" s="36">
        <f>PF_Rows*TotalLayers*2*(HiddenSize*QLoraRank+QLoraRank*TP8LocalHeads*HeadDim+HiddenSize*HeadDim+TP8LocalHeads*HeadDim*OLoraRank+TP8LocalOGroups*OLoraRank*HiddenSize)</f>
        <v>13297218748416.0</v>
      </c>
      <c r="W33" s="36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36">
        <f>PF_Rows*TotalLayers*(QLoraRank+TP1KernelLocalHeads*HeadDim+HeadDim+TP1LocalOGroups*OLoraRank+HiddenSize)*BF16Bytes</f>
        <v>32824623104.0</v>
      </c>
      <c r="Y33" s="36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36">
        <f>PF_Rows*TotalLayers*(QLoraRank+TP8KernelLocalHeads*HeadDim+HeadDim+TP8LocalOGroups*OLoraRank+HiddenSize)*BF16Bytes</f>
        <v>10460594176.0</v>
      </c>
      <c r="AA33" s="36">
        <f>0</f>
        <v>0</v>
      </c>
      <c r="AB33" s="36">
        <f>0</f>
        <v>0</v>
      </c>
      <c r="AC33" s="36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36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41</v>
      </c>
      <c r="B34" s="4" t="s">
        <v>245</v>
      </c>
      <c r="C34" s="4" t="s">
        <v>246</v>
      </c>
      <c r="D34" s="35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16.641 TFLOPs</v>
      </c>
      <c r="E34" s="35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4.160 TFLOPs</v>
      </c>
      <c r="F34" s="35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176.179 GB</v>
      </c>
      <c r="G34" s="35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141.551 GB</v>
      </c>
      <c r="H34" s="35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5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243</v>
      </c>
      <c r="K34" s="4" t="s">
        <v>247</v>
      </c>
      <c r="T34" s="36">
        <f>4*PrefillBatch*NumHeads*HeadDim*(WindowLayers*PF_RawPairs+ShortLayers*(PF_RawPairs+PF_ShortPairs)+LongLayers*(PF_RawPairs+PF_LongPairs))</f>
        <v>16641043726336</v>
      </c>
      <c r="U34" s="36">
        <f>4*PrefillBatch*TP1KernelLocalHeads*HeadDim*(WindowLayers*PF_RawPairs+ShortLayers*(PF_RawPairs+PF_ShortPairs)+LongLayers*(PF_RawPairs+PF_LongPairs))</f>
        <v>16641043726336.0</v>
      </c>
      <c r="V34" s="36">
        <f>4*PrefillBatch*TP8KernelLocalHeads*HeadDim*(WindowLayers*PF_RawPairs+ShortLayers*(PF_RawPairs+PF_ShortPairs)+LongLayers*(PF_RawPairs+PF_LongPairs))</f>
        <v>4160260931584.0</v>
      </c>
      <c r="W34" s="36">
        <f>PF_Rows*TotalLayers*TP1KernelLocalHeads*HeadDim*BF16Bytes+PrefillBatch*(WindowLayers*PF_RawPairs+ShortLayers*(PF_RawPairs+PF_ShortPairs)+LongLayers*(PF_RawPairs+PF_LongPairs))*HeadDim*BF16Bytes</f>
        <v>153093603328.0</v>
      </c>
      <c r="X34" s="36">
        <f>PF_Rows*TotalLayers*TP1KernelLocalHeads*HeadDim*BF16Bytes</f>
        <v>23085449216.0</v>
      </c>
      <c r="Y34" s="36">
        <f>PF_Rows*TotalLayers*TP8KernelLocalHeads*HeadDim*BF16Bytes+PrefillBatch*(WindowLayers*PF_RawPairs+ShortLayers*(PF_RawPairs+PF_ShortPairs)+LongLayers*(PF_RawPairs+PF_LongPairs))*HeadDim*BF16Bytes</f>
        <v>135779516416</v>
      </c>
      <c r="Z34" s="36">
        <f>PF_Rows*TotalLayers*TP8KernelLocalHeads*HeadDim*BF16Bytes</f>
        <v>5771362304</v>
      </c>
      <c r="AA34" s="36">
        <f>0</f>
        <v>0</v>
      </c>
      <c r="AB34" s="36">
        <f>0</f>
        <v>0</v>
      </c>
      <c r="AC34" s="36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36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41</v>
      </c>
      <c r="B35" s="4" t="s">
        <v>248</v>
      </c>
      <c r="C35" s="4" t="s">
        <v>159</v>
      </c>
      <c r="D35" s="35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2.976 TFLOPs</v>
      </c>
      <c r="E35" s="35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372.052 GFLOPs</v>
      </c>
      <c r="F35" s="35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4.789 GB</v>
      </c>
      <c r="G35" s="35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2.140 GB</v>
      </c>
      <c r="H35" s="35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5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243</v>
      </c>
      <c r="K35" s="4" t="s">
        <v>249</v>
      </c>
      <c r="T35" s="36">
        <f>2*PF_Rows*ShortLayers*(QLoraRank*IndexHeads*IndexHeadDim+HiddenSize*IndexHeads)</f>
        <v>2976412336128</v>
      </c>
      <c r="U35" s="36">
        <f>2*PF_Rows*ShortLayers*(QLoraRank*TP1LocalIndexHeads*IndexHeadDim+HiddenSize*TP1LocalIndexHeads)</f>
        <v>2976412336128.0</v>
      </c>
      <c r="V35" s="36">
        <f>2*PF_Rows*ShortLayers*(QLoraRank*TP8LocalIndexHeads*IndexHeadDim+HiddenSize*TP8LocalIndexHeads)</f>
        <v>372051542016.0</v>
      </c>
      <c r="W35" s="36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36">
        <f>PF_Rows*ShortLayers*TP1LocalIndexHeads*(IndexHeadDim+1)*BF16Bytes</f>
        <v>2840592384.0</v>
      </c>
      <c r="Y35" s="36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36">
        <f>PF_Rows*ShortLayers*TP8LocalIndexHeads*(IndexHeadDim+1)*BF16Bytes</f>
        <v>355074048.0</v>
      </c>
      <c r="AA35" s="36">
        <f>0</f>
        <v>0</v>
      </c>
      <c r="AB35" s="36">
        <f>0</f>
        <v>0</v>
      </c>
      <c r="AC35" s="36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36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41</v>
      </c>
      <c r="B36" s="4" t="s">
        <v>250</v>
      </c>
      <c r="C36" s="4" t="s">
        <v>159</v>
      </c>
      <c r="D36" s="35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2.886 TFLOPs</v>
      </c>
      <c r="E36" s="35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360.689 GFLOPs</v>
      </c>
      <c r="F36" s="35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90.877 GB</v>
      </c>
      <c r="G36" s="35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51.426 GB</v>
      </c>
      <c r="H36" s="35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5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243</v>
      </c>
      <c r="K36" s="4" t="s">
        <v>251</v>
      </c>
      <c r="T36" s="36">
        <f>2*PrefillBatch*ShortLayers*IndexHeads*IndexHeadDim*PF_IndexPairs</f>
        <v>2885513379840</v>
      </c>
      <c r="U36" s="36">
        <f>2*PrefillBatch*ShortLayers*TP1LocalIndexHeads*IndexHeadDim*PF_IndexPairs</f>
        <v>2885513379840.0</v>
      </c>
      <c r="V36" s="36">
        <f>2*PrefillBatch*ShortLayers*TP8LocalIndexHeads*IndexHeadDim*PF_IndexPairs</f>
        <v>360689172480.0</v>
      </c>
      <c r="W36" s="36">
        <f>PrefillBatch*ShortLayers*PF_IndexPairs*(IndexHeadDim*BF16Bytes+TP1LocalIndexHeads*BF16Bytes)</f>
        <v>67629219840.0</v>
      </c>
      <c r="X36" s="36">
        <f>PrefillBatch*ShortLayers*PF_IndexPairs*(TP1LocalIndexHeads*BF16Bytes+FP32Bytes)</f>
        <v>23247544320.0</v>
      </c>
      <c r="Y36" s="36">
        <f>PrefillBatch*ShortLayers*PF_IndexPairs*(IndexHeadDim*BF16Bytes+TP8LocalIndexHeads*BF16Bytes)</f>
        <v>47904030720.0</v>
      </c>
      <c r="Z36" s="36">
        <f>PrefillBatch*ShortLayers*PF_IndexPairs*(TP8LocalIndexHeads*BF16Bytes+FP32Bytes)</f>
        <v>3522355200.0</v>
      </c>
      <c r="AA36" s="36">
        <f>0</f>
        <v>0</v>
      </c>
      <c r="AB36" s="36">
        <f>0</f>
        <v>0</v>
      </c>
      <c r="AC36" s="36">
        <f>(PrefillBatch*ShortLayers*PF_IndexPairs*(IndexHeadDim*BF16Bytes+TP1LocalIndexHeads*BF16Bytes))+(PrefillBatch*ShortLayers*PF_IndexPairs*(TP1LocalIndexHeads*BF16Bytes+FP32Bytes))</f>
        <v>90876764160.0</v>
      </c>
      <c r="AD36" s="36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41</v>
      </c>
      <c r="B37" s="4" t="s">
        <v>252</v>
      </c>
      <c r="C37" s="4" t="s">
        <v>253</v>
      </c>
      <c r="D37" s="35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4.261 TFLOPs</v>
      </c>
      <c r="E37" s="35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4.261 TFLOPs</v>
      </c>
      <c r="F37" s="35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8.629 GB</v>
      </c>
      <c r="G37" s="35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8.629 GB</v>
      </c>
      <c r="H37" s="35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5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243</v>
      </c>
      <c r="K37" s="4" t="s">
        <v>254</v>
      </c>
      <c r="T37" s="36">
        <f>PF_Rows*(ShortLayers*8*HiddenSize*HeadDim+LongLayers*4*HiddenSize*HeadDim)</f>
        <v>4260607557632</v>
      </c>
      <c r="U37" s="36">
        <f>PF_Rows*(ShortLayers*8*HiddenSize*HeadDim+LongLayers*4*HiddenSize*HeadDim)</f>
        <v>4260607557632</v>
      </c>
      <c r="V37" s="36">
        <f>PF_Rows*(ShortLayers*8*HiddenSize*HeadDim+LongLayers*4*HiddenSize*HeadDim)</f>
        <v>4260607557632</v>
      </c>
      <c r="W37" s="36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36">
        <f>PF_Rows*(ShortLayers*4*HeadDim+LongLayers*2*HeadDim)*FP32Bytes</f>
        <v>2080374784</v>
      </c>
      <c r="Y37" s="36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36">
        <f>PF_Rows*(ShortLayers*4*HeadDim+LongLayers*2*HeadDim)*FP32Bytes</f>
        <v>2080374784</v>
      </c>
      <c r="AA37" s="36">
        <f>0</f>
        <v>0</v>
      </c>
      <c r="AB37" s="36">
        <f>0</f>
        <v>0</v>
      </c>
      <c r="AC37" s="36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36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41</v>
      </c>
      <c r="B38" s="4" t="s">
        <v>255</v>
      </c>
      <c r="C38" s="4" t="s">
        <v>159</v>
      </c>
      <c r="D38" s="35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721.555 GFLOPs</v>
      </c>
      <c r="E38" s="35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721.555 GFLOPs</v>
      </c>
      <c r="F38" s="35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3.347 GB</v>
      </c>
      <c r="G38" s="35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3.347 GB</v>
      </c>
      <c r="H38" s="35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5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243</v>
      </c>
      <c r="K38" s="4" t="s">
        <v>256</v>
      </c>
      <c r="T38" s="36">
        <f>PF_Rows*ShortLayers*8*HiddenSize*IndexHeadDim</f>
        <v>721554505728</v>
      </c>
      <c r="U38" s="36">
        <f>PF_Rows*ShortLayers*8*HiddenSize*IndexHeadDim</f>
        <v>721554505728</v>
      </c>
      <c r="V38" s="36">
        <f>PF_Rows*ShortLayers*8*HiddenSize*IndexHeadDim</f>
        <v>721554505728</v>
      </c>
      <c r="W38" s="36">
        <f>ShortLayers*(2*HiddenSize*(2*IndexHeadDim)*FP32Bytes+ShortRatio*2*IndexHeadDim*FP32Bytes+IndexHeadDim*FP32Bytes)+PF_Rows*ShortLayers*HiddenSize*FP32Bytes</f>
        <v>2994829824</v>
      </c>
      <c r="X38" s="36">
        <f>PF_Rows*ShortLayers*4*IndexHeadDim*FP32Bytes</f>
        <v>352321536</v>
      </c>
      <c r="Y38" s="36">
        <f>ShortLayers*(2*HiddenSize*(2*IndexHeadDim)*FP32Bytes+ShortRatio*2*IndexHeadDim*FP32Bytes+IndexHeadDim*FP32Bytes)+PF_Rows*ShortLayers*HiddenSize*FP32Bytes</f>
        <v>2994829824</v>
      </c>
      <c r="Z38" s="36">
        <f>PF_Rows*ShortLayers*4*IndexHeadDim*FP32Bytes</f>
        <v>352321536</v>
      </c>
      <c r="AA38" s="36">
        <f>0</f>
        <v>0</v>
      </c>
      <c r="AB38" s="36">
        <f>0</f>
        <v>0</v>
      </c>
      <c r="AC38" s="36">
        <f>(ShortLayers*(2*HiddenSize*(2*IndexHeadDim)*FP32Bytes+ShortRatio*2*IndexHeadDim*FP32Bytes+IndexHeadDim*FP32Bytes)+PF_Rows*ShortLayers*HiddenSize*FP32Bytes)+(PF_Rows*ShortLayers*4*IndexHeadDim*FP32Bytes)</f>
        <v>3347151360</v>
      </c>
      <c r="AD38" s="36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60</v>
      </c>
      <c r="B39" s="4" t="s">
        <v>257</v>
      </c>
      <c r="C39" s="4" t="s">
        <v>242</v>
      </c>
      <c r="D39" s="35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738.734 GFLOPs</v>
      </c>
      <c r="E39" s="35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738.734 GFLOPs</v>
      </c>
      <c r="F39" s="35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3.337 GB</v>
      </c>
      <c r="G39" s="35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3.337 GB</v>
      </c>
      <c r="H39" s="35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5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243</v>
      </c>
      <c r="K39" s="4" t="s">
        <v>258</v>
      </c>
      <c r="T39" s="36">
        <f>2*PF_Rows*TotalLayers*HiddenSize*RoutedExperts</f>
        <v>738734374912</v>
      </c>
      <c r="U39" s="36">
        <f>2*PF_Rows*TotalLayers*HiddenSize*RoutedExperts</f>
        <v>738734374912</v>
      </c>
      <c r="V39" s="36">
        <f>2*PF_Rows*TotalLayers*HiddenSize*RoutedExperts</f>
        <v>738734374912</v>
      </c>
      <c r="W39" s="36">
        <f>TotalLayers*RoutedExperts*HiddenSize*BF16Bytes+(TotalLayers-ActiveHashLayers)*RoutedExperts*FP32Bytes+PF_Rows*TotalLayers*HiddenSize*BF16Bytes+PF_Rows*ActiveHashLayers*ActivatedExperts*INT32Bytes</f>
        <v>2976489472</v>
      </c>
      <c r="X39" s="36">
        <f>PF_Rows*TotalLayers*RoutedExperts*FP32Bytes</f>
        <v>360710144</v>
      </c>
      <c r="Y39" s="36">
        <f>TotalLayers*RoutedExperts*HiddenSize*BF16Bytes+(TotalLayers-ActiveHashLayers)*RoutedExperts*FP32Bytes+PF_Rows*TotalLayers*HiddenSize*BF16Bytes+PF_Rows*ActiveHashLayers*ActivatedExperts*INT32Bytes</f>
        <v>2976489472</v>
      </c>
      <c r="Z39" s="36">
        <f>PF_Rows*TotalLayers*RoutedExperts*FP32Bytes</f>
        <v>360710144</v>
      </c>
      <c r="AA39" s="36">
        <f>0</f>
        <v>0</v>
      </c>
      <c r="AB39" s="36">
        <f>0</f>
        <v>0</v>
      </c>
      <c r="AC39" s="36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36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60</v>
      </c>
      <c r="B40" s="4" t="s">
        <v>259</v>
      </c>
      <c r="C40" s="4" t="s">
        <v>242</v>
      </c>
      <c r="D40" s="35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106.378 TFLOPs</v>
      </c>
      <c r="E40" s="35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13.297 TFLOPs</v>
      </c>
      <c r="F40" s="35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181.798 GB</v>
      </c>
      <c r="G40" s="35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22.725 GB</v>
      </c>
      <c r="H40" s="35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5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243</v>
      </c>
      <c r="K40" s="4" t="s">
        <v>260</v>
      </c>
      <c r="T40" s="36">
        <f>PF_Rows*TotalLayers*ActivatedExperts*6*HiddenSize*ExpertInter</f>
        <v>106377749987328</v>
      </c>
      <c r="U40" s="36">
        <f>PF_Rows*TotalLayers*(ActivatedExperts/TP1Size)*6*HiddenSize*ExpertInter</f>
        <v>106377749987328.0</v>
      </c>
      <c r="V40" s="36">
        <f>PF_Rows*TotalLayers*(ActivatedExperts/TP8Size)*6*HiddenSize*ExpertInter</f>
        <v>13297218748416.0</v>
      </c>
      <c r="W40" s="36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36">
        <f>PF_Rows*TotalLayers*(ActivatedExperts/TP1Size)*HiddenSize*BF16Bytes</f>
        <v>17314086912.0</v>
      </c>
      <c r="Y40" s="36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36">
        <f>PF_Rows*TotalLayers*(ActivatedExperts/TP8Size)*HiddenSize*BF16Bytes</f>
        <v>2164260864.0</v>
      </c>
      <c r="AA40" s="36">
        <f>0</f>
        <v>0</v>
      </c>
      <c r="AB40" s="36">
        <f>0</f>
        <v>0</v>
      </c>
      <c r="AC40" s="36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36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60</v>
      </c>
      <c r="B41" s="4" t="s">
        <v>261</v>
      </c>
      <c r="C41" s="4" t="s">
        <v>242</v>
      </c>
      <c r="D41" s="35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17.730 TFLOPs</v>
      </c>
      <c r="E41" s="35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17.730 TFLOPs</v>
      </c>
      <c r="F41" s="35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6.854 GB</v>
      </c>
      <c r="G41" s="35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6.854 GB</v>
      </c>
      <c r="H41" s="35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5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243</v>
      </c>
      <c r="K41" s="4" t="s">
        <v>262</v>
      </c>
      <c r="T41" s="36">
        <f>PF_Rows*TotalLayers*SharedExperts*6*HiddenSize*ExpertInter</f>
        <v>17729624997888</v>
      </c>
      <c r="U41" s="36">
        <f>PF_Rows*TotalLayers*SharedExperts*6*HiddenSize*ExpertInter</f>
        <v>17729624997888</v>
      </c>
      <c r="V41" s="36">
        <f>PF_Rows*TotalLayers*SharedExperts*6*HiddenSize*ExpertInter</f>
        <v>17729624997888</v>
      </c>
      <c r="W41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36">
        <f>PF_Rows*TotalLayers*SharedExperts*HiddenSize*BF16Bytes</f>
        <v>2885681152</v>
      </c>
      <c r="Y41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36">
        <f>PF_Rows*TotalLayers*SharedExperts*HiddenSize*BF16Bytes</f>
        <v>2885681152</v>
      </c>
      <c r="AA41" s="36">
        <f>0</f>
        <v>0</v>
      </c>
      <c r="AB41" s="36">
        <f>0</f>
        <v>0</v>
      </c>
      <c r="AC41" s="36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36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263</v>
      </c>
      <c r="B42" s="4" t="s">
        <v>264</v>
      </c>
      <c r="C42" s="4" t="s">
        <v>242</v>
      </c>
      <c r="D42" s="35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701.221 GFLOPs</v>
      </c>
      <c r="E42" s="35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701.221 GFLOPs</v>
      </c>
      <c r="F42" s="35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92.477 GB</v>
      </c>
      <c r="G42" s="35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92.477 GB</v>
      </c>
      <c r="H42" s="35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5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265</v>
      </c>
      <c r="K42" s="4" t="s">
        <v>266</v>
      </c>
      <c r="T42" s="36">
        <f>TotalLayers*2*(2*PF_Rows*HCSlots*HiddenSize*((2+HCSlots)*HCSlots)+PF_Rows*(2*HCSlots*HiddenSize+1)+PF_Rows*HiddenSize*(2*HCSlots-1)+PF_Rows*HCSlots*HiddenSize*(2*HCSlots+1))</f>
        <v>701221224448</v>
      </c>
      <c r="U42" s="36">
        <f>TotalLayers*2*(2*PF_Rows*HCSlots*HiddenSize*((2+HCSlots)*HCSlots)+PF_Rows*(2*HCSlots*HiddenSize+1)+PF_Rows*HiddenSize*(2*HCSlots-1)+PF_Rows*HCSlots*HiddenSize*(2*HCSlots+1))</f>
        <v>701221224448</v>
      </c>
      <c r="V42" s="36">
        <f>TotalLayers*2*(2*PF_Rows*HCSlots*HiddenSize*((2+HCSlots)*HCSlots)+PF_Rows*(2*HCSlots*HiddenSize+1)+PF_Rows*HiddenSize*(2*HCSlots-1)+PF_Rows*HCSlots*HiddenSize*(2*HCSlots+1))</f>
        <v>701221224448</v>
      </c>
      <c r="W42" s="36">
        <f>TotalLayers*2*((2+HCSlots)*HCSlots*HCSlots*HiddenSize*FP32Bytes+((2+HCSlots)*HCSlots+3)*FP32Bytes)+PF_Rows*TotalLayers*4*HCSlots*HiddenSize*BF16Bytes</f>
        <v>46306174024.0</v>
      </c>
      <c r="X42" s="36">
        <f>PF_Rows*TotalLayers*4*HCSlots*HiddenSize*BF16Bytes</f>
        <v>46170898432</v>
      </c>
      <c r="Y42" s="36">
        <f>TotalLayers*2*((2+HCSlots)*HCSlots*HCSlots*HiddenSize*FP32Bytes+((2+HCSlots)*HCSlots+3)*FP32Bytes)+PF_Rows*TotalLayers*4*HCSlots*HiddenSize*BF16Bytes</f>
        <v>46306174024.0</v>
      </c>
      <c r="Z42" s="36">
        <f>PF_Rows*TotalLayers*4*HCSlots*HiddenSize*BF16Bytes</f>
        <v>46170898432</v>
      </c>
      <c r="AA42" s="36">
        <f>0</f>
        <v>0</v>
      </c>
      <c r="AB42" s="36">
        <f>0</f>
        <v>0</v>
      </c>
      <c r="AC42" s="36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36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263</v>
      </c>
      <c r="B43" s="4" t="s">
        <v>267</v>
      </c>
      <c r="C43" s="4" t="s">
        <v>268</v>
      </c>
      <c r="D43" s="35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5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5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5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5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5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243</v>
      </c>
      <c r="K43" s="4" t="s">
        <v>269</v>
      </c>
      <c r="T43" s="36">
        <f>2*PrefillBatch*HiddenSize*VocabSize</f>
        <v>1059061760</v>
      </c>
      <c r="U43" s="36">
        <f>2*PrefillBatch*HiddenSize*TP1LocalVocab</f>
        <v>1059061760.0</v>
      </c>
      <c r="V43" s="36">
        <f>2*PrefillBatch*HiddenSize*TP8LocalVocab</f>
        <v>132382720.0</v>
      </c>
      <c r="W43" s="36">
        <f>TP1LocalVocab*HiddenSize*FP32Bytes+PrefillBatch*HiddenSize*FP32Bytes</f>
        <v>2118139904.0</v>
      </c>
      <c r="X43" s="36">
        <f>PrefillBatch*TP1LocalVocab*FP32Bytes</f>
        <v>517120.0</v>
      </c>
      <c r="Y43" s="36">
        <f>TP8LocalVocab*HiddenSize*FP32Bytes+PrefillBatch*HiddenSize*FP32Bytes</f>
        <v>264781824.0</v>
      </c>
      <c r="Z43" s="36">
        <f>PrefillBatch*TP8LocalVocab*FP32Bytes</f>
        <v>64640.0</v>
      </c>
      <c r="AA43" s="36">
        <f>0</f>
        <v>0</v>
      </c>
      <c r="AB43" s="36">
        <f>0</f>
        <v>0</v>
      </c>
      <c r="AC43" s="36">
        <f>(TP1LocalVocab*HiddenSize*FP32Bytes+PrefillBatch*HiddenSize*FP32Bytes)+(PrefillBatch*TP1LocalVocab*FP32Bytes)</f>
        <v>2118657024.0</v>
      </c>
      <c r="AD43" s="36">
        <f>(TP8LocalVocab*HiddenSize*FP32Bytes+PrefillBatch*HiddenSize*FP32Bytes)+(PrefillBatch*TP8LocalVocab*FP32Bytes)</f>
        <v>264846464.0</v>
      </c>
    </row>
    <row r="44" spans="1:30">
      <c r="A44" s="4" t="s">
        <v>270</v>
      </c>
      <c r="B44" s="4" t="s">
        <v>271</v>
      </c>
      <c r="C44" s="4" t="s">
        <v>272</v>
      </c>
      <c r="D44" s="35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5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5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5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5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5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40.635 GB</v>
      </c>
      <c r="J44" s="4" t="s">
        <v>265</v>
      </c>
      <c r="K44" s="4" t="s">
        <v>273</v>
      </c>
      <c r="T44" s="36">
        <f>0</f>
        <v>0</v>
      </c>
      <c r="U44" s="36">
        <f>0</f>
        <v>0</v>
      </c>
      <c r="V44" s="36">
        <f>0</f>
        <v>0</v>
      </c>
      <c r="W44" s="36">
        <f>0</f>
        <v>0</v>
      </c>
      <c r="X44" s="36">
        <f>0</f>
        <v>0</v>
      </c>
      <c r="Y44" s="36">
        <f>0</f>
        <v>0</v>
      </c>
      <c r="Z44" s="36">
        <f>0</f>
        <v>0</v>
      </c>
      <c r="AA44" s="36">
        <f>4*(TP1Size-1)/TP1Size*PF_Rows*HiddenSize*BF16Bytes+2*4*(TP1Size-1)/TP1Size*PF_Rows*HiddenSize*FP32Bytes*TotalLayers+2*(TP1Size-1)*PrefillBatch*TP1LocalVocab*FP32Bytes</f>
        <v>0.0</v>
      </c>
      <c r="AB44" s="36">
        <f>4*(TP8Size-1)/TP8Size*PF_Rows*HiddenSize*BF16Bytes+2*4*(TP8Size-1)/TP8Size*PF_Rows*HiddenSize*FP32Bytes*TotalLayers+2*(TP8Size-1)*PrefillBatch*TP8LocalVocab*FP32Bytes</f>
        <v>40635322112.0</v>
      </c>
      <c r="AC44" s="36">
        <f>(0)+(0)</f>
        <v>0</v>
      </c>
      <c r="AD44" s="36">
        <f>(0)+(0)</f>
        <v>0</v>
      </c>
    </row>
  </sheetData>
  <mergeCells count="2">
    <mergeCell ref="A31:K31"/>
    <mergeCell ref="A11:C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33.7109375" customWidth="1"/>
    <col min="3" max="3" width="25.7109375" customWidth="1"/>
    <col min="4" max="9" width="16.7109375" customWidth="1"/>
    <col min="10" max="10" width="13.7109375" customWidth="1"/>
    <col min="11" max="11" width="60.7109375" customWidth="1"/>
    <col min="12" max="32" width="0" hidden="1" customWidth="1"/>
  </cols>
  <sheetData>
    <row r="1" spans="1:32">
      <c r="A1" s="1" t="s">
        <v>290</v>
      </c>
    </row>
    <row r="2" spans="1:32">
      <c r="A2" s="2" t="s">
        <v>222</v>
      </c>
    </row>
    <row r="3" spans="1:32">
      <c r="A3" s="3" t="s">
        <v>223</v>
      </c>
      <c r="B3" s="3" t="s">
        <v>5</v>
      </c>
    </row>
    <row r="4" spans="1:32">
      <c r="A4" s="4" t="s">
        <v>224</v>
      </c>
      <c r="B4" s="32">
        <f>DecodeBatch*DecodeTokens</f>
        <v>1</v>
      </c>
    </row>
    <row r="5" spans="1:32">
      <c r="A5" s="4" t="s">
        <v>291</v>
      </c>
      <c r="B5" s="33">
        <f>DecodeTokens*MIN(WindowSize,DecodeContext)</f>
        <v>128</v>
      </c>
    </row>
    <row r="6" spans="1:32">
      <c r="A6" s="4" t="s">
        <v>292</v>
      </c>
      <c r="B6" s="33">
        <f>DecodeTokens*MIN(IndexTopK,INT(DecodeContext/ShortRatio))</f>
        <v>512</v>
      </c>
    </row>
    <row r="7" spans="1:32">
      <c r="A7" s="4" t="s">
        <v>293</v>
      </c>
      <c r="B7" s="33">
        <f>DecodeTokens*INT(DecodeContext/LongRatio)</f>
        <v>8192</v>
      </c>
    </row>
    <row r="8" spans="1:32">
      <c r="A8" s="4" t="s">
        <v>294</v>
      </c>
      <c r="B8" s="33">
        <f>DecodeTokens*INT(DecodeContext/ShortRatio)</f>
        <v>262144</v>
      </c>
    </row>
    <row r="9" spans="1:32">
      <c r="A9" s="4" t="s">
        <v>229</v>
      </c>
      <c r="B9" s="34">
        <f>1-(1-ActivatedExperts/RoutedExperts)^DC_Rows</f>
        <v>0.0234375</v>
      </c>
    </row>
    <row r="11" spans="1:32">
      <c r="A11" s="27" t="s">
        <v>274</v>
      </c>
      <c r="B11" s="27"/>
      <c r="C11" s="27"/>
    </row>
    <row r="12" spans="1:32">
      <c r="A12" s="3" t="s">
        <v>275</v>
      </c>
      <c r="B12" s="3" t="s">
        <v>276</v>
      </c>
      <c r="C12" s="3" t="s">
        <v>277</v>
      </c>
    </row>
    <row r="13" spans="1:32">
      <c r="A13" s="4" t="s">
        <v>278</v>
      </c>
      <c r="B13" s="35" t="str">
        <f>TEXT(IF(ABS(AE13)&gt;=1E15,AE13/1E15,IF(ABS(AE13)&gt;=1E12,AE13/1E12,IF(ABS(AE13)&gt;=1E9,AE13/1E9,IF(ABS(AE13)&gt;=1E6,AE13/1E6,AE13)))),"#,##0.000")&amp;IF((IF(ABS(AE13)&gt;=1E15,"PFLOPs",IF(ABS(AE13)&gt;=1E12,"TFLOPs",IF(ABS(AE13)&gt;=1E9,"GFLOPs",IF(ABS(AE13)&gt;=1E6,"MFLOPs","flops")))))="",""," "&amp;(IF(ABS(AE13)&gt;=1E15,"PFLOPs",IF(ABS(AE13)&gt;=1E12,"TFLOPs",IF(ABS(AE13)&gt;=1E9,"GFLOPs",IF(ABS(AE13)&gt;=1E6,"MFLOPs","flops"))))))</f>
        <v>123.969 GFLOPs</v>
      </c>
      <c r="C13" s="35" t="str">
        <f>TEXT(IF(ABS(AF13)&gt;=1E15,AF13/1E15,IF(ABS(AF13)&gt;=1E12,AF13/1E12,IF(ABS(AF13)&gt;=1E9,AF13/1E9,IF(ABS(AF13)&gt;=1E6,AF13/1E6,AF13)))),"#,##0.000")&amp;IF((IF(ABS(AF13)&gt;=1E15,"PFLOPs",IF(ABS(AF13)&gt;=1E12,"TFLOPs",IF(ABS(AF13)&gt;=1E9,"GFLOPs",IF(ABS(AF13)&gt;=1E6,"MFLOPs","flops")))))="",""," "&amp;(IF(ABS(AF13)&gt;=1E15,"PFLOPs",IF(ABS(AF13)&gt;=1E12,"TFLOPs",IF(ABS(AF13)&gt;=1E9,"GFLOPs",IF(ABS(AF13)&gt;=1E6,"MFLOPs","flops"))))))</f>
        <v>19.452 GFLOPs</v>
      </c>
      <c r="AE13" s="36">
        <f>SUMIFS($U$33:$U$44,$A$33:$A$44,"Attention",$J$33:$J$44,"Major")</f>
        <v>123969470464.0</v>
      </c>
      <c r="AF13" s="36">
        <f>SUMIFS($V$33:$V$44,$A$33:$A$44,"Attention",$J$33:$J$44,"Major")</f>
        <v>19452461056.0</v>
      </c>
    </row>
    <row r="14" spans="1:32">
      <c r="A14" s="4" t="s">
        <v>279</v>
      </c>
      <c r="B14" s="35" t="str">
        <f>TEXT(IF(ABS(AE14)&gt;=1E15,AE14/1E15,IF(ABS(AE14)&gt;=1E12,AE14/1E12,IF(ABS(AE14)&gt;=1E9,AE14/1E9,IF(ABS(AE14)&gt;=1E6,AE14/1E6,AE14)))),"#,##0.000")&amp;IF((IF(ABS(AE14)&gt;=1E15,"PFLOPs",IF(ABS(AE14)&gt;=1E12,"TFLOPs",IF(ABS(AE14)&gt;=1E9,"GFLOPs",IF(ABS(AE14)&gt;=1E6,"MFLOPs","flops")))))="",""," "&amp;(IF(ABS(AE14)&gt;=1E15,"PFLOPs",IF(ABS(AE14)&gt;=1E12,"TFLOPs",IF(ABS(AE14)&gt;=1E9,"GFLOPs",IF(ABS(AE14)&gt;=1E6,"MFLOPs","flops"))))))</f>
        <v>15.240 GFLOPs</v>
      </c>
      <c r="C14" s="35" t="str">
        <f>TEXT(IF(ABS(AF14)&gt;=1E15,AF14/1E15,IF(ABS(AF14)&gt;=1E12,AF14/1E12,IF(ABS(AF14)&gt;=1E9,AF14/1E9,IF(ABS(AF14)&gt;=1E6,AF14/1E6,AF14)))),"#,##0.000")&amp;IF((IF(ABS(AF14)&gt;=1E15,"PFLOPs",IF(ABS(AF14)&gt;=1E12,"TFLOPs",IF(ABS(AF14)&gt;=1E9,"GFLOPs",IF(ABS(AF14)&gt;=1E6,"MFLOPs","flops")))))="",""," "&amp;(IF(ABS(AF14)&gt;=1E15,"PFLOPs",IF(ABS(AF14)&gt;=1E12,"TFLOPs",IF(ABS(AF14)&gt;=1E9,"GFLOPs",IF(ABS(AF14)&gt;=1E6,"MFLOPs","flops"))))))</f>
        <v>3.878 GFLOPs</v>
      </c>
      <c r="AE14" s="36">
        <f>SUMIFS($U$33:$U$44,$A$33:$A$44,"MoE",$J$33:$J$44,"Major")</f>
        <v>15240003584.0</v>
      </c>
      <c r="AF14" s="36">
        <f>SUMIFS($V$33:$V$44,$A$33:$A$44,"MoE",$J$33:$J$44,"Major")</f>
        <v>3877634048.0</v>
      </c>
    </row>
    <row r="15" spans="1:32">
      <c r="A15" s="4" t="s">
        <v>280</v>
      </c>
      <c r="B15" s="35" t="str">
        <f>TEXT(IF(ABS(AE15)&gt;=1E15,AE15/1E15,IF(ABS(AE15)&gt;=1E12,AE15/1E12,IF(ABS(AE15)&gt;=1E9,AE15/1E9,IF(ABS(AE15)&gt;=1E6,AE15/1E6,AE15)))),"#,##0.000")&amp;IF((IF(ABS(AE15)&gt;=1E15,"PFLOPs",IF(ABS(AE15)&gt;=1E12,"TFLOPs",IF(ABS(AE15)&gt;=1E9,"GFLOPs",IF(ABS(AE15)&gt;=1E6,"MFLOPs","flops")))))="",""," "&amp;(IF(ABS(AE15)&gt;=1E15,"PFLOPs",IF(ABS(AE15)&gt;=1E12,"TFLOPs",IF(ABS(AE15)&gt;=1E9,"GFLOPs",IF(ABS(AE15)&gt;=1E6,"MFLOPs","flops"))))))</f>
        <v>1.145 GFLOPs</v>
      </c>
      <c r="C15" s="35" t="str">
        <f>TEXT(IF(ABS(AF15)&gt;=1E15,AF15/1E15,IF(ABS(AF15)&gt;=1E12,AF15/1E12,IF(ABS(AF15)&gt;=1E9,AF15/1E9,IF(ABS(AF15)&gt;=1E6,AF15/1E6,AF15)))),"#,##0.000")&amp;IF((IF(ABS(AF15)&gt;=1E15,"PFLOPs",IF(ABS(AF15)&gt;=1E12,"TFLOPs",IF(ABS(AF15)&gt;=1E9,"GFLOPs",IF(ABS(AF15)&gt;=1E6,"MFLOPs","flops")))))="",""," "&amp;(IF(ABS(AF15)&gt;=1E15,"PFLOPs",IF(ABS(AF15)&gt;=1E12,"TFLOPs",IF(ABS(AF15)&gt;=1E9,"GFLOPs",IF(ABS(AF15)&gt;=1E6,"MFLOPs","flops"))))))</f>
        <v>217.981 MFLOPs</v>
      </c>
      <c r="AE15" s="36">
        <f>SUMIF($A$33:$A$44,"Other",$U$33:$U$44)</f>
        <v>1144660054.0</v>
      </c>
      <c r="AF15" s="36">
        <f>SUMIF($A$33:$A$44,"Other",$V$33:$V$44)</f>
        <v>217981014.0</v>
      </c>
    </row>
    <row r="16" spans="1:32">
      <c r="A16" s="4" t="s">
        <v>281</v>
      </c>
      <c r="B16" s="37" t="str">
        <f>TEXT(IF(ABS(AE16)&gt;=1E15,AE16/1E15,IF(ABS(AE16)&gt;=1E12,AE16/1E12,IF(ABS(AE16)&gt;=1E9,AE16/1E9,IF(ABS(AE16)&gt;=1E6,AE16/1E6,AE16)))),"#,##0.000")&amp;IF((IF(ABS(AE16)&gt;=1E15,"PFLOPs",IF(ABS(AE16)&gt;=1E12,"TFLOPs",IF(ABS(AE16)&gt;=1E9,"GFLOPs",IF(ABS(AE16)&gt;=1E6,"MFLOPs","flops")))))="",""," "&amp;(IF(ABS(AE16)&gt;=1E15,"PFLOPs",IF(ABS(AE16)&gt;=1E12,"TFLOPs",IF(ABS(AE16)&gt;=1E9,"GFLOPs",IF(ABS(AE16)&gt;=1E6,"MFLOPs","flops"))))))</f>
        <v>140.354 GFLOPs</v>
      </c>
      <c r="C16" s="37" t="str">
        <f>TEXT(IF(ABS(AF16)&gt;=1E15,AF16/1E15,IF(ABS(AF16)&gt;=1E12,AF16/1E12,IF(ABS(AF16)&gt;=1E9,AF16/1E9,IF(ABS(AF16)&gt;=1E6,AF16/1E6,AF16)))),"#,##0.000")&amp;IF((IF(ABS(AF16)&gt;=1E15,"PFLOPs",IF(ABS(AF16)&gt;=1E12,"TFLOPs",IF(ABS(AF16)&gt;=1E9,"GFLOPs",IF(ABS(AF16)&gt;=1E6,"MFLOPs","flops")))))="",""," "&amp;(IF(ABS(AF16)&gt;=1E15,"PFLOPs",IF(ABS(AF16)&gt;=1E12,"TFLOPs",IF(ABS(AF16)&gt;=1E9,"GFLOPs",IF(ABS(AF16)&gt;=1E6,"MFLOPs","flops"))))))</f>
        <v>23.548 GFLOPs</v>
      </c>
      <c r="AE16" s="36">
        <f>SUM($U$33:$U$44)</f>
        <v>140354134102.0</v>
      </c>
      <c r="AF16" s="36">
        <f>SUM($V$33:$V$44)</f>
        <v>23548076118.0</v>
      </c>
    </row>
    <row r="17" spans="1:32">
      <c r="A17" s="4" t="s">
        <v>282</v>
      </c>
      <c r="B17" s="35" t="str">
        <f>TEXT(IF(ABS(AE17)&gt;=1E12,AE17/1E12,IF(ABS(AE17)&gt;=1E9,AE17/1E9,IF(ABS(AE17)&gt;=1E6,AE17/1E6,IF(ABS(AE17)&gt;=1E3,AE17/1E3,AE17)))),"#,##0.000")&amp;IF((IF(ABS(AE17)&gt;=1E12,"TB",IF(ABS(AE17)&gt;=1E9,"GB",IF(ABS(AE17)&gt;=1E6,"MB",IF(ABS(AE17)&gt;=1E3,"KB","bytes")))))="",""," "&amp;(IF(ABS(AE17)&gt;=1E12,"TB",IF(ABS(AE17)&gt;=1E9,"GB",IF(ABS(AE17)&gt;=1E6,"MB",IF(ABS(AE17)&gt;=1E3,"KB","bytes"))))))</f>
        <v>10.492 GB</v>
      </c>
      <c r="C17" s="35" t="str">
        <f>TEXT(IF(ABS(AF17)&gt;=1E12,AF17/1E12,IF(ABS(AF17)&gt;=1E9,AF17/1E9,IF(ABS(AF17)&gt;=1E6,AF17/1E6,IF(ABS(AF17)&gt;=1E3,AF17/1E3,AF17)))),"#,##0.000")&amp;IF((IF(ABS(AF17)&gt;=1E12,"TB",IF(ABS(AF17)&gt;=1E9,"GB",IF(ABS(AF17)&gt;=1E6,"MB",IF(ABS(AF17)&gt;=1E3,"KB","bytes")))))="",""," "&amp;(IF(ABS(AF17)&gt;=1E12,"TB",IF(ABS(AF17)&gt;=1E9,"GB",IF(ABS(AF17)&gt;=1E6,"MB",IF(ABS(AF17)&gt;=1E3,"KB","bytes"))))))</f>
        <v>4.035 GB</v>
      </c>
      <c r="AE17" s="36">
        <f>SUMIF($A$33:$A$44,"Attention",$W$33:$W$44)+SUMIF($A$33:$A$44,"Attention",$X$33:$X$44)</f>
        <v>10492228352.0</v>
      </c>
      <c r="AF17" s="36">
        <f>SUMIF($A$33:$A$44,"Attention",$Y$33:$Y$44)+SUMIF($A$33:$A$44,"Attention",$Z$33:$Z$44)</f>
        <v>4035232528.0</v>
      </c>
    </row>
    <row r="18" spans="1:32">
      <c r="A18" s="4" t="s">
        <v>283</v>
      </c>
      <c r="B18" s="35" t="str">
        <f>TEXT(IF(ABS(AE18)&gt;=1E12,AE18/1E12,IF(ABS(AE18)&gt;=1E9,AE18/1E9,IF(ABS(AE18)&gt;=1E6,AE18/1E6,IF(ABS(AE18)&gt;=1E3,AE18/1E3,AE18)))),"#,##0.000")&amp;IF((IF(ABS(AE18)&gt;=1E12,"TB",IF(ABS(AE18)&gt;=1E9,"GB",IF(ABS(AE18)&gt;=1E6,"MB",IF(ABS(AE18)&gt;=1E3,"KB","bytes")))))="",""," "&amp;(IF(ABS(AE18)&gt;=1E12,"TB",IF(ABS(AE18)&gt;=1E9,"GB",IF(ABS(AE18)&gt;=1E6,"MB",IF(ABS(AE18)&gt;=1E3,"KB","bytes"))))))</f>
        <v>4.627 GB</v>
      </c>
      <c r="C18" s="35" t="str">
        <f>TEXT(IF(ABS(AF18)&gt;=1E12,AF18/1E12,IF(ABS(AF18)&gt;=1E9,AF18/1E9,IF(ABS(AF18)&gt;=1E6,AF18/1E6,IF(ABS(AF18)&gt;=1E3,AF18/1E3,AF18)))),"#,##0.000")&amp;IF((IF(ABS(AF18)&gt;=1E12,"TB",IF(ABS(AF18)&gt;=1E9,"GB",IF(ABS(AF18)&gt;=1E6,"MB",IF(ABS(AF18)&gt;=1E3,"KB","bytes")))))="",""," "&amp;(IF(ABS(AF18)&gt;=1E12,"TB",IF(ABS(AF18)&gt;=1E9,"GB",IF(ABS(AF18)&gt;=1E6,"MB",IF(ABS(AF18)&gt;=1E3,"KB","bytes"))))))</f>
        <v>1.605 GB</v>
      </c>
      <c r="AE18" s="36">
        <f>SUMIF($A$33:$A$44,"MoE",$W$33:$W$44)+SUMIF($A$33:$A$44,"MoE",$X$33:$X$44)</f>
        <v>4627033672.0</v>
      </c>
      <c r="AF18" s="36">
        <f>SUMIF($A$33:$A$44,"MoE",$Y$33:$Y$44)+SUMIF($A$33:$A$44,"MoE",$Z$33:$Z$44)</f>
        <v>1605205576.0</v>
      </c>
    </row>
    <row r="19" spans="1:32">
      <c r="A19" s="4" t="s">
        <v>284</v>
      </c>
      <c r="B19" s="35" t="str">
        <f>TEXT(IF(ABS(AE19)&gt;=1E12,AE19/1E12,IF(ABS(AE19)&gt;=1E9,AE19/1E9,IF(ABS(AE19)&gt;=1E6,AE19/1E6,IF(ABS(AE19)&gt;=1E3,AE19/1E3,AE19)))),"#,##0.000")&amp;IF((IF(ABS(AE19)&gt;=1E12,"TB",IF(ABS(AE19)&gt;=1E9,"GB",IF(ABS(AE19)&gt;=1E6,"MB",IF(ABS(AE19)&gt;=1E3,"KB","bytes")))))="",""," "&amp;(IF(ABS(AE19)&gt;=1E12,"TB",IF(ABS(AE19)&gt;=1E9,"GB",IF(ABS(AE19)&gt;=1E6,"MB",IF(ABS(AE19)&gt;=1E3,"KB","bytes"))))))</f>
        <v>2.265 GB</v>
      </c>
      <c r="C19" s="35" t="str">
        <f>TEXT(IF(ABS(AF19)&gt;=1E12,AF19/1E12,IF(ABS(AF19)&gt;=1E9,AF19/1E9,IF(ABS(AF19)&gt;=1E6,AF19/1E6,IF(ABS(AF19)&gt;=1E3,AF19/1E3,AF19)))),"#,##0.000")&amp;IF((IF(ABS(AF19)&gt;=1E12,"TB",IF(ABS(AF19)&gt;=1E9,"GB",IF(ABS(AF19)&gt;=1E6,"MB",IF(ABS(AF19)&gt;=1E3,"KB","bytes")))))="",""," "&amp;(IF(ABS(AF19)&gt;=1E12,"TB",IF(ABS(AF19)&gt;=1E9,"GB",IF(ABS(AF19)&gt;=1E6,"MB",IF(ABS(AF19)&gt;=1E3,"KB","bytes"))))))</f>
        <v>411.394 MB</v>
      </c>
      <c r="AE19" s="36">
        <f>SUMIF($A$33:$A$44,"Other",$W$33:$W$44)+SUMIF($A$33:$A$44,"Other",$X$33:$X$44)</f>
        <v>2265204808.0</v>
      </c>
      <c r="AF19" s="36">
        <f>SUMIF($A$33:$A$44,"Other",$Y$33:$Y$44)+SUMIF($A$33:$A$44,"Other",$Z$33:$Z$44)</f>
        <v>411394248.0</v>
      </c>
    </row>
    <row r="20" spans="1:32">
      <c r="A20" s="4" t="s">
        <v>285</v>
      </c>
      <c r="B20" s="37" t="str">
        <f>TEXT(IF(ABS(AE20)&gt;=1E12,AE20/1E12,IF(ABS(AE20)&gt;=1E9,AE20/1E9,IF(ABS(AE20)&gt;=1E6,AE20/1E6,IF(ABS(AE20)&gt;=1E3,AE20/1E3,AE20)))),"#,##0.000")&amp;IF((IF(ABS(AE20)&gt;=1E12,"TB",IF(ABS(AE20)&gt;=1E9,"GB",IF(ABS(AE20)&gt;=1E6,"MB",IF(ABS(AE20)&gt;=1E3,"KB","bytes")))))="",""," "&amp;(IF(ABS(AE20)&gt;=1E12,"TB",IF(ABS(AE20)&gt;=1E9,"GB",IF(ABS(AE20)&gt;=1E6,"MB",IF(ABS(AE20)&gt;=1E3,"KB","bytes"))))))</f>
        <v>17.384 GB</v>
      </c>
      <c r="C20" s="37" t="str">
        <f>TEXT(IF(ABS(AF20)&gt;=1E12,AF20/1E12,IF(ABS(AF20)&gt;=1E9,AF20/1E9,IF(ABS(AF20)&gt;=1E6,AF20/1E6,IF(ABS(AF20)&gt;=1E3,AF20/1E3,AF20)))),"#,##0.000")&amp;IF((IF(ABS(AF20)&gt;=1E12,"TB",IF(ABS(AF20)&gt;=1E9,"GB",IF(ABS(AF20)&gt;=1E6,"MB",IF(ABS(AF20)&gt;=1E3,"KB","bytes")))))="",""," "&amp;(IF(ABS(AF20)&gt;=1E12,"TB",IF(ABS(AF20)&gt;=1E9,"GB",IF(ABS(AF20)&gt;=1E6,"MB",IF(ABS(AF20)&gt;=1E3,"KB","bytes"))))))</f>
        <v>6.052 GB</v>
      </c>
      <c r="AE20" s="36">
        <f>SUM($W$33:$X$44)</f>
        <v>17384466832.0</v>
      </c>
      <c r="AF20" s="36">
        <f>SUM($Y$33:$Z$44)</f>
        <v>6051832352.0</v>
      </c>
    </row>
    <row r="21" spans="1:32">
      <c r="A21" s="4" t="s">
        <v>286</v>
      </c>
      <c r="B21" s="35" t="str">
        <f>TEXT(IF(ABS(AE21)&gt;=1E12,AE21/1E12,IF(ABS(AE21)&gt;=1E9,AE21/1E9,IF(ABS(AE21)&gt;=1E6,AE21/1E6,IF(ABS(AE21)&gt;=1E3,AE21/1E3,AE21)))),"#,##0.000")&amp;IF((IF(ABS(AE21)&gt;=1E12,"TB",IF(ABS(AE21)&gt;=1E9,"GB",IF(ABS(AE21)&gt;=1E6,"MB",IF(ABS(AE21)&gt;=1E3,"KB","bytes")))))="",""," "&amp;(IF(ABS(AE21)&gt;=1E12,"TB",IF(ABS(AE21)&gt;=1E9,"GB",IF(ABS(AE21)&gt;=1E6,"MB",IF(ABS(AE21)&gt;=1E3,"KB","bytes"))))))</f>
        <v>0.000 B</v>
      </c>
      <c r="C21" s="35" t="str">
        <f>TEXT(IF(ABS(AF21)&gt;=1E12,AF21/1E12,IF(ABS(AF21)&gt;=1E9,AF21/1E9,IF(ABS(AF21)&gt;=1E6,AF21/1E6,IF(ABS(AF21)&gt;=1E3,AF21/1E3,AF21)))),"#,##0.000")&amp;IF((IF(ABS(AF21)&gt;=1E12,"TB",IF(ABS(AF21)&gt;=1E9,"GB",IF(ABS(AF21)&gt;=1E6,"MB",IF(ABS(AF21)&gt;=1E3,"KB","bytes")))))="",""," "&amp;(IF(ABS(AF21)&gt;=1E12,"TB",IF(ABS(AF21)&gt;=1E9,"GB",IF(ABS(AF21)&gt;=1E6,"MB",IF(ABS(AF21)&gt;=1E3,"KB","bytes"))))))</f>
        <v>5.865 MB</v>
      </c>
      <c r="AE21" s="36">
        <f>SUM($AA$33:$AA$44)</f>
        <v>0.0</v>
      </c>
      <c r="AF21" s="36">
        <f>SUM($AB$33:$AB$44)</f>
        <v>5865216.0</v>
      </c>
    </row>
    <row r="22" spans="1:32">
      <c r="A22" s="4" t="s">
        <v>287</v>
      </c>
      <c r="B22" s="35" t="str">
        <f>TEXT(AE22,"#,##0.000")&amp;" FLOPs/byte"</f>
        <v>8.074 FLOPs/byte</v>
      </c>
      <c r="C22" s="35" t="str">
        <f>TEXT(AF22,"#,##0.000")&amp;" FLOPs/byte"</f>
        <v>3.891 FLOPs/byte</v>
      </c>
      <c r="AE22" s="36">
        <f>SUM($U$33:$U$44)/(SUM($W$33:$W$44)+SUM($X$33:$X$44))</f>
        <v>8.073536879695776</v>
      </c>
      <c r="AF22" s="36">
        <f>SUM($V$33:$V$44)/(SUM($Y$33:$Y$44)+SUM($Z$33:$Z$44))</f>
        <v>3.891065506832467</v>
      </c>
    </row>
    <row r="23" spans="1:32">
      <c r="A23" s="4" t="s">
        <v>288</v>
      </c>
      <c r="B23" s="35" t="str">
        <f>TEXT(IF(ABS(AE23)&gt;=1E15,AE23/1E15,IF(ABS(AE23)&gt;=1E12,AE23/1E12,IF(ABS(AE23)&gt;=1E9,AE23/1E9,IF(ABS(AE23)&gt;=1E6,AE23/1E6,AE23)))),"#,##0.000")&amp;IF((IF(ABS(AE23)&gt;=1E15,"PFLOPs",IF(ABS(AE23)&gt;=1E12,"TFLOPs",IF(ABS(AE23)&gt;=1E9,"GFLOPs",IF(ABS(AE23)&gt;=1E6,"MFLOPs","flops")))))="",""," "&amp;(IF(ABS(AE23)&gt;=1E15,"PFLOPs",IF(ABS(AE23)&gt;=1E12,"TFLOPs",IF(ABS(AE23)&gt;=1E9,"GFLOPs",IF(ABS(AE23)&gt;=1E6,"MFLOPs","flops"))))))</f>
        <v>140.354 GFLOPs</v>
      </c>
      <c r="C23" s="35" t="str">
        <f>TEXT(IF(ABS(AF23)&gt;=1E15,AF23/1E15,IF(ABS(AF23)&gt;=1E12,AF23/1E12,IF(ABS(AF23)&gt;=1E9,AF23/1E9,IF(ABS(AF23)&gt;=1E6,AF23/1E6,AF23)))),"#,##0.000")&amp;IF((IF(ABS(AF23)&gt;=1E15,"PFLOPs",IF(ABS(AF23)&gt;=1E12,"TFLOPs",IF(ABS(AF23)&gt;=1E9,"GFLOPs",IF(ABS(AF23)&gt;=1E6,"MFLOPs","flops")))))="",""," "&amp;(IF(ABS(AF23)&gt;=1E15,"PFLOPs",IF(ABS(AF23)&gt;=1E12,"TFLOPs",IF(ABS(AF23)&gt;=1E9,"GFLOPs",IF(ABS(AF23)&gt;=1E6,"MFLOPs","flops"))))))</f>
        <v>23.548 GFLOPs</v>
      </c>
      <c r="AE23" s="36">
        <f>SUM($U$33:$U$44)</f>
        <v>140354134102.0</v>
      </c>
      <c r="AF23" s="36">
        <f>SUM($V$33:$V$44)</f>
        <v>23548076118.0</v>
      </c>
    </row>
    <row r="24" spans="1:32">
      <c r="A24" s="4" t="s">
        <v>289</v>
      </c>
      <c r="B24" s="35" t="str">
        <f>TEXT(AE24,"#,##0.000")&amp;" GB/s"</f>
        <v>1,738.447 GB/s</v>
      </c>
      <c r="C24" s="35" t="str">
        <f>TEXT(AF24,"#,##0.000")&amp;" GB/s"</f>
        <v>605.183 GB/s</v>
      </c>
      <c r="AE24" s="36">
        <f>(SUM($W$33:$W$44)+SUM($X$33:$X$44))/(DecodeTargetMs/1000)/1E9</f>
        <v>1738.4466832</v>
      </c>
      <c r="AF24" s="36">
        <f>(SUM($Y$33:$Y$44)+SUM($Z$33:$Z$44))/(DecodeTargetMs/1000)/1E9</f>
        <v>605.1832352</v>
      </c>
    </row>
    <row r="31" spans="1:32">
      <c r="A31" s="27" t="s">
        <v>230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</row>
    <row r="32" spans="1:32">
      <c r="A32" t="s">
        <v>2</v>
      </c>
      <c r="B32" t="s">
        <v>231</v>
      </c>
      <c r="C32" t="s">
        <v>232</v>
      </c>
      <c r="D32" t="s">
        <v>233</v>
      </c>
      <c r="E32" t="s">
        <v>234</v>
      </c>
      <c r="F32" t="s">
        <v>235</v>
      </c>
      <c r="G32" t="s">
        <v>236</v>
      </c>
      <c r="H32" t="s">
        <v>237</v>
      </c>
      <c r="I32" t="s">
        <v>238</v>
      </c>
      <c r="J32" t="s">
        <v>239</v>
      </c>
      <c r="K32" t="s">
        <v>240</v>
      </c>
    </row>
    <row r="33" spans="1:30">
      <c r="A33" s="4" t="s">
        <v>41</v>
      </c>
      <c r="B33" s="4" t="s">
        <v>241</v>
      </c>
      <c r="C33" s="4" t="s">
        <v>242</v>
      </c>
      <c r="D33" s="35" t="str">
        <f>TEXT(IF(ABS(U33)&gt;=1E15,U33/1E15,IF(ABS(U33)&gt;=1E12,U33/1E12,IF(ABS(U33)&gt;=1E9,U33/1E9,IF(ABS(U33)&gt;=1E6,U33/1E6,U33)))),"#,##0.000")&amp;IF((IF(ABS(U33)&gt;=1E15,"PFLOPs",IF(ABS(U33)&gt;=1E12,"TFLOPs",IF(ABS(U33)&gt;=1E9,"GFLOPs",IF(ABS(U33)&gt;=1E6,"MFLOPs","flops")))))="",""," "&amp;(IF(ABS(U33)&gt;=1E15,"PFLOPs",IF(ABS(U33)&gt;=1E12,"TFLOPs",IF(ABS(U33)&gt;=1E9,"GFLOPs",IF(ABS(U33)&gt;=1E6,"MFLOPs","flops"))))))</f>
        <v>9.198 GFLOPs</v>
      </c>
      <c r="E33" s="35" t="str">
        <f>TEXT(IF(ABS(V33)&gt;=1E15,V33/1E15,IF(ABS(V33)&gt;=1E12,V33/1E12,IF(ABS(V33)&gt;=1E9,V33/1E9,IF(ABS(V33)&gt;=1E6,V33/1E6,V33)))),"#,##0.000")&amp;IF((IF(ABS(V33)&gt;=1E15,"PFLOPs",IF(ABS(V33)&gt;=1E12,"TFLOPs",IF(ABS(V33)&gt;=1E9,"GFLOPs",IF(ABS(V33)&gt;=1E6,"MFLOPs","flops")))))="",""," "&amp;(IF(ABS(V33)&gt;=1E15,"PFLOPs",IF(ABS(V33)&gt;=1E12,"TFLOPs",IF(ABS(V33)&gt;=1E9,"GFLOPs",IF(ABS(V33)&gt;=1E6,"MFLOPs","flops"))))))</f>
        <v>1.623 GFLOPs</v>
      </c>
      <c r="F33" s="35" t="str">
        <f>TEXT(IF(ABS(AC33)&gt;=1E12,AC33/1E12,IF(ABS(AC33)&gt;=1E9,AC33/1E9,IF(ABS(AC33)&gt;=1E6,AC33/1E6,IF(ABS(AC33)&gt;=1E3,AC33/1E3,AC33)))),"#,##0.000")&amp;IF((IF(ABS(AC33)&gt;=1E12,"TB",IF(ABS(AC33)&gt;=1E9,"GB",IF(ABS(AC33)&gt;=1E6,"MB",IF(ABS(AC33)&gt;=1E3,"KB","bytes")))))="",""," "&amp;(IF(ABS(AC33)&gt;=1E12,"TB",IF(ABS(AC33)&gt;=1E9,"GB",IF(ABS(AC33)&gt;=1E6,"MB",IF(ABS(AC33)&gt;=1E3,"KB","bytes"))))))</f>
        <v>6.050 GB</v>
      </c>
      <c r="G33" s="35" t="str">
        <f>TEXT(IF(ABS(AD33)&gt;=1E12,AD33/1E12,IF(ABS(AD33)&gt;=1E9,AD33/1E9,IF(ABS(AD33)&gt;=1E6,AD33/1E6,IF(ABS(AD33)&gt;=1E3,AD33/1E3,AD33)))),"#,##0.000")&amp;IF((IF(ABS(AD33)&gt;=1E12,"TB",IF(ABS(AD33)&gt;=1E9,"GB",IF(ABS(AD33)&gt;=1E6,"MB",IF(ABS(AD33)&gt;=1E3,"KB","bytes")))))="",""," "&amp;(IF(ABS(AD33)&gt;=1E12,"TB",IF(ABS(AD33)&gt;=1E9,"GB",IF(ABS(AD33)&gt;=1E6,"MB",IF(ABS(AD33)&gt;=1E3,"KB","bytes"))))))</f>
        <v>994.854 MB</v>
      </c>
      <c r="H33" s="35" t="str">
        <f>TEXT(IF(ABS(AA33)&gt;=1E12,AA33/1E12,IF(ABS(AA33)&gt;=1E9,AA33/1E9,IF(ABS(AA33)&gt;=1E6,AA33/1E6,IF(ABS(AA33)&gt;=1E3,AA33/1E3,AA33)))),"#,##0.000")&amp;IF((IF(ABS(AA33)&gt;=1E12,"TB",IF(ABS(AA33)&gt;=1E9,"GB",IF(ABS(AA33)&gt;=1E6,"MB",IF(ABS(AA33)&gt;=1E3,"KB","bytes")))))="",""," "&amp;(IF(ABS(AA33)&gt;=1E12,"TB",IF(ABS(AA33)&gt;=1E9,"GB",IF(ABS(AA33)&gt;=1E6,"MB",IF(ABS(AA33)&gt;=1E3,"KB","bytes"))))))</f>
        <v>0.000 B</v>
      </c>
      <c r="I33" s="35" t="str">
        <f>TEXT(IF(ABS(AB33)&gt;=1E12,AB33/1E12,IF(ABS(AB33)&gt;=1E9,AB33/1E9,IF(ABS(AB33)&gt;=1E6,AB33/1E6,IF(ABS(AB33)&gt;=1E3,AB33/1E3,AB33)))),"#,##0.000")&amp;IF((IF(ABS(AB33)&gt;=1E12,"TB",IF(ABS(AB33)&gt;=1E9,"GB",IF(ABS(AB33)&gt;=1E6,"MB",IF(ABS(AB33)&gt;=1E3,"KB","bytes")))))="",""," "&amp;(IF(ABS(AB33)&gt;=1E12,"TB",IF(ABS(AB33)&gt;=1E9,"GB",IF(ABS(AB33)&gt;=1E6,"MB",IF(ABS(AB33)&gt;=1E3,"KB","bytes"))))))</f>
        <v>0.000 B</v>
      </c>
      <c r="J33" s="4" t="s">
        <v>243</v>
      </c>
      <c r="K33" s="4" t="s">
        <v>244</v>
      </c>
      <c r="T33" s="36">
        <f>DC_Rows*TotalLayers*2*(HiddenSize*QLoraRank+QLoraRank*NumHeads*HeadDim+HiddenSize*HeadDim+NumHeads*HeadDim*OLoraRank+OGroups*OLoraRank*HiddenSize)</f>
        <v>9198108672</v>
      </c>
      <c r="U33" s="36">
        <f>DC_Rows*TotalLayers*2*(HiddenSize*QLoraRank+QLoraRank*TP1LocalHeads*HeadDim+HiddenSize*HeadDim+TP1LocalHeads*HeadDim*OLoraRank+TP1LocalOGroups*OLoraRank*HiddenSize)</f>
        <v>9198108672.0</v>
      </c>
      <c r="V33" s="36">
        <f>DC_Rows*TotalLayers*2*(HiddenSize*QLoraRank+QLoraRank*TP8LocalHeads*HeadDim+HiddenSize*HeadDim+TP8LocalHeads*HeadDim*OLoraRank+TP8LocalOGroups*OLoraRank*HiddenSize)</f>
        <v>1623195648.0</v>
      </c>
      <c r="W33" s="36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36">
        <f>DC_Rows*TotalLayers*(QLoraRank+TP1KernelLocalHeads*HeadDim+HeadDim+TP1LocalOGroups*OLoraRank+HiddenSize)*BF16Bytes</f>
        <v>4006912.0</v>
      </c>
      <c r="Y33" s="36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36">
        <f>DC_Rows*TotalLayers*(QLoraRank+TP8KernelLocalHeads*HeadDim+HeadDim+TP8LocalOGroups*OLoraRank+HiddenSize)*BF16Bytes</f>
        <v>1276928.0</v>
      </c>
      <c r="AA33" s="36">
        <f>0</f>
        <v>0</v>
      </c>
      <c r="AB33" s="36">
        <f>0</f>
        <v>0</v>
      </c>
      <c r="AC33" s="36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36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41</v>
      </c>
      <c r="B34" s="4" t="s">
        <v>245</v>
      </c>
      <c r="C34" s="4" t="s">
        <v>246</v>
      </c>
      <c r="D34" s="35" t="str">
        <f>TEXT(IF(ABS(U34)&gt;=1E15,U34/1E15,IF(ABS(U34)&gt;=1E12,U34/1E12,IF(ABS(U34)&gt;=1E9,U34/1E9,IF(ABS(U34)&gt;=1E6,U34/1E6,U34)))),"#,##0.000")&amp;IF((IF(ABS(U34)&gt;=1E15,"PFLOPs",IF(ABS(U34)&gt;=1E12,"TFLOPs",IF(ABS(U34)&gt;=1E9,"GFLOPs",IF(ABS(U34)&gt;=1E6,"MFLOPs","flops")))))="",""," "&amp;(IF(ABS(U34)&gt;=1E15,"PFLOPs",IF(ABS(U34)&gt;=1E12,"TFLOPs",IF(ABS(U34)&gt;=1E9,"GFLOPs",IF(ABS(U34)&gt;=1E6,"MFLOPs","flops"))))))</f>
        <v>23.606 GFLOPs</v>
      </c>
      <c r="E34" s="35" t="str">
        <f>TEXT(IF(ABS(V34)&gt;=1E15,V34/1E15,IF(ABS(V34)&gt;=1E12,V34/1E12,IF(ABS(V34)&gt;=1E9,V34/1E9,IF(ABS(V34)&gt;=1E6,V34/1E6,V34)))),"#,##0.000")&amp;IF((IF(ABS(V34)&gt;=1E15,"PFLOPs",IF(ABS(V34)&gt;=1E12,"TFLOPs",IF(ABS(V34)&gt;=1E9,"GFLOPs",IF(ABS(V34)&gt;=1E6,"MFLOPs","flops")))))="",""," "&amp;(IF(ABS(V34)&gt;=1E15,"PFLOPs",IF(ABS(V34)&gt;=1E12,"TFLOPs",IF(ABS(V34)&gt;=1E9,"GFLOPs",IF(ABS(V34)&gt;=1E6,"MFLOPs","flops"))))))</f>
        <v>5.901 GFLOPs</v>
      </c>
      <c r="F34" s="35" t="str">
        <f>TEXT(IF(ABS(AC34)&gt;=1E12,AC34/1E12,IF(ABS(AC34)&gt;=1E9,AC34/1E9,IF(ABS(AC34)&gt;=1E6,AC34/1E6,IF(ABS(AC34)&gt;=1E3,AC34/1E3,AC34)))),"#,##0.000")&amp;IF((IF(ABS(AC34)&gt;=1E12,"TB",IF(ABS(AC34)&gt;=1E9,"GB",IF(ABS(AC34)&gt;=1E6,"MB",IF(ABS(AC34)&gt;=1E3,"KB","bytes")))))="",""," "&amp;(IF(ABS(AC34)&gt;=1E12,"TB",IF(ABS(AC34)&gt;=1E9,"GB",IF(ABS(AC34)&gt;=1E6,"MB",IF(ABS(AC34)&gt;=1E3,"KB","bytes"))))))</f>
        <v>190.054 MB</v>
      </c>
      <c r="G34" s="35" t="str">
        <f>TEXT(IF(ABS(AD34)&gt;=1E12,AD34/1E12,IF(ABS(AD34)&gt;=1E9,AD34/1E9,IF(ABS(AD34)&gt;=1E6,AD34/1E6,IF(ABS(AD34)&gt;=1E3,AD34/1E3,AD34)))),"#,##0.000")&amp;IF((IF(ABS(AD34)&gt;=1E12,"TB",IF(ABS(AD34)&gt;=1E9,"GB",IF(ABS(AD34)&gt;=1E6,"MB",IF(ABS(AD34)&gt;=1E3,"KB","bytes")))))="",""," "&amp;(IF(ABS(AD34)&gt;=1E12,"TB",IF(ABS(AD34)&gt;=1E9,"GB",IF(ABS(AD34)&gt;=1E6,"MB",IF(ABS(AD34)&gt;=1E3,"KB","bytes"))))))</f>
        <v>185.827 MB</v>
      </c>
      <c r="H34" s="35" t="str">
        <f>TEXT(IF(ABS(AA34)&gt;=1E12,AA34/1E12,IF(ABS(AA34)&gt;=1E9,AA34/1E9,IF(ABS(AA34)&gt;=1E6,AA34/1E6,IF(ABS(AA34)&gt;=1E3,AA34/1E3,AA34)))),"#,##0.000")&amp;IF((IF(ABS(AA34)&gt;=1E12,"TB",IF(ABS(AA34)&gt;=1E9,"GB",IF(ABS(AA34)&gt;=1E6,"MB",IF(ABS(AA34)&gt;=1E3,"KB","bytes")))))="",""," "&amp;(IF(ABS(AA34)&gt;=1E12,"TB",IF(ABS(AA34)&gt;=1E9,"GB",IF(ABS(AA34)&gt;=1E6,"MB",IF(ABS(AA34)&gt;=1E3,"KB","bytes"))))))</f>
        <v>0.000 B</v>
      </c>
      <c r="I34" s="35" t="str">
        <f>TEXT(IF(ABS(AB34)&gt;=1E12,AB34/1E12,IF(ABS(AB34)&gt;=1E9,AB34/1E9,IF(ABS(AB34)&gt;=1E6,AB34/1E6,IF(ABS(AB34)&gt;=1E3,AB34/1E3,AB34)))),"#,##0.000")&amp;IF((IF(ABS(AB34)&gt;=1E12,"TB",IF(ABS(AB34)&gt;=1E9,"GB",IF(ABS(AB34)&gt;=1E6,"MB",IF(ABS(AB34)&gt;=1E3,"KB","bytes")))))="",""," "&amp;(IF(ABS(AB34)&gt;=1E12,"TB",IF(ABS(AB34)&gt;=1E9,"GB",IF(ABS(AB34)&gt;=1E6,"MB",IF(ABS(AB34)&gt;=1E3,"KB","bytes"))))))</f>
        <v>0.000 B</v>
      </c>
      <c r="J34" s="4" t="s">
        <v>243</v>
      </c>
      <c r="K34" s="4" t="s">
        <v>247</v>
      </c>
      <c r="T34" s="36">
        <f>4*DecodeBatch*NumHeads*HeadDim*(WindowLayers*DC_RawPairs+ShortLayers*(DC_RawPairs+DC_ShortPairs)+LongLayers*(DC_RawPairs+DC_LongPairs))</f>
        <v>23605542912</v>
      </c>
      <c r="U34" s="36">
        <f>4*DecodeBatch*TP1KernelLocalHeads*HeadDim*(WindowLayers*DC_RawPairs+ShortLayers*(DC_RawPairs+DC_ShortPairs)+LongLayers*(DC_RawPairs+DC_LongPairs))</f>
        <v>23605542912.0</v>
      </c>
      <c r="V34" s="36">
        <f>4*DecodeBatch*TP8KernelLocalHeads*HeadDim*(WindowLayers*DC_RawPairs+ShortLayers*(DC_RawPairs+DC_ShortPairs)+LongLayers*(DC_RawPairs+DC_LongPairs))</f>
        <v>5901385728.0</v>
      </c>
      <c r="W34" s="36">
        <f>DC_Rows*TotalLayers*TP1KernelLocalHeads*HeadDim*BF16Bytes+DecodeBatch*(WindowLayers*DC_RawPairs+ShortLayers*(DC_RawPairs+DC_ShortPairs)+LongLayers*(DC_RawPairs+DC_LongPairs))*HeadDim*BF16Bytes</f>
        <v>187236352.0</v>
      </c>
      <c r="X34" s="36">
        <f>DC_Rows*TotalLayers*TP1KernelLocalHeads*HeadDim*BF16Bytes</f>
        <v>2818048.0</v>
      </c>
      <c r="Y34" s="36">
        <f>DC_Rows*TotalLayers*TP8KernelLocalHeads*HeadDim*BF16Bytes+DecodeBatch*(WindowLayers*DC_RawPairs+ShortLayers*(DC_RawPairs+DC_ShortPairs)+LongLayers*(DC_RawPairs+DC_LongPairs))*HeadDim*BF16Bytes</f>
        <v>185122816</v>
      </c>
      <c r="Z34" s="36">
        <f>DC_Rows*TotalLayers*TP8KernelLocalHeads*HeadDim*BF16Bytes</f>
        <v>704512</v>
      </c>
      <c r="AA34" s="36">
        <f>0</f>
        <v>0</v>
      </c>
      <c r="AB34" s="36">
        <f>0</f>
        <v>0</v>
      </c>
      <c r="AC34" s="36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36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41</v>
      </c>
      <c r="B35" s="4" t="s">
        <v>248</v>
      </c>
      <c r="C35" s="4" t="s">
        <v>159</v>
      </c>
      <c r="D35" s="35" t="str">
        <f>TEXT(IF(ABS(U35)&gt;=1E15,U35/1E15,IF(ABS(U35)&gt;=1E12,U35/1E12,IF(ABS(U35)&gt;=1E9,U35/1E9,IF(ABS(U35)&gt;=1E6,U35/1E6,U35)))),"#,##0.000")&amp;IF((IF(ABS(U35)&gt;=1E15,"PFLOPs",IF(ABS(U35)&gt;=1E12,"TFLOPs",IF(ABS(U35)&gt;=1E9,"GFLOPs",IF(ABS(U35)&gt;=1E6,"MFLOPs","flops")))))="",""," "&amp;(IF(ABS(U35)&gt;=1E15,"PFLOPs",IF(ABS(U35)&gt;=1E12,"TFLOPs",IF(ABS(U35)&gt;=1E9,"GFLOPs",IF(ABS(U35)&gt;=1E6,"MFLOPs","flops"))))))</f>
        <v>363.332 MFLOPs</v>
      </c>
      <c r="E35" s="35" t="str">
        <f>TEXT(IF(ABS(V35)&gt;=1E15,V35/1E15,IF(ABS(V35)&gt;=1E12,V35/1E12,IF(ABS(V35)&gt;=1E9,V35/1E9,IF(ABS(V35)&gt;=1E6,V35/1E6,V35)))),"#,##0.000")&amp;IF((IF(ABS(V35)&gt;=1E15,"PFLOPs",IF(ABS(V35)&gt;=1E12,"TFLOPs",IF(ABS(V35)&gt;=1E9,"GFLOPs",IF(ABS(V35)&gt;=1E6,"MFLOPs","flops")))))="",""," "&amp;(IF(ABS(V35)&gt;=1E15,"PFLOPs",IF(ABS(V35)&gt;=1E12,"TFLOPs",IF(ABS(V35)&gt;=1E9,"GFLOPs",IF(ABS(V35)&gt;=1E6,"MFLOPs","flops"))))))</f>
        <v>45.416 MFLOPs</v>
      </c>
      <c r="F35" s="35" t="str">
        <f>TEXT(IF(ABS(AC35)&gt;=1E12,AC35/1E12,IF(ABS(AC35)&gt;=1E9,AC35/1E9,IF(ABS(AC35)&gt;=1E6,AC35/1E6,IF(ABS(AC35)&gt;=1E3,AC35/1E3,AC35)))),"#,##0.000")&amp;IF((IF(ABS(AC35)&gt;=1E12,"TB",IF(ABS(AC35)&gt;=1E9,"GB",IF(ABS(AC35)&gt;=1E6,"MB",IF(ABS(AC35)&gt;=1E3,"KB","bytes")))))="",""," "&amp;(IF(ABS(AC35)&gt;=1E12,"TB",IF(ABS(AC35)&gt;=1E9,"GB",IF(ABS(AC35)&gt;=1E6,"MB",IF(ABS(AC35)&gt;=1E3,"KB","bytes"))))))</f>
        <v>187.743 MB</v>
      </c>
      <c r="G35" s="35" t="str">
        <f>TEXT(IF(ABS(AD35)&gt;=1E12,AD35/1E12,IF(ABS(AD35)&gt;=1E9,AD35/1E9,IF(ABS(AD35)&gt;=1E6,AD35/1E6,IF(ABS(AD35)&gt;=1E3,AD35/1E3,AD35)))),"#,##0.000")&amp;IF((IF(ABS(AD35)&gt;=1E12,"TB",IF(ABS(AD35)&gt;=1E9,"GB",IF(ABS(AD35)&gt;=1E6,"MB",IF(ABS(AD35)&gt;=1E3,"KB","bytes")))))="",""," "&amp;(IF(ABS(AD35)&gt;=1E12,"TB",IF(ABS(AD35)&gt;=1E9,"GB",IF(ABS(AD35)&gt;=1E6,"MB",IF(ABS(AD35)&gt;=1E3,"KB","bytes"))))))</f>
        <v>23.656 MB</v>
      </c>
      <c r="H35" s="35" t="str">
        <f>TEXT(IF(ABS(AA35)&gt;=1E12,AA35/1E12,IF(ABS(AA35)&gt;=1E9,AA35/1E9,IF(ABS(AA35)&gt;=1E6,AA35/1E6,IF(ABS(AA35)&gt;=1E3,AA35/1E3,AA35)))),"#,##0.000")&amp;IF((IF(ABS(AA35)&gt;=1E12,"TB",IF(ABS(AA35)&gt;=1E9,"GB",IF(ABS(AA35)&gt;=1E6,"MB",IF(ABS(AA35)&gt;=1E3,"KB","bytes")))))="",""," "&amp;(IF(ABS(AA35)&gt;=1E12,"TB",IF(ABS(AA35)&gt;=1E9,"GB",IF(ABS(AA35)&gt;=1E6,"MB",IF(ABS(AA35)&gt;=1E3,"KB","bytes"))))))</f>
        <v>0.000 B</v>
      </c>
      <c r="I35" s="35" t="str">
        <f>TEXT(IF(ABS(AB35)&gt;=1E12,AB35/1E12,IF(ABS(AB35)&gt;=1E9,AB35/1E9,IF(ABS(AB35)&gt;=1E6,AB35/1E6,IF(ABS(AB35)&gt;=1E3,AB35/1E3,AB35)))),"#,##0.000")&amp;IF((IF(ABS(AB35)&gt;=1E12,"TB",IF(ABS(AB35)&gt;=1E9,"GB",IF(ABS(AB35)&gt;=1E6,"MB",IF(ABS(AB35)&gt;=1E3,"KB","bytes")))))="",""," "&amp;(IF(ABS(AB35)&gt;=1E12,"TB",IF(ABS(AB35)&gt;=1E9,"GB",IF(ABS(AB35)&gt;=1E6,"MB",IF(ABS(AB35)&gt;=1E3,"KB","bytes"))))))</f>
        <v>0.000 B</v>
      </c>
      <c r="J35" s="4" t="s">
        <v>243</v>
      </c>
      <c r="K35" s="4" t="s">
        <v>249</v>
      </c>
      <c r="T35" s="36">
        <f>2*DC_Rows*ShortLayers*(QLoraRank*IndexHeads*IndexHeadDim+HiddenSize*IndexHeads)</f>
        <v>363331584</v>
      </c>
      <c r="U35" s="36">
        <f>2*DC_Rows*ShortLayers*(QLoraRank*TP1LocalIndexHeads*IndexHeadDim+HiddenSize*TP1LocalIndexHeads)</f>
        <v>363331584.0</v>
      </c>
      <c r="V35" s="36">
        <f>2*DC_Rows*ShortLayers*(QLoraRank*TP8LocalIndexHeads*IndexHeadDim+HiddenSize*TP8LocalIndexHeads)</f>
        <v>45416448.0</v>
      </c>
      <c r="W35" s="36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36">
        <f>DC_Rows*ShortLayers*TP1LocalIndexHeads*(IndexHeadDim+1)*BF16Bytes</f>
        <v>346752.0</v>
      </c>
      <c r="Y35" s="36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36">
        <f>DC_Rows*ShortLayers*TP8LocalIndexHeads*(IndexHeadDim+1)*BF16Bytes</f>
        <v>43344.0</v>
      </c>
      <c r="AA35" s="36">
        <f>0</f>
        <v>0</v>
      </c>
      <c r="AB35" s="36">
        <f>0</f>
        <v>0</v>
      </c>
      <c r="AC35" s="36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36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41</v>
      </c>
      <c r="B36" s="4" t="s">
        <v>250</v>
      </c>
      <c r="C36" s="4" t="s">
        <v>159</v>
      </c>
      <c r="D36" s="35" t="str">
        <f>TEXT(IF(ABS(U36)&gt;=1E15,U36/1E15,IF(ABS(U36)&gt;=1E12,U36/1E12,IF(ABS(U36)&gt;=1E9,U36/1E9,IF(ABS(U36)&gt;=1E6,U36/1E6,U36)))),"#,##0.000")&amp;IF((IF(ABS(U36)&gt;=1E15,"PFLOPs",IF(ABS(U36)&gt;=1E12,"TFLOPs",IF(ABS(U36)&gt;=1E9,"GFLOPs",IF(ABS(U36)&gt;=1E6,"MFLOPs","flops")))))="",""," "&amp;(IF(ABS(U36)&gt;=1E15,"PFLOPs",IF(ABS(U36)&gt;=1E12,"TFLOPs",IF(ABS(U36)&gt;=1E9,"GFLOPs",IF(ABS(U36)&gt;=1E6,"MFLOPs","flops"))))))</f>
        <v>90.194 GFLOPs</v>
      </c>
      <c r="E36" s="35" t="str">
        <f>TEXT(IF(ABS(V36)&gt;=1E15,V36/1E15,IF(ABS(V36)&gt;=1E12,V36/1E12,IF(ABS(V36)&gt;=1E9,V36/1E9,IF(ABS(V36)&gt;=1E6,V36/1E6,V36)))),"#,##0.000")&amp;IF((IF(ABS(V36)&gt;=1E15,"PFLOPs",IF(ABS(V36)&gt;=1E12,"TFLOPs",IF(ABS(V36)&gt;=1E9,"GFLOPs",IF(ABS(V36)&gt;=1E6,"MFLOPs","flops")))))="",""," "&amp;(IF(ABS(V36)&gt;=1E15,"PFLOPs",IF(ABS(V36)&gt;=1E12,"TFLOPs",IF(ABS(V36)&gt;=1E9,"GFLOPs",IF(ABS(V36)&gt;=1E6,"MFLOPs","flops"))))))</f>
        <v>11.274 GFLOPs</v>
      </c>
      <c r="F36" s="35" t="str">
        <f>TEXT(IF(ABS(AC36)&gt;=1E12,AC36/1E12,IF(ABS(AC36)&gt;=1E9,AC36/1E9,IF(ABS(AC36)&gt;=1E6,AC36/1E6,IF(ABS(AC36)&gt;=1E3,AC36/1E3,AC36)))),"#,##0.000")&amp;IF((IF(ABS(AC36)&gt;=1E12,"TB",IF(ABS(AC36)&gt;=1E9,"GB",IF(ABS(AC36)&gt;=1E6,"MB",IF(ABS(AC36)&gt;=1E3,"KB","bytes")))))="",""," "&amp;(IF(ABS(AC36)&gt;=1E12,"TB",IF(ABS(AC36)&gt;=1E9,"GB",IF(ABS(AC36)&gt;=1E6,"MB",IF(ABS(AC36)&gt;=1E3,"KB","bytes"))))))</f>
        <v>2.841 GB</v>
      </c>
      <c r="G36" s="35" t="str">
        <f>TEXT(IF(ABS(AD36)&gt;=1E12,AD36/1E12,IF(ABS(AD36)&gt;=1E9,AD36/1E9,IF(ABS(AD36)&gt;=1E6,AD36/1E6,IF(ABS(AD36)&gt;=1E3,AD36/1E3,AD36)))),"#,##0.000")&amp;IF((IF(ABS(AD36)&gt;=1E12,"TB",IF(ABS(AD36)&gt;=1E9,"GB",IF(ABS(AD36)&gt;=1E6,"MB",IF(ABS(AD36)&gt;=1E3,"KB","bytes")))))="",""," "&amp;(IF(ABS(AD36)&gt;=1E12,"TB",IF(ABS(AD36)&gt;=1E9,"GB",IF(ABS(AD36)&gt;=1E6,"MB",IF(ABS(AD36)&gt;=1E3,"KB","bytes"))))))</f>
        <v>1.607 GB</v>
      </c>
      <c r="H36" s="35" t="str">
        <f>TEXT(IF(ABS(AA36)&gt;=1E12,AA36/1E12,IF(ABS(AA36)&gt;=1E9,AA36/1E9,IF(ABS(AA36)&gt;=1E6,AA36/1E6,IF(ABS(AA36)&gt;=1E3,AA36/1E3,AA36)))),"#,##0.000")&amp;IF((IF(ABS(AA36)&gt;=1E12,"TB",IF(ABS(AA36)&gt;=1E9,"GB",IF(ABS(AA36)&gt;=1E6,"MB",IF(ABS(AA36)&gt;=1E3,"KB","bytes")))))="",""," "&amp;(IF(ABS(AA36)&gt;=1E12,"TB",IF(ABS(AA36)&gt;=1E9,"GB",IF(ABS(AA36)&gt;=1E6,"MB",IF(ABS(AA36)&gt;=1E3,"KB","bytes"))))))</f>
        <v>0.000 B</v>
      </c>
      <c r="I36" s="35" t="str">
        <f>TEXT(IF(ABS(AB36)&gt;=1E12,AB36/1E12,IF(ABS(AB36)&gt;=1E9,AB36/1E9,IF(ABS(AB36)&gt;=1E6,AB36/1E6,IF(ABS(AB36)&gt;=1E3,AB36/1E3,AB36)))),"#,##0.000")&amp;IF((IF(ABS(AB36)&gt;=1E12,"TB",IF(ABS(AB36)&gt;=1E9,"GB",IF(ABS(AB36)&gt;=1E6,"MB",IF(ABS(AB36)&gt;=1E3,"KB","bytes")))))="",""," "&amp;(IF(ABS(AB36)&gt;=1E12,"TB",IF(ABS(AB36)&gt;=1E9,"GB",IF(ABS(AB36)&gt;=1E6,"MB",IF(ABS(AB36)&gt;=1E3,"KB","bytes"))))))</f>
        <v>0.000 B</v>
      </c>
      <c r="J36" s="4" t="s">
        <v>243</v>
      </c>
      <c r="K36" s="4" t="s">
        <v>251</v>
      </c>
      <c r="T36" s="36">
        <f>2*DecodeBatch*ShortLayers*IndexHeads*IndexHeadDim*DC_IndexPairs</f>
        <v>90194313216</v>
      </c>
      <c r="U36" s="36">
        <f>2*DecodeBatch*ShortLayers*TP1LocalIndexHeads*IndexHeadDim*DC_IndexPairs</f>
        <v>90194313216.0</v>
      </c>
      <c r="V36" s="36">
        <f>2*DecodeBatch*ShortLayers*TP8LocalIndexHeads*IndexHeadDim*DC_IndexPairs</f>
        <v>11274289152.0</v>
      </c>
      <c r="W36" s="36">
        <f>DecodeBatch*ShortLayers*DC_IndexPairs*(IndexHeadDim*BF16Bytes+TP1LocalIndexHeads*BF16Bytes)</f>
        <v>2113929216.0</v>
      </c>
      <c r="X36" s="36">
        <f>DecodeBatch*ShortLayers*DC_IndexPairs*(TP1LocalIndexHeads*BF16Bytes+FP32Bytes)</f>
        <v>726663168.0</v>
      </c>
      <c r="Y36" s="36">
        <f>DecodeBatch*ShortLayers*DC_IndexPairs*(IndexHeadDim*BF16Bytes+TP8LocalIndexHeads*BF16Bytes)</f>
        <v>1497366528.0</v>
      </c>
      <c r="Z36" s="36">
        <f>DecodeBatch*ShortLayers*DC_IndexPairs*(TP8LocalIndexHeads*BF16Bytes+FP32Bytes)</f>
        <v>110100480.0</v>
      </c>
      <c r="AA36" s="36">
        <f>0</f>
        <v>0</v>
      </c>
      <c r="AB36" s="36">
        <f>0</f>
        <v>0</v>
      </c>
      <c r="AC36" s="36">
        <f>(DecodeBatch*ShortLayers*DC_IndexPairs*(IndexHeadDim*BF16Bytes+TP1LocalIndexHeads*BF16Bytes))+(DecodeBatch*ShortLayers*DC_IndexPairs*(TP1LocalIndexHeads*BF16Bytes+FP32Bytes))</f>
        <v>2840592384.0</v>
      </c>
      <c r="AD36" s="36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41</v>
      </c>
      <c r="B37" s="4" t="s">
        <v>252</v>
      </c>
      <c r="C37" s="4" t="s">
        <v>253</v>
      </c>
      <c r="D37" s="35" t="str">
        <f>TEXT(IF(ABS(U37)&gt;=1E15,U37/1E15,IF(ABS(U37)&gt;=1E12,U37/1E12,IF(ABS(U37)&gt;=1E9,U37/1E9,IF(ABS(U37)&gt;=1E6,U37/1E6,U37)))),"#,##0.000")&amp;IF((IF(ABS(U37)&gt;=1E15,"PFLOPs",IF(ABS(U37)&gt;=1E12,"TFLOPs",IF(ABS(U37)&gt;=1E9,"GFLOPs",IF(ABS(U37)&gt;=1E6,"MFLOPs","flops")))))="",""," "&amp;(IF(ABS(U37)&gt;=1E15,"PFLOPs",IF(ABS(U37)&gt;=1E12,"TFLOPs",IF(ABS(U37)&gt;=1E9,"GFLOPs",IF(ABS(U37)&gt;=1E6,"MFLOPs","flops"))))))</f>
        <v>520.094 MFLOPs</v>
      </c>
      <c r="E37" s="35" t="str">
        <f>TEXT(IF(ABS(V37)&gt;=1E15,V37/1E15,IF(ABS(V37)&gt;=1E12,V37/1E12,IF(ABS(V37)&gt;=1E9,V37/1E9,IF(ABS(V37)&gt;=1E6,V37/1E6,V37)))),"#,##0.000")&amp;IF((IF(ABS(V37)&gt;=1E15,"PFLOPs",IF(ABS(V37)&gt;=1E12,"TFLOPs",IF(ABS(V37)&gt;=1E9,"GFLOPs",IF(ABS(V37)&gt;=1E6,"MFLOPs","flops")))))="",""," "&amp;(IF(ABS(V37)&gt;=1E15,"PFLOPs",IF(ABS(V37)&gt;=1E12,"TFLOPs",IF(ABS(V37)&gt;=1E9,"GFLOPs",IF(ABS(V37)&gt;=1E6,"MFLOPs","flops"))))))</f>
        <v>520.094 MFLOPs</v>
      </c>
      <c r="F37" s="35" t="str">
        <f>TEXT(IF(ABS(AC37)&gt;=1E12,AC37/1E12,IF(ABS(AC37)&gt;=1E9,AC37/1E9,IF(ABS(AC37)&gt;=1E6,AC37/1E6,IF(ABS(AC37)&gt;=1E3,AC37/1E3,AC37)))),"#,##0.000")&amp;IF((IF(ABS(AC37)&gt;=1E12,"TB",IF(ABS(AC37)&gt;=1E9,"GB",IF(ABS(AC37)&gt;=1E6,"MB",IF(ABS(AC37)&gt;=1E3,"KB","bytes")))))="",""," "&amp;(IF(ABS(AC37)&gt;=1E12,"TB",IF(ABS(AC37)&gt;=1E9,"GB",IF(ABS(AC37)&gt;=1E6,"MB",IF(ABS(AC37)&gt;=1E3,"KB","bytes"))))))</f>
        <v>1.047 GB</v>
      </c>
      <c r="G37" s="35" t="str">
        <f>TEXT(IF(ABS(AD37)&gt;=1E12,AD37/1E12,IF(ABS(AD37)&gt;=1E9,AD37/1E9,IF(ABS(AD37)&gt;=1E6,AD37/1E6,IF(ABS(AD37)&gt;=1E3,AD37/1E3,AD37)))),"#,##0.000")&amp;IF((IF(ABS(AD37)&gt;=1E12,"TB",IF(ABS(AD37)&gt;=1E9,"GB",IF(ABS(AD37)&gt;=1E6,"MB",IF(ABS(AD37)&gt;=1E3,"KB","bytes")))))="",""," "&amp;(IF(ABS(AD37)&gt;=1E12,"TB",IF(ABS(AD37)&gt;=1E9,"GB",IF(ABS(AD37)&gt;=1E6,"MB",IF(ABS(AD37)&gt;=1E3,"KB","bytes"))))))</f>
        <v>1.047 GB</v>
      </c>
      <c r="H37" s="35" t="str">
        <f>TEXT(IF(ABS(AA37)&gt;=1E12,AA37/1E12,IF(ABS(AA37)&gt;=1E9,AA37/1E9,IF(ABS(AA37)&gt;=1E6,AA37/1E6,IF(ABS(AA37)&gt;=1E3,AA37/1E3,AA37)))),"#,##0.000")&amp;IF((IF(ABS(AA37)&gt;=1E12,"TB",IF(ABS(AA37)&gt;=1E9,"GB",IF(ABS(AA37)&gt;=1E6,"MB",IF(ABS(AA37)&gt;=1E3,"KB","bytes")))))="",""," "&amp;(IF(ABS(AA37)&gt;=1E12,"TB",IF(ABS(AA37)&gt;=1E9,"GB",IF(ABS(AA37)&gt;=1E6,"MB",IF(ABS(AA37)&gt;=1E3,"KB","bytes"))))))</f>
        <v>0.000 B</v>
      </c>
      <c r="I37" s="35" t="str">
        <f>TEXT(IF(ABS(AB37)&gt;=1E12,AB37/1E12,IF(ABS(AB37)&gt;=1E9,AB37/1E9,IF(ABS(AB37)&gt;=1E6,AB37/1E6,IF(ABS(AB37)&gt;=1E3,AB37/1E3,AB37)))),"#,##0.000")&amp;IF((IF(ABS(AB37)&gt;=1E12,"TB",IF(ABS(AB37)&gt;=1E9,"GB",IF(ABS(AB37)&gt;=1E6,"MB",IF(ABS(AB37)&gt;=1E3,"KB","bytes")))))="",""," "&amp;(IF(ABS(AB37)&gt;=1E12,"TB",IF(ABS(AB37)&gt;=1E9,"GB",IF(ABS(AB37)&gt;=1E6,"MB",IF(ABS(AB37)&gt;=1E3,"KB","bytes"))))))</f>
        <v>0.000 B</v>
      </c>
      <c r="J37" s="4" t="s">
        <v>243</v>
      </c>
      <c r="K37" s="4" t="s">
        <v>254</v>
      </c>
      <c r="T37" s="36">
        <f>DC_Rows*(ShortLayers*8*HiddenSize*HeadDim+LongLayers*4*HiddenSize*HeadDim)</f>
        <v>520093696</v>
      </c>
      <c r="U37" s="36">
        <f>DC_Rows*(ShortLayers*8*HiddenSize*HeadDim+LongLayers*4*HiddenSize*HeadDim)</f>
        <v>520093696</v>
      </c>
      <c r="V37" s="36">
        <f>DC_Rows*(ShortLayers*8*HiddenSize*HeadDim+LongLayers*4*HiddenSize*HeadDim)</f>
        <v>520093696</v>
      </c>
      <c r="W37" s="36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36">
        <f>DC_Rows*(ShortLayers*4*HeadDim+LongLayers*2*HeadDim)*FP32Bytes</f>
        <v>253952</v>
      </c>
      <c r="Y37" s="36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36">
        <f>DC_Rows*(ShortLayers*4*HeadDim+LongLayers*2*HeadDim)*FP32Bytes</f>
        <v>253952</v>
      </c>
      <c r="AA37" s="36">
        <f>0</f>
        <v>0</v>
      </c>
      <c r="AB37" s="36">
        <f>0</f>
        <v>0</v>
      </c>
      <c r="AC37" s="36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36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41</v>
      </c>
      <c r="B38" s="4" t="s">
        <v>255</v>
      </c>
      <c r="C38" s="4" t="s">
        <v>159</v>
      </c>
      <c r="D38" s="35" t="str">
        <f>TEXT(IF(ABS(U38)&gt;=1E15,U38/1E15,IF(ABS(U38)&gt;=1E12,U38/1E12,IF(ABS(U38)&gt;=1E9,U38/1E9,IF(ABS(U38)&gt;=1E6,U38/1E6,U38)))),"#,##0.000")&amp;IF((IF(ABS(U38)&gt;=1E15,"PFLOPs",IF(ABS(U38)&gt;=1E12,"TFLOPs",IF(ABS(U38)&gt;=1E9,"GFLOPs",IF(ABS(U38)&gt;=1E6,"MFLOPs","flops")))))="",""," "&amp;(IF(ABS(U38)&gt;=1E15,"PFLOPs",IF(ABS(U38)&gt;=1E12,"TFLOPs",IF(ABS(U38)&gt;=1E9,"GFLOPs",IF(ABS(U38)&gt;=1E6,"MFLOPs","flops"))))))</f>
        <v>88.080 MFLOPs</v>
      </c>
      <c r="E38" s="35" t="str">
        <f>TEXT(IF(ABS(V38)&gt;=1E15,V38/1E15,IF(ABS(V38)&gt;=1E12,V38/1E12,IF(ABS(V38)&gt;=1E9,V38/1E9,IF(ABS(V38)&gt;=1E6,V38/1E6,V38)))),"#,##0.000")&amp;IF((IF(ABS(V38)&gt;=1E15,"PFLOPs",IF(ABS(V38)&gt;=1E12,"TFLOPs",IF(ABS(V38)&gt;=1E9,"GFLOPs",IF(ABS(V38)&gt;=1E6,"MFLOPs","flops")))))="",""," "&amp;(IF(ABS(V38)&gt;=1E15,"PFLOPs",IF(ABS(V38)&gt;=1E12,"TFLOPs",IF(ABS(V38)&gt;=1E9,"GFLOPs",IF(ABS(V38)&gt;=1E6,"MFLOPs","flops"))))))</f>
        <v>88.080 MFLOPs</v>
      </c>
      <c r="F38" s="35" t="str">
        <f>TEXT(IF(ABS(AC38)&gt;=1E12,AC38/1E12,IF(ABS(AC38)&gt;=1E9,AC38/1E9,IF(ABS(AC38)&gt;=1E6,AC38/1E6,IF(ABS(AC38)&gt;=1E3,AC38/1E3,AC38)))),"#,##0.000")&amp;IF((IF(ABS(AC38)&gt;=1E12,"TB",IF(ABS(AC38)&gt;=1E9,"GB",IF(ABS(AC38)&gt;=1E6,"MB",IF(ABS(AC38)&gt;=1E3,"KB","bytes")))))="",""," "&amp;(IF(ABS(AC38)&gt;=1E12,"TB",IF(ABS(AC38)&gt;=1E9,"GB",IF(ABS(AC38)&gt;=1E6,"MB",IF(ABS(AC38)&gt;=1E3,"KB","bytes"))))))</f>
        <v>176.645 MB</v>
      </c>
      <c r="G38" s="35" t="str">
        <f>TEXT(IF(ABS(AD38)&gt;=1E12,AD38/1E12,IF(ABS(AD38)&gt;=1E9,AD38/1E9,IF(ABS(AD38)&gt;=1E6,AD38/1E6,IF(ABS(AD38)&gt;=1E3,AD38/1E3,AD38)))),"#,##0.000")&amp;IF((IF(ABS(AD38)&gt;=1E12,"TB",IF(ABS(AD38)&gt;=1E9,"GB",IF(ABS(AD38)&gt;=1E6,"MB",IF(ABS(AD38)&gt;=1E3,"KB","bytes")))))="",""," "&amp;(IF(ABS(AD38)&gt;=1E12,"TB",IF(ABS(AD38)&gt;=1E9,"GB",IF(ABS(AD38)&gt;=1E6,"MB",IF(ABS(AD38)&gt;=1E3,"KB","bytes"))))))</f>
        <v>176.645 MB</v>
      </c>
      <c r="H38" s="35" t="str">
        <f>TEXT(IF(ABS(AA38)&gt;=1E12,AA38/1E12,IF(ABS(AA38)&gt;=1E9,AA38/1E9,IF(ABS(AA38)&gt;=1E6,AA38/1E6,IF(ABS(AA38)&gt;=1E3,AA38/1E3,AA38)))),"#,##0.000")&amp;IF((IF(ABS(AA38)&gt;=1E12,"TB",IF(ABS(AA38)&gt;=1E9,"GB",IF(ABS(AA38)&gt;=1E6,"MB",IF(ABS(AA38)&gt;=1E3,"KB","bytes")))))="",""," "&amp;(IF(ABS(AA38)&gt;=1E12,"TB",IF(ABS(AA38)&gt;=1E9,"GB",IF(ABS(AA38)&gt;=1E6,"MB",IF(ABS(AA38)&gt;=1E3,"KB","bytes"))))))</f>
        <v>0.000 B</v>
      </c>
      <c r="I38" s="35" t="str">
        <f>TEXT(IF(ABS(AB38)&gt;=1E12,AB38/1E12,IF(ABS(AB38)&gt;=1E9,AB38/1E9,IF(ABS(AB38)&gt;=1E6,AB38/1E6,IF(ABS(AB38)&gt;=1E3,AB38/1E3,AB38)))),"#,##0.000")&amp;IF((IF(ABS(AB38)&gt;=1E12,"TB",IF(ABS(AB38)&gt;=1E9,"GB",IF(ABS(AB38)&gt;=1E6,"MB",IF(ABS(AB38)&gt;=1E3,"KB","bytes")))))="",""," "&amp;(IF(ABS(AB38)&gt;=1E12,"TB",IF(ABS(AB38)&gt;=1E9,"GB",IF(ABS(AB38)&gt;=1E6,"MB",IF(ABS(AB38)&gt;=1E3,"KB","bytes"))))))</f>
        <v>0.000 B</v>
      </c>
      <c r="J38" s="4" t="s">
        <v>243</v>
      </c>
      <c r="K38" s="4" t="s">
        <v>256</v>
      </c>
      <c r="T38" s="36">
        <f>DC_Rows*ShortLayers*8*HiddenSize*IndexHeadDim</f>
        <v>88080384</v>
      </c>
      <c r="U38" s="36">
        <f>DC_Rows*ShortLayers*8*HiddenSize*IndexHeadDim</f>
        <v>88080384</v>
      </c>
      <c r="V38" s="36">
        <f>DC_Rows*ShortLayers*8*HiddenSize*IndexHeadDim</f>
        <v>88080384</v>
      </c>
      <c r="W38" s="36">
        <f>ShortLayers*(2*HiddenSize*(2*IndexHeadDim)*FP32Bytes+ShortRatio*2*IndexHeadDim*FP32Bytes+IndexHeadDim*FP32Bytes)+DC_Rows*ShortLayers*HiddenSize*FP32Bytes</f>
        <v>176601600</v>
      </c>
      <c r="X38" s="36">
        <f>DC_Rows*ShortLayers*4*IndexHeadDim*FP32Bytes</f>
        <v>43008</v>
      </c>
      <c r="Y38" s="36">
        <f>ShortLayers*(2*HiddenSize*(2*IndexHeadDim)*FP32Bytes+ShortRatio*2*IndexHeadDim*FP32Bytes+IndexHeadDim*FP32Bytes)+DC_Rows*ShortLayers*HiddenSize*FP32Bytes</f>
        <v>176601600</v>
      </c>
      <c r="Z38" s="36">
        <f>DC_Rows*ShortLayers*4*IndexHeadDim*FP32Bytes</f>
        <v>43008</v>
      </c>
      <c r="AA38" s="36">
        <f>0</f>
        <v>0</v>
      </c>
      <c r="AB38" s="36">
        <f>0</f>
        <v>0</v>
      </c>
      <c r="AC38" s="36">
        <f>(ShortLayers*(2*HiddenSize*(2*IndexHeadDim)*FP32Bytes+ShortRatio*2*IndexHeadDim*FP32Bytes+IndexHeadDim*FP32Bytes)+DC_Rows*ShortLayers*HiddenSize*FP32Bytes)+(DC_Rows*ShortLayers*4*IndexHeadDim*FP32Bytes)</f>
        <v>176644608</v>
      </c>
      <c r="AD38" s="36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60</v>
      </c>
      <c r="B39" s="4" t="s">
        <v>257</v>
      </c>
      <c r="C39" s="4" t="s">
        <v>242</v>
      </c>
      <c r="D39" s="35" t="str">
        <f>TEXT(IF(ABS(U39)&gt;=1E15,U39/1E15,IF(ABS(U39)&gt;=1E12,U39/1E12,IF(ABS(U39)&gt;=1E9,U39/1E9,IF(ABS(U39)&gt;=1E6,U39/1E6,U39)))),"#,##0.000")&amp;IF((IF(ABS(U39)&gt;=1E15,"PFLOPs",IF(ABS(U39)&gt;=1E12,"TFLOPs",IF(ABS(U39)&gt;=1E9,"GFLOPs",IF(ABS(U39)&gt;=1E6,"MFLOPs","flops")))))="",""," "&amp;(IF(ABS(U39)&gt;=1E15,"PFLOPs",IF(ABS(U39)&gt;=1E12,"TFLOPs",IF(ABS(U39)&gt;=1E9,"GFLOPs",IF(ABS(U39)&gt;=1E6,"MFLOPs","flops"))))))</f>
        <v>90.178 MFLOPs</v>
      </c>
      <c r="E39" s="35" t="str">
        <f>TEXT(IF(ABS(V39)&gt;=1E15,V39/1E15,IF(ABS(V39)&gt;=1E12,V39/1E12,IF(ABS(V39)&gt;=1E9,V39/1E9,IF(ABS(V39)&gt;=1E6,V39/1E6,V39)))),"#,##0.000")&amp;IF((IF(ABS(V39)&gt;=1E15,"PFLOPs",IF(ABS(V39)&gt;=1E12,"TFLOPs",IF(ABS(V39)&gt;=1E9,"GFLOPs",IF(ABS(V39)&gt;=1E6,"MFLOPs","flops")))))="",""," "&amp;(IF(ABS(V39)&gt;=1E15,"PFLOPs",IF(ABS(V39)&gt;=1E12,"TFLOPs",IF(ABS(V39)&gt;=1E9,"GFLOPs",IF(ABS(V39)&gt;=1E6,"MFLOPs","flops"))))))</f>
        <v>90.178 MFLOPs</v>
      </c>
      <c r="F39" s="35" t="str">
        <f>TEXT(IF(ABS(AC39)&gt;=1E12,AC39/1E12,IF(ABS(AC39)&gt;=1E9,AC39/1E9,IF(ABS(AC39)&gt;=1E6,AC39/1E6,IF(ABS(AC39)&gt;=1E3,AC39/1E3,AC39)))),"#,##0.000")&amp;IF((IF(ABS(AC39)&gt;=1E12,"TB",IF(ABS(AC39)&gt;=1E9,"GB",IF(ABS(AC39)&gt;=1E6,"MB",IF(ABS(AC39)&gt;=1E3,"KB","bytes")))))="",""," "&amp;(IF(ABS(AC39)&gt;=1E12,"TB",IF(ABS(AC39)&gt;=1E9,"GB",IF(ABS(AC39)&gt;=1E6,"MB",IF(ABS(AC39)&gt;=1E3,"KB","bytes"))))))</f>
        <v>90.615 MB</v>
      </c>
      <c r="G39" s="35" t="str">
        <f>TEXT(IF(ABS(AD39)&gt;=1E12,AD39/1E12,IF(ABS(AD39)&gt;=1E9,AD39/1E9,IF(ABS(AD39)&gt;=1E6,AD39/1E6,IF(ABS(AD39)&gt;=1E3,AD39/1E3,AD39)))),"#,##0.000")&amp;IF((IF(ABS(AD39)&gt;=1E12,"TB",IF(ABS(AD39)&gt;=1E9,"GB",IF(ABS(AD39)&gt;=1E6,"MB",IF(ABS(AD39)&gt;=1E3,"KB","bytes")))))="",""," "&amp;(IF(ABS(AD39)&gt;=1E12,"TB",IF(ABS(AD39)&gt;=1E9,"GB",IF(ABS(AD39)&gt;=1E6,"MB",IF(ABS(AD39)&gt;=1E3,"KB","bytes"))))))</f>
        <v>90.615 MB</v>
      </c>
      <c r="H39" s="35" t="str">
        <f>TEXT(IF(ABS(AA39)&gt;=1E12,AA39/1E12,IF(ABS(AA39)&gt;=1E9,AA39/1E9,IF(ABS(AA39)&gt;=1E6,AA39/1E6,IF(ABS(AA39)&gt;=1E3,AA39/1E3,AA39)))),"#,##0.000")&amp;IF((IF(ABS(AA39)&gt;=1E12,"TB",IF(ABS(AA39)&gt;=1E9,"GB",IF(ABS(AA39)&gt;=1E6,"MB",IF(ABS(AA39)&gt;=1E3,"KB","bytes")))))="",""," "&amp;(IF(ABS(AA39)&gt;=1E12,"TB",IF(ABS(AA39)&gt;=1E9,"GB",IF(ABS(AA39)&gt;=1E6,"MB",IF(ABS(AA39)&gt;=1E3,"KB","bytes"))))))</f>
        <v>0.000 B</v>
      </c>
      <c r="I39" s="35" t="str">
        <f>TEXT(IF(ABS(AB39)&gt;=1E12,AB39/1E12,IF(ABS(AB39)&gt;=1E9,AB39/1E9,IF(ABS(AB39)&gt;=1E6,AB39/1E6,IF(ABS(AB39)&gt;=1E3,AB39/1E3,AB39)))),"#,##0.000")&amp;IF((IF(ABS(AB39)&gt;=1E12,"TB",IF(ABS(AB39)&gt;=1E9,"GB",IF(ABS(AB39)&gt;=1E6,"MB",IF(ABS(AB39)&gt;=1E3,"KB","bytes")))))="",""," "&amp;(IF(ABS(AB39)&gt;=1E12,"TB",IF(ABS(AB39)&gt;=1E9,"GB",IF(ABS(AB39)&gt;=1E6,"MB",IF(ABS(AB39)&gt;=1E3,"KB","bytes"))))))</f>
        <v>0.000 B</v>
      </c>
      <c r="J39" s="4" t="s">
        <v>243</v>
      </c>
      <c r="K39" s="4" t="s">
        <v>258</v>
      </c>
      <c r="T39" s="36">
        <f>2*DC_Rows*TotalLayers*HiddenSize*RoutedExperts</f>
        <v>90177536</v>
      </c>
      <c r="U39" s="36">
        <f>2*DC_Rows*TotalLayers*HiddenSize*RoutedExperts</f>
        <v>90177536</v>
      </c>
      <c r="V39" s="36">
        <f>2*DC_Rows*TotalLayers*HiddenSize*RoutedExperts</f>
        <v>90177536</v>
      </c>
      <c r="W39" s="36">
        <f>TotalLayers*RoutedExperts*HiddenSize*BF16Bytes+(TotalLayers-ActiveHashLayers)*RoutedExperts*FP32Bytes+DC_Rows*TotalLayers*HiddenSize*BF16Bytes+DC_Rows*ActiveHashLayers*ActivatedExperts*INT32Bytes</f>
        <v>90570824</v>
      </c>
      <c r="X39" s="36">
        <f>DC_Rows*TotalLayers*RoutedExperts*FP32Bytes</f>
        <v>44032</v>
      </c>
      <c r="Y39" s="36">
        <f>TotalLayers*RoutedExperts*HiddenSize*BF16Bytes+(TotalLayers-ActiveHashLayers)*RoutedExperts*FP32Bytes+DC_Rows*TotalLayers*HiddenSize*BF16Bytes+DC_Rows*ActiveHashLayers*ActivatedExperts*INT32Bytes</f>
        <v>90570824</v>
      </c>
      <c r="Z39" s="36">
        <f>DC_Rows*TotalLayers*RoutedExperts*FP32Bytes</f>
        <v>44032</v>
      </c>
      <c r="AA39" s="36">
        <f>0</f>
        <v>0</v>
      </c>
      <c r="AB39" s="36">
        <f>0</f>
        <v>0</v>
      </c>
      <c r="AC39" s="36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36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60</v>
      </c>
      <c r="B40" s="4" t="s">
        <v>259</v>
      </c>
      <c r="C40" s="4" t="s">
        <v>242</v>
      </c>
      <c r="D40" s="35" t="str">
        <f>TEXT(IF(ABS(U40)&gt;=1E15,U40/1E15,IF(ABS(U40)&gt;=1E12,U40/1E12,IF(ABS(U40)&gt;=1E9,U40/1E9,IF(ABS(U40)&gt;=1E6,U40/1E6,U40)))),"#,##0.000")&amp;IF((IF(ABS(U40)&gt;=1E15,"PFLOPs",IF(ABS(U40)&gt;=1E12,"TFLOPs",IF(ABS(U40)&gt;=1E9,"GFLOPs",IF(ABS(U40)&gt;=1E6,"MFLOPs","flops")))))="",""," "&amp;(IF(ABS(U40)&gt;=1E15,"PFLOPs",IF(ABS(U40)&gt;=1E12,"TFLOPs",IF(ABS(U40)&gt;=1E9,"GFLOPs",IF(ABS(U40)&gt;=1E6,"MFLOPs","flops"))))))</f>
        <v>12.986 GFLOPs</v>
      </c>
      <c r="E40" s="35" t="str">
        <f>TEXT(IF(ABS(V40)&gt;=1E15,V40/1E15,IF(ABS(V40)&gt;=1E12,V40/1E12,IF(ABS(V40)&gt;=1E9,V40/1E9,IF(ABS(V40)&gt;=1E6,V40/1E6,V40)))),"#,##0.000")&amp;IF((IF(ABS(V40)&gt;=1E15,"PFLOPs",IF(ABS(V40)&gt;=1E12,"TFLOPs",IF(ABS(V40)&gt;=1E9,"GFLOPs",IF(ABS(V40)&gt;=1E6,"MFLOPs","flops")))))="",""," "&amp;(IF(ABS(V40)&gt;=1E15,"PFLOPs",IF(ABS(V40)&gt;=1E12,"TFLOPs",IF(ABS(V40)&gt;=1E9,"GFLOPs",IF(ABS(V40)&gt;=1E6,"MFLOPs","flops"))))))</f>
        <v>1.623 GFLOPs</v>
      </c>
      <c r="F40" s="35" t="str">
        <f>TEXT(IF(ABS(AC40)&gt;=1E12,AC40/1E12,IF(ABS(AC40)&gt;=1E9,AC40/1E9,IF(ABS(AC40)&gt;=1E6,AC40/1E6,IF(ABS(AC40)&gt;=1E3,AC40/1E3,AC40)))),"#,##0.000")&amp;IF((IF(ABS(AC40)&gt;=1E12,"TB",IF(ABS(AC40)&gt;=1E9,"GB",IF(ABS(AC40)&gt;=1E6,"MB",IF(ABS(AC40)&gt;=1E3,"KB","bytes")))))="",""," "&amp;(IF(ABS(AC40)&gt;=1E12,"TB",IF(ABS(AC40)&gt;=1E9,"GB",IF(ABS(AC40)&gt;=1E6,"MB",IF(ABS(AC40)&gt;=1E3,"KB","bytes"))))))</f>
        <v>3.454 GB</v>
      </c>
      <c r="G40" s="35" t="str">
        <f>TEXT(IF(ABS(AD40)&gt;=1E12,AD40/1E12,IF(ABS(AD40)&gt;=1E9,AD40/1E9,IF(ABS(AD40)&gt;=1E6,AD40/1E6,IF(ABS(AD40)&gt;=1E3,AD40/1E3,AD40)))),"#,##0.000")&amp;IF((IF(ABS(AD40)&gt;=1E12,"TB",IF(ABS(AD40)&gt;=1E9,"GB",IF(ABS(AD40)&gt;=1E6,"MB",IF(ABS(AD40)&gt;=1E3,"KB","bytes")))))="",""," "&amp;(IF(ABS(AD40)&gt;=1E12,"TB",IF(ABS(AD40)&gt;=1E9,"GB",IF(ABS(AD40)&gt;=1E6,"MB",IF(ABS(AD40)&gt;=1E3,"KB","bytes"))))))</f>
        <v>431.690 MB</v>
      </c>
      <c r="H40" s="35" t="str">
        <f>TEXT(IF(ABS(AA40)&gt;=1E12,AA40/1E12,IF(ABS(AA40)&gt;=1E9,AA40/1E9,IF(ABS(AA40)&gt;=1E6,AA40/1E6,IF(ABS(AA40)&gt;=1E3,AA40/1E3,AA40)))),"#,##0.000")&amp;IF((IF(ABS(AA40)&gt;=1E12,"TB",IF(ABS(AA40)&gt;=1E9,"GB",IF(ABS(AA40)&gt;=1E6,"MB",IF(ABS(AA40)&gt;=1E3,"KB","bytes")))))="",""," "&amp;(IF(ABS(AA40)&gt;=1E12,"TB",IF(ABS(AA40)&gt;=1E9,"GB",IF(ABS(AA40)&gt;=1E6,"MB",IF(ABS(AA40)&gt;=1E3,"KB","bytes"))))))</f>
        <v>0.000 B</v>
      </c>
      <c r="I40" s="35" t="str">
        <f>TEXT(IF(ABS(AB40)&gt;=1E12,AB40/1E12,IF(ABS(AB40)&gt;=1E9,AB40/1E9,IF(ABS(AB40)&gt;=1E6,AB40/1E6,IF(ABS(AB40)&gt;=1E3,AB40/1E3,AB40)))),"#,##0.000")&amp;IF((IF(ABS(AB40)&gt;=1E12,"TB",IF(ABS(AB40)&gt;=1E9,"GB",IF(ABS(AB40)&gt;=1E6,"MB",IF(ABS(AB40)&gt;=1E3,"KB","bytes")))))="",""," "&amp;(IF(ABS(AB40)&gt;=1E12,"TB",IF(ABS(AB40)&gt;=1E9,"GB",IF(ABS(AB40)&gt;=1E6,"MB",IF(ABS(AB40)&gt;=1E3,"KB","bytes"))))))</f>
        <v>0.000 B</v>
      </c>
      <c r="J40" s="4" t="s">
        <v>243</v>
      </c>
      <c r="K40" s="4" t="s">
        <v>260</v>
      </c>
      <c r="T40" s="36">
        <f>DC_Rows*TotalLayers*ActivatedExperts*6*HiddenSize*ExpertInter</f>
        <v>12985565184</v>
      </c>
      <c r="U40" s="36">
        <f>DC_Rows*TotalLayers*(ActivatedExperts/TP1Size)*6*HiddenSize*ExpertInter</f>
        <v>12985565184.0</v>
      </c>
      <c r="V40" s="36">
        <f>DC_Rows*TotalLayers*(ActivatedExperts/TP8Size)*6*HiddenSize*ExpertInter</f>
        <v>1623195648.0</v>
      </c>
      <c r="W40" s="36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36">
        <f>DC_Rows*TotalLayers*(ActivatedExperts/TP1Size)*HiddenSize*BF16Bytes</f>
        <v>2113536.0</v>
      </c>
      <c r="Y40" s="36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36">
        <f>DC_Rows*TotalLayers*(ActivatedExperts/TP8Size)*HiddenSize*BF16Bytes</f>
        <v>264192.0</v>
      </c>
      <c r="AA40" s="36">
        <f>0</f>
        <v>0</v>
      </c>
      <c r="AB40" s="36">
        <f>0</f>
        <v>0</v>
      </c>
      <c r="AC40" s="36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36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60</v>
      </c>
      <c r="B41" s="4" t="s">
        <v>261</v>
      </c>
      <c r="C41" s="4" t="s">
        <v>242</v>
      </c>
      <c r="D41" s="35" t="str">
        <f>TEXT(IF(ABS(U41)&gt;=1E15,U41/1E15,IF(ABS(U41)&gt;=1E12,U41/1E12,IF(ABS(U41)&gt;=1E9,U41/1E9,IF(ABS(U41)&gt;=1E6,U41/1E6,U41)))),"#,##0.000")&amp;IF((IF(ABS(U41)&gt;=1E15,"PFLOPs",IF(ABS(U41)&gt;=1E12,"TFLOPs",IF(ABS(U41)&gt;=1E9,"GFLOPs",IF(ABS(U41)&gt;=1E6,"MFLOPs","flops")))))="",""," "&amp;(IF(ABS(U41)&gt;=1E15,"PFLOPs",IF(ABS(U41)&gt;=1E12,"TFLOPs",IF(ABS(U41)&gt;=1E9,"GFLOPs",IF(ABS(U41)&gt;=1E6,"MFLOPs","flops"))))))</f>
        <v>2.164 GFLOPs</v>
      </c>
      <c r="E41" s="35" t="str">
        <f>TEXT(IF(ABS(V41)&gt;=1E15,V41/1E15,IF(ABS(V41)&gt;=1E12,V41/1E12,IF(ABS(V41)&gt;=1E9,V41/1E9,IF(ABS(V41)&gt;=1E6,V41/1E6,V41)))),"#,##0.000")&amp;IF((IF(ABS(V41)&gt;=1E15,"PFLOPs",IF(ABS(V41)&gt;=1E12,"TFLOPs",IF(ABS(V41)&gt;=1E9,"GFLOPs",IF(ABS(V41)&gt;=1E6,"MFLOPs","flops")))))="",""," "&amp;(IF(ABS(V41)&gt;=1E15,"PFLOPs",IF(ABS(V41)&gt;=1E12,"TFLOPs",IF(ABS(V41)&gt;=1E9,"GFLOPs",IF(ABS(V41)&gt;=1E6,"MFLOPs","flops"))))))</f>
        <v>2.164 GFLOPs</v>
      </c>
      <c r="F41" s="35" t="str">
        <f>TEXT(IF(ABS(AC41)&gt;=1E12,AC41/1E12,IF(ABS(AC41)&gt;=1E9,AC41/1E9,IF(ABS(AC41)&gt;=1E6,AC41/1E6,IF(ABS(AC41)&gt;=1E3,AC41/1E3,AC41)))),"#,##0.000")&amp;IF((IF(ABS(AC41)&gt;=1E12,"TB",IF(ABS(AC41)&gt;=1E9,"GB",IF(ABS(AC41)&gt;=1E6,"MB",IF(ABS(AC41)&gt;=1E3,"KB","bytes")))))="",""," "&amp;(IF(ABS(AC41)&gt;=1E12,"TB",IF(ABS(AC41)&gt;=1E9,"GB",IF(ABS(AC41)&gt;=1E6,"MB",IF(ABS(AC41)&gt;=1E3,"KB","bytes"))))))</f>
        <v>1.083 GB</v>
      </c>
      <c r="G41" s="35" t="str">
        <f>TEXT(IF(ABS(AD41)&gt;=1E12,AD41/1E12,IF(ABS(AD41)&gt;=1E9,AD41/1E9,IF(ABS(AD41)&gt;=1E6,AD41/1E6,IF(ABS(AD41)&gt;=1E3,AD41/1E3,AD41)))),"#,##0.000")&amp;IF((IF(ABS(AD41)&gt;=1E12,"TB",IF(ABS(AD41)&gt;=1E9,"GB",IF(ABS(AD41)&gt;=1E6,"MB",IF(ABS(AD41)&gt;=1E3,"KB","bytes")))))="",""," "&amp;(IF(ABS(AD41)&gt;=1E12,"TB",IF(ABS(AD41)&gt;=1E9,"GB",IF(ABS(AD41)&gt;=1E6,"MB",IF(ABS(AD41)&gt;=1E3,"KB","bytes"))))))</f>
        <v>1.083 GB</v>
      </c>
      <c r="H41" s="35" t="str">
        <f>TEXT(IF(ABS(AA41)&gt;=1E12,AA41/1E12,IF(ABS(AA41)&gt;=1E9,AA41/1E9,IF(ABS(AA41)&gt;=1E6,AA41/1E6,IF(ABS(AA41)&gt;=1E3,AA41/1E3,AA41)))),"#,##0.000")&amp;IF((IF(ABS(AA41)&gt;=1E12,"TB",IF(ABS(AA41)&gt;=1E9,"GB",IF(ABS(AA41)&gt;=1E6,"MB",IF(ABS(AA41)&gt;=1E3,"KB","bytes")))))="",""," "&amp;(IF(ABS(AA41)&gt;=1E12,"TB",IF(ABS(AA41)&gt;=1E9,"GB",IF(ABS(AA41)&gt;=1E6,"MB",IF(ABS(AA41)&gt;=1E3,"KB","bytes"))))))</f>
        <v>0.000 B</v>
      </c>
      <c r="I41" s="35" t="str">
        <f>TEXT(IF(ABS(AB41)&gt;=1E12,AB41/1E12,IF(ABS(AB41)&gt;=1E9,AB41/1E9,IF(ABS(AB41)&gt;=1E6,AB41/1E6,IF(ABS(AB41)&gt;=1E3,AB41/1E3,AB41)))),"#,##0.000")&amp;IF((IF(ABS(AB41)&gt;=1E12,"TB",IF(ABS(AB41)&gt;=1E9,"GB",IF(ABS(AB41)&gt;=1E6,"MB",IF(ABS(AB41)&gt;=1E3,"KB","bytes")))))="",""," "&amp;(IF(ABS(AB41)&gt;=1E12,"TB",IF(ABS(AB41)&gt;=1E9,"GB",IF(ABS(AB41)&gt;=1E6,"MB",IF(ABS(AB41)&gt;=1E3,"KB","bytes"))))))</f>
        <v>0.000 B</v>
      </c>
      <c r="J41" s="4" t="s">
        <v>243</v>
      </c>
      <c r="K41" s="4" t="s">
        <v>262</v>
      </c>
      <c r="T41" s="36">
        <f>DC_Rows*TotalLayers*SharedExperts*6*HiddenSize*ExpertInter</f>
        <v>2164260864</v>
      </c>
      <c r="U41" s="36">
        <f>DC_Rows*TotalLayers*SharedExperts*6*HiddenSize*ExpertInter</f>
        <v>2164260864</v>
      </c>
      <c r="V41" s="36">
        <f>DC_Rows*TotalLayers*SharedExperts*6*HiddenSize*ExpertInter</f>
        <v>2164260864</v>
      </c>
      <c r="W41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36">
        <f>DC_Rows*TotalLayers*SharedExperts*HiddenSize*BF16Bytes</f>
        <v>352256</v>
      </c>
      <c r="Y41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36">
        <f>DC_Rows*TotalLayers*SharedExperts*HiddenSize*BF16Bytes</f>
        <v>352256</v>
      </c>
      <c r="AA41" s="36">
        <f>0</f>
        <v>0</v>
      </c>
      <c r="AB41" s="36">
        <f>0</f>
        <v>0</v>
      </c>
      <c r="AC41" s="36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36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263</v>
      </c>
      <c r="B42" s="4" t="s">
        <v>264</v>
      </c>
      <c r="C42" s="4" t="s">
        <v>242</v>
      </c>
      <c r="D42" s="35" t="str">
        <f>TEXT(IF(ABS(U42)&gt;=1E15,U42/1E15,IF(ABS(U42)&gt;=1E12,U42/1E12,IF(ABS(U42)&gt;=1E9,U42/1E9,IF(ABS(U42)&gt;=1E6,U42/1E6,U42)))),"#,##0.000")&amp;IF((IF(ABS(U42)&gt;=1E15,"PFLOPs",IF(ABS(U42)&gt;=1E12,"TFLOPs",IF(ABS(U42)&gt;=1E9,"GFLOPs",IF(ABS(U42)&gt;=1E6,"MFLOPs","flops")))))="",""," "&amp;(IF(ABS(U42)&gt;=1E15,"PFLOPs",IF(ABS(U42)&gt;=1E12,"TFLOPs",IF(ABS(U42)&gt;=1E9,"GFLOPs",IF(ABS(U42)&gt;=1E6,"MFLOPs","flops"))))))</f>
        <v>85.598 MFLOPs</v>
      </c>
      <c r="E42" s="35" t="str">
        <f>TEXT(IF(ABS(V42)&gt;=1E15,V42/1E15,IF(ABS(V42)&gt;=1E12,V42/1E12,IF(ABS(V42)&gt;=1E9,V42/1E9,IF(ABS(V42)&gt;=1E6,V42/1E6,V42)))),"#,##0.000")&amp;IF((IF(ABS(V42)&gt;=1E15,"PFLOPs",IF(ABS(V42)&gt;=1E12,"TFLOPs",IF(ABS(V42)&gt;=1E9,"GFLOPs",IF(ABS(V42)&gt;=1E6,"MFLOPs","flops")))))="",""," "&amp;(IF(ABS(V42)&gt;=1E15,"PFLOPs",IF(ABS(V42)&gt;=1E12,"TFLOPs",IF(ABS(V42)&gt;=1E9,"GFLOPs",IF(ABS(V42)&gt;=1E6,"MFLOPs","flops"))))))</f>
        <v>85.598 MFLOPs</v>
      </c>
      <c r="F42" s="35" t="str">
        <f>TEXT(IF(ABS(AC42)&gt;=1E12,AC42/1E12,IF(ABS(AC42)&gt;=1E9,AC42/1E9,IF(ABS(AC42)&gt;=1E6,AC42/1E6,IF(ABS(AC42)&gt;=1E3,AC42/1E3,AC42)))),"#,##0.000")&amp;IF((IF(ABS(AC42)&gt;=1E12,"TB",IF(ABS(AC42)&gt;=1E9,"GB",IF(ABS(AC42)&gt;=1E6,"MB",IF(ABS(AC42)&gt;=1E3,"KB","bytes")))))="",""," "&amp;(IF(ABS(AC42)&gt;=1E12,"TB",IF(ABS(AC42)&gt;=1E9,"GB",IF(ABS(AC42)&gt;=1E6,"MB",IF(ABS(AC42)&gt;=1E3,"KB","bytes"))))))</f>
        <v>146.548 MB</v>
      </c>
      <c r="G42" s="35" t="str">
        <f>TEXT(IF(ABS(AD42)&gt;=1E12,AD42/1E12,IF(ABS(AD42)&gt;=1E9,AD42/1E9,IF(ABS(AD42)&gt;=1E6,AD42/1E6,IF(ABS(AD42)&gt;=1E3,AD42/1E3,AD42)))),"#,##0.000")&amp;IF((IF(ABS(AD42)&gt;=1E12,"TB",IF(ABS(AD42)&gt;=1E9,"GB",IF(ABS(AD42)&gt;=1E6,"MB",IF(ABS(AD42)&gt;=1E3,"KB","bytes")))))="",""," "&amp;(IF(ABS(AD42)&gt;=1E12,"TB",IF(ABS(AD42)&gt;=1E9,"GB",IF(ABS(AD42)&gt;=1E6,"MB",IF(ABS(AD42)&gt;=1E3,"KB","bytes"))))))</f>
        <v>146.548 MB</v>
      </c>
      <c r="H42" s="35" t="str">
        <f>TEXT(IF(ABS(AA42)&gt;=1E12,AA42/1E12,IF(ABS(AA42)&gt;=1E9,AA42/1E9,IF(ABS(AA42)&gt;=1E6,AA42/1E6,IF(ABS(AA42)&gt;=1E3,AA42/1E3,AA42)))),"#,##0.000")&amp;IF((IF(ABS(AA42)&gt;=1E12,"TB",IF(ABS(AA42)&gt;=1E9,"GB",IF(ABS(AA42)&gt;=1E6,"MB",IF(ABS(AA42)&gt;=1E3,"KB","bytes")))))="",""," "&amp;(IF(ABS(AA42)&gt;=1E12,"TB",IF(ABS(AA42)&gt;=1E9,"GB",IF(ABS(AA42)&gt;=1E6,"MB",IF(ABS(AA42)&gt;=1E3,"KB","bytes"))))))</f>
        <v>0.000 B</v>
      </c>
      <c r="I42" s="35" t="str">
        <f>TEXT(IF(ABS(AB42)&gt;=1E12,AB42/1E12,IF(ABS(AB42)&gt;=1E9,AB42/1E9,IF(ABS(AB42)&gt;=1E6,AB42/1E6,IF(ABS(AB42)&gt;=1E3,AB42/1E3,AB42)))),"#,##0.000")&amp;IF((IF(ABS(AB42)&gt;=1E12,"TB",IF(ABS(AB42)&gt;=1E9,"GB",IF(ABS(AB42)&gt;=1E6,"MB",IF(ABS(AB42)&gt;=1E3,"KB","bytes")))))="",""," "&amp;(IF(ABS(AB42)&gt;=1E12,"TB",IF(ABS(AB42)&gt;=1E9,"GB",IF(ABS(AB42)&gt;=1E6,"MB",IF(ABS(AB42)&gt;=1E3,"KB","bytes"))))))</f>
        <v>0.000 B</v>
      </c>
      <c r="J42" s="4" t="s">
        <v>265</v>
      </c>
      <c r="K42" s="4" t="s">
        <v>266</v>
      </c>
      <c r="T42" s="36">
        <f>TotalLayers*2*(2*DC_Rows*HCSlots*HiddenSize*((2+HCSlots)*HCSlots)+DC_Rows*(2*HCSlots*HiddenSize+1)+DC_Rows*HiddenSize*(2*HCSlots-1)+DC_Rows*HCSlots*HiddenSize*(2*HCSlots+1))</f>
        <v>85598294</v>
      </c>
      <c r="U42" s="36">
        <f>TotalLayers*2*(2*DC_Rows*HCSlots*HiddenSize*((2+HCSlots)*HCSlots)+DC_Rows*(2*HCSlots*HiddenSize+1)+DC_Rows*HiddenSize*(2*HCSlots-1)+DC_Rows*HCSlots*HiddenSize*(2*HCSlots+1))</f>
        <v>85598294</v>
      </c>
      <c r="V42" s="36">
        <f>TotalLayers*2*(2*DC_Rows*HCSlots*HiddenSize*((2+HCSlots)*HCSlots)+DC_Rows*(2*HCSlots*HiddenSize+1)+DC_Rows*HiddenSize*(2*HCSlots-1)+DC_Rows*HCSlots*HiddenSize*(2*HCSlots+1))</f>
        <v>85598294</v>
      </c>
      <c r="W42" s="36">
        <f>TotalLayers*2*((2+HCSlots)*HCSlots*HCSlots*HiddenSize*FP32Bytes+((2+HCSlots)*HCSlots+3)*FP32Bytes)+DC_Rows*TotalLayers*4*HCSlots*HiddenSize*BF16Bytes</f>
        <v>140911688.0</v>
      </c>
      <c r="X42" s="36">
        <f>DC_Rows*TotalLayers*4*HCSlots*HiddenSize*BF16Bytes</f>
        <v>5636096</v>
      </c>
      <c r="Y42" s="36">
        <f>TotalLayers*2*((2+HCSlots)*HCSlots*HCSlots*HiddenSize*FP32Bytes+((2+HCSlots)*HCSlots+3)*FP32Bytes)+DC_Rows*TotalLayers*4*HCSlots*HiddenSize*BF16Bytes</f>
        <v>140911688.0</v>
      </c>
      <c r="Z42" s="36">
        <f>DC_Rows*TotalLayers*4*HCSlots*HiddenSize*BF16Bytes</f>
        <v>5636096</v>
      </c>
      <c r="AA42" s="36">
        <f>0</f>
        <v>0</v>
      </c>
      <c r="AB42" s="36">
        <f>0</f>
        <v>0</v>
      </c>
      <c r="AC42" s="36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36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263</v>
      </c>
      <c r="B43" s="4" t="s">
        <v>267</v>
      </c>
      <c r="C43" s="4" t="s">
        <v>268</v>
      </c>
      <c r="D43" s="35" t="str">
        <f>TEXT(IF(ABS(U43)&gt;=1E15,U43/1E15,IF(ABS(U43)&gt;=1E12,U43/1E12,IF(ABS(U43)&gt;=1E9,U43/1E9,IF(ABS(U43)&gt;=1E6,U43/1E6,U43)))),"#,##0.000")&amp;IF((IF(ABS(U43)&gt;=1E15,"PFLOPs",IF(ABS(U43)&gt;=1E12,"TFLOPs",IF(ABS(U43)&gt;=1E9,"GFLOPs",IF(ABS(U43)&gt;=1E6,"MFLOPs","flops")))))="",""," "&amp;(IF(ABS(U43)&gt;=1E15,"PFLOPs",IF(ABS(U43)&gt;=1E12,"TFLOPs",IF(ABS(U43)&gt;=1E9,"GFLOPs",IF(ABS(U43)&gt;=1E6,"MFLOPs","flops"))))))</f>
        <v>1.059 GFLOPs</v>
      </c>
      <c r="E43" s="35" t="str">
        <f>TEXT(IF(ABS(V43)&gt;=1E15,V43/1E15,IF(ABS(V43)&gt;=1E12,V43/1E12,IF(ABS(V43)&gt;=1E9,V43/1E9,IF(ABS(V43)&gt;=1E6,V43/1E6,V43)))),"#,##0.000")&amp;IF((IF(ABS(V43)&gt;=1E15,"PFLOPs",IF(ABS(V43)&gt;=1E12,"TFLOPs",IF(ABS(V43)&gt;=1E9,"GFLOPs",IF(ABS(V43)&gt;=1E6,"MFLOPs","flops")))))="",""," "&amp;(IF(ABS(V43)&gt;=1E15,"PFLOPs",IF(ABS(V43)&gt;=1E12,"TFLOPs",IF(ABS(V43)&gt;=1E9,"GFLOPs",IF(ABS(V43)&gt;=1E6,"MFLOPs","flops"))))))</f>
        <v>132.383 MFLOPs</v>
      </c>
      <c r="F43" s="35" t="str">
        <f>TEXT(IF(ABS(AC43)&gt;=1E12,AC43/1E12,IF(ABS(AC43)&gt;=1E9,AC43/1E9,IF(ABS(AC43)&gt;=1E6,AC43/1E6,IF(ABS(AC43)&gt;=1E3,AC43/1E3,AC43)))),"#,##0.000")&amp;IF((IF(ABS(AC43)&gt;=1E12,"TB",IF(ABS(AC43)&gt;=1E9,"GB",IF(ABS(AC43)&gt;=1E6,"MB",IF(ABS(AC43)&gt;=1E3,"KB","bytes")))))="",""," "&amp;(IF(ABS(AC43)&gt;=1E12,"TB",IF(ABS(AC43)&gt;=1E9,"GB",IF(ABS(AC43)&gt;=1E6,"MB",IF(ABS(AC43)&gt;=1E3,"KB","bytes"))))))</f>
        <v>2.119 GB</v>
      </c>
      <c r="G43" s="35" t="str">
        <f>TEXT(IF(ABS(AD43)&gt;=1E12,AD43/1E12,IF(ABS(AD43)&gt;=1E9,AD43/1E9,IF(ABS(AD43)&gt;=1E6,AD43/1E6,IF(ABS(AD43)&gt;=1E3,AD43/1E3,AD43)))),"#,##0.000")&amp;IF((IF(ABS(AD43)&gt;=1E12,"TB",IF(ABS(AD43)&gt;=1E9,"GB",IF(ABS(AD43)&gt;=1E6,"MB",IF(ABS(AD43)&gt;=1E3,"KB","bytes")))))="",""," "&amp;(IF(ABS(AD43)&gt;=1E12,"TB",IF(ABS(AD43)&gt;=1E9,"GB",IF(ABS(AD43)&gt;=1E6,"MB",IF(ABS(AD43)&gt;=1E3,"KB","bytes"))))))</f>
        <v>264.846 MB</v>
      </c>
      <c r="H43" s="35" t="str">
        <f>TEXT(IF(ABS(AA43)&gt;=1E12,AA43/1E12,IF(ABS(AA43)&gt;=1E9,AA43/1E9,IF(ABS(AA43)&gt;=1E6,AA43/1E6,IF(ABS(AA43)&gt;=1E3,AA43/1E3,AA43)))),"#,##0.000")&amp;IF((IF(ABS(AA43)&gt;=1E12,"TB",IF(ABS(AA43)&gt;=1E9,"GB",IF(ABS(AA43)&gt;=1E6,"MB",IF(ABS(AA43)&gt;=1E3,"KB","bytes")))))="",""," "&amp;(IF(ABS(AA43)&gt;=1E12,"TB",IF(ABS(AA43)&gt;=1E9,"GB",IF(ABS(AA43)&gt;=1E6,"MB",IF(ABS(AA43)&gt;=1E3,"KB","bytes"))))))</f>
        <v>0.000 B</v>
      </c>
      <c r="I43" s="35" t="str">
        <f>TEXT(IF(ABS(AB43)&gt;=1E12,AB43/1E12,IF(ABS(AB43)&gt;=1E9,AB43/1E9,IF(ABS(AB43)&gt;=1E6,AB43/1E6,IF(ABS(AB43)&gt;=1E3,AB43/1E3,AB43)))),"#,##0.000")&amp;IF((IF(ABS(AB43)&gt;=1E12,"TB",IF(ABS(AB43)&gt;=1E9,"GB",IF(ABS(AB43)&gt;=1E6,"MB",IF(ABS(AB43)&gt;=1E3,"KB","bytes")))))="",""," "&amp;(IF(ABS(AB43)&gt;=1E12,"TB",IF(ABS(AB43)&gt;=1E9,"GB",IF(ABS(AB43)&gt;=1E6,"MB",IF(ABS(AB43)&gt;=1E3,"KB","bytes"))))))</f>
        <v>0.000 B</v>
      </c>
      <c r="J43" s="4" t="s">
        <v>243</v>
      </c>
      <c r="K43" s="4" t="s">
        <v>269</v>
      </c>
      <c r="T43" s="36">
        <f>2*DC_Rows*HiddenSize*VocabSize</f>
        <v>1059061760</v>
      </c>
      <c r="U43" s="36">
        <f>2*DC_Rows*HiddenSize*TP1LocalVocab</f>
        <v>1059061760.0</v>
      </c>
      <c r="V43" s="36">
        <f>2*DC_Rows*HiddenSize*TP8LocalVocab</f>
        <v>132382720.0</v>
      </c>
      <c r="W43" s="36">
        <f>TP1LocalVocab*HiddenSize*FP32Bytes+DC_Rows*HiddenSize*FP32Bytes</f>
        <v>2118139904.0</v>
      </c>
      <c r="X43" s="36">
        <f>DC_Rows*TP1LocalVocab*FP32Bytes</f>
        <v>517120.0</v>
      </c>
      <c r="Y43" s="36">
        <f>TP8LocalVocab*HiddenSize*FP32Bytes+DC_Rows*HiddenSize*FP32Bytes</f>
        <v>264781824.0</v>
      </c>
      <c r="Z43" s="36">
        <f>DC_Rows*TP8LocalVocab*FP32Bytes</f>
        <v>64640.0</v>
      </c>
      <c r="AA43" s="36">
        <f>0</f>
        <v>0</v>
      </c>
      <c r="AB43" s="36">
        <f>0</f>
        <v>0</v>
      </c>
      <c r="AC43" s="36">
        <f>(TP1LocalVocab*HiddenSize*FP32Bytes+DC_Rows*HiddenSize*FP32Bytes)+(DC_Rows*TP1LocalVocab*FP32Bytes)</f>
        <v>2118657024.0</v>
      </c>
      <c r="AD43" s="36">
        <f>(TP8LocalVocab*HiddenSize*FP32Bytes+DC_Rows*HiddenSize*FP32Bytes)+(DC_Rows*TP8LocalVocab*FP32Bytes)</f>
        <v>264846464.0</v>
      </c>
    </row>
    <row r="44" spans="1:30">
      <c r="A44" s="4" t="s">
        <v>270</v>
      </c>
      <c r="B44" s="4" t="s">
        <v>271</v>
      </c>
      <c r="C44" s="4" t="s">
        <v>272</v>
      </c>
      <c r="D44" s="35" t="str">
        <f>TEXT(IF(ABS(U44)&gt;=1E15,U44/1E15,IF(ABS(U44)&gt;=1E12,U44/1E12,IF(ABS(U44)&gt;=1E9,U44/1E9,IF(ABS(U44)&gt;=1E6,U44/1E6,U44)))),"#,##0.000")&amp;IF((IF(ABS(U44)&gt;=1E15,"PFLOPs",IF(ABS(U44)&gt;=1E12,"TFLOPs",IF(ABS(U44)&gt;=1E9,"GFLOPs",IF(ABS(U44)&gt;=1E6,"MFLOPs","flops")))))="",""," "&amp;(IF(ABS(U44)&gt;=1E15,"PFLOPs",IF(ABS(U44)&gt;=1E12,"TFLOPs",IF(ABS(U44)&gt;=1E9,"GFLOPs",IF(ABS(U44)&gt;=1E6,"MFLOPs","flops"))))))</f>
        <v>0.000 FLOPs</v>
      </c>
      <c r="E44" s="35" t="str">
        <f>TEXT(IF(ABS(V44)&gt;=1E15,V44/1E15,IF(ABS(V44)&gt;=1E12,V44/1E12,IF(ABS(V44)&gt;=1E9,V44/1E9,IF(ABS(V44)&gt;=1E6,V44/1E6,V44)))),"#,##0.000")&amp;IF((IF(ABS(V44)&gt;=1E15,"PFLOPs",IF(ABS(V44)&gt;=1E12,"TFLOPs",IF(ABS(V44)&gt;=1E9,"GFLOPs",IF(ABS(V44)&gt;=1E6,"MFLOPs","flops")))))="",""," "&amp;(IF(ABS(V44)&gt;=1E15,"PFLOPs",IF(ABS(V44)&gt;=1E12,"TFLOPs",IF(ABS(V44)&gt;=1E9,"GFLOPs",IF(ABS(V44)&gt;=1E6,"MFLOPs","flops"))))))</f>
        <v>0.000 FLOPs</v>
      </c>
      <c r="F44" s="35" t="str">
        <f>TEXT(IF(ABS(AC44)&gt;=1E12,AC44/1E12,IF(ABS(AC44)&gt;=1E9,AC44/1E9,IF(ABS(AC44)&gt;=1E6,AC44/1E6,IF(ABS(AC44)&gt;=1E3,AC44/1E3,AC44)))),"#,##0.000")&amp;IF((IF(ABS(AC44)&gt;=1E12,"TB",IF(ABS(AC44)&gt;=1E9,"GB",IF(ABS(AC44)&gt;=1E6,"MB",IF(ABS(AC44)&gt;=1E3,"KB","bytes")))))="",""," "&amp;(IF(ABS(AC44)&gt;=1E12,"TB",IF(ABS(AC44)&gt;=1E9,"GB",IF(ABS(AC44)&gt;=1E6,"MB",IF(ABS(AC44)&gt;=1E3,"KB","bytes"))))))</f>
        <v>0.000 B</v>
      </c>
      <c r="G44" s="35" t="str">
        <f>TEXT(IF(ABS(AD44)&gt;=1E12,AD44/1E12,IF(ABS(AD44)&gt;=1E9,AD44/1E9,IF(ABS(AD44)&gt;=1E6,AD44/1E6,IF(ABS(AD44)&gt;=1E3,AD44/1E3,AD44)))),"#,##0.000")&amp;IF((IF(ABS(AD44)&gt;=1E12,"TB",IF(ABS(AD44)&gt;=1E9,"GB",IF(ABS(AD44)&gt;=1E6,"MB",IF(ABS(AD44)&gt;=1E3,"KB","bytes")))))="",""," "&amp;(IF(ABS(AD44)&gt;=1E12,"TB",IF(ABS(AD44)&gt;=1E9,"GB",IF(ABS(AD44)&gt;=1E6,"MB",IF(ABS(AD44)&gt;=1E3,"KB","bytes"))))))</f>
        <v>0.000 B</v>
      </c>
      <c r="H44" s="35" t="str">
        <f>TEXT(IF(ABS(AA44)&gt;=1E12,AA44/1E12,IF(ABS(AA44)&gt;=1E9,AA44/1E9,IF(ABS(AA44)&gt;=1E6,AA44/1E6,IF(ABS(AA44)&gt;=1E3,AA44/1E3,AA44)))),"#,##0.000")&amp;IF((IF(ABS(AA44)&gt;=1E12,"TB",IF(ABS(AA44)&gt;=1E9,"GB",IF(ABS(AA44)&gt;=1E6,"MB",IF(ABS(AA44)&gt;=1E3,"KB","bytes")))))="",""," "&amp;(IF(ABS(AA44)&gt;=1E12,"TB",IF(ABS(AA44)&gt;=1E9,"GB",IF(ABS(AA44)&gt;=1E6,"MB",IF(ABS(AA44)&gt;=1E3,"KB","bytes"))))))</f>
        <v>0.000 B</v>
      </c>
      <c r="I44" s="35" t="str">
        <f>TEXT(IF(ABS(AB44)&gt;=1E12,AB44/1E12,IF(ABS(AB44)&gt;=1E9,AB44/1E9,IF(ABS(AB44)&gt;=1E6,AB44/1E6,IF(ABS(AB44)&gt;=1E3,AB44/1E3,AB44)))),"#,##0.000")&amp;IF((IF(ABS(AB44)&gt;=1E12,"TB",IF(ABS(AB44)&gt;=1E9,"GB",IF(ABS(AB44)&gt;=1E6,"MB",IF(ABS(AB44)&gt;=1E3,"KB","bytes")))))="",""," "&amp;(IF(ABS(AB44)&gt;=1E12,"TB",IF(ABS(AB44)&gt;=1E9,"GB",IF(ABS(AB44)&gt;=1E6,"MB",IF(ABS(AB44)&gt;=1E3,"KB","bytes"))))))</f>
        <v>5.865 MB</v>
      </c>
      <c r="J44" s="4" t="s">
        <v>265</v>
      </c>
      <c r="K44" s="4" t="s">
        <v>273</v>
      </c>
      <c r="T44" s="36">
        <f>0</f>
        <v>0</v>
      </c>
      <c r="U44" s="36">
        <f>0</f>
        <v>0</v>
      </c>
      <c r="V44" s="36">
        <f>0</f>
        <v>0</v>
      </c>
      <c r="W44" s="36">
        <f>0</f>
        <v>0</v>
      </c>
      <c r="X44" s="36">
        <f>0</f>
        <v>0</v>
      </c>
      <c r="Y44" s="36">
        <f>0</f>
        <v>0</v>
      </c>
      <c r="Z44" s="36">
        <f>0</f>
        <v>0</v>
      </c>
      <c r="AA44" s="36">
        <f>4*(TP1Size-1)/TP1Size*DC_Rows*HiddenSize*BF16Bytes+2*4*(TP1Size-1)/TP1Size*DC_Rows*HiddenSize*FP32Bytes*TotalLayers+2*(TP1Size-1)*DC_Rows*TP1LocalVocab*FP32Bytes</f>
        <v>0.0</v>
      </c>
      <c r="AB44" s="36">
        <f>4*(TP8Size-1)/TP8Size*DC_Rows*HiddenSize*BF16Bytes+2*4*(TP8Size-1)/TP8Size*DC_Rows*HiddenSize*FP32Bytes*TotalLayers+2*(TP8Size-1)*DC_Rows*TP8LocalVocab*FP32Bytes</f>
        <v>5865216.0</v>
      </c>
      <c r="AC44" s="36">
        <f>(0)+(0)</f>
        <v>0</v>
      </c>
      <c r="AD44" s="36">
        <f>(0)+(0)</f>
        <v>0</v>
      </c>
    </row>
  </sheetData>
  <mergeCells count="2">
    <mergeCell ref="A31:K31"/>
    <mergeCell ref="A11:C1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3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32.7109375" customWidth="1"/>
    <col min="3" max="10" width="18.7109375" customWidth="1"/>
    <col min="11" max="11" width="58.7109375" customWidth="1"/>
    <col min="16" max="21" width="0" hidden="1" customWidth="1"/>
  </cols>
  <sheetData>
    <row r="1" spans="1:21">
      <c r="A1" s="1" t="s">
        <v>295</v>
      </c>
    </row>
    <row r="2" spans="1:21">
      <c r="A2" s="2" t="s">
        <v>296</v>
      </c>
    </row>
    <row r="3" spans="1:21">
      <c r="A3" t="s">
        <v>297</v>
      </c>
      <c r="B3" t="s">
        <v>298</v>
      </c>
      <c r="C3" t="s">
        <v>299</v>
      </c>
      <c r="D3" t="s">
        <v>300</v>
      </c>
      <c r="E3" t="s">
        <v>301</v>
      </c>
      <c r="F3" t="s">
        <v>302</v>
      </c>
      <c r="G3" t="s">
        <v>303</v>
      </c>
      <c r="H3" t="s">
        <v>304</v>
      </c>
    </row>
    <row r="4" spans="1:21">
      <c r="A4" s="4" t="s">
        <v>41</v>
      </c>
      <c r="B4" s="4" t="s">
        <v>305</v>
      </c>
      <c r="C4" s="35" t="str">
        <f>TEXT(IF(ABS(P4)&gt;=1E12,P4/1E12,IF(ABS(P4)&gt;=1E9,P4/1E9,IF(ABS(P4)&gt;=1E6,P4/1E6,IF(ABS(P4)&gt;=1E3,P4/1E3,P4)))),"#,##0.000")&amp;IF((IF(ABS(P4)&gt;=1E12,"T",IF(ABS(P4)&gt;=1E9,"G",IF(ABS(P4)&gt;=1E6,"M",IF(ABS(P4)&gt;=1E3,"K","")))))="",""," "&amp;(IF(ABS(P4)&gt;=1E12,"T",IF(ABS(P4)&gt;=1E9,"G",IF(ABS(P4)&gt;=1E6,"M",IF(ABS(P4)&gt;=1E3,"K",""))))))</f>
        <v>4.599 G</v>
      </c>
      <c r="D4" s="35" t="str">
        <f>TEXT(IF(ABS(Q4)&gt;=1E12,Q4/1E12,IF(ABS(Q4)&gt;=1E9,Q4/1E9,IF(ABS(Q4)&gt;=1E6,Q4/1E6,IF(ABS(Q4)&gt;=1E3,Q4/1E3,Q4)))),"#,##0.000")&amp;IF((IF(ABS(Q4)&gt;=1E12,"T",IF(ABS(Q4)&gt;=1E9,"G",IF(ABS(Q4)&gt;=1E6,"M",IF(ABS(Q4)&gt;=1E3,"K","")))))="",""," "&amp;(IF(ABS(Q4)&gt;=1E12,"T",IF(ABS(Q4)&gt;=1E9,"G",IF(ABS(Q4)&gt;=1E6,"M",IF(ABS(Q4)&gt;=1E3,"K",""))))))</f>
        <v>4.599 G</v>
      </c>
      <c r="E4" s="35" t="str">
        <f>TEXT(IF(ABS(R4)&gt;=1E12,R4/1E12,IF(ABS(R4)&gt;=1E9,R4/1E9,IF(ABS(R4)&gt;=1E6,R4/1E6,IF(ABS(R4)&gt;=1E3,R4/1E3,R4)))),"#,##0.000")&amp;IF((IF(ABS(R4)&gt;=1E12,"T",IF(ABS(R4)&gt;=1E9,"G",IF(ABS(R4)&gt;=1E6,"M",IF(ABS(R4)&gt;=1E3,"K","")))))="",""," "&amp;(IF(ABS(R4)&gt;=1E12,"T",IF(ABS(R4)&gt;=1E9,"G",IF(ABS(R4)&gt;=1E6,"M",IF(ABS(R4)&gt;=1E3,"K",""))))))</f>
        <v>811.598 M</v>
      </c>
      <c r="F4" s="35" t="str">
        <f>TEXT(IF(ABS(T4)&gt;=1E12,T4/1E12,IF(ABS(T4)&gt;=1E9,T4/1E9,IF(ABS(T4)&gt;=1E6,T4/1E6,IF(ABS(T4)&gt;=1E3,T4/1E3,T4)))),"#,##0.000")&amp;IF((IF(ABS(T4)&gt;=1E12,"TB",IF(ABS(T4)&gt;=1E9,"GB",IF(ABS(T4)&gt;=1E6,"MB",IF(ABS(T4)&gt;=1E3,"KB","bytes")))))="",""," "&amp;(IF(ABS(T4)&gt;=1E12,"TB",IF(ABS(T4)&gt;=1E9,"GB",IF(ABS(T4)&gt;=1E6,"MB",IF(ABS(T4)&gt;=1E3,"KB","bytes"))))))</f>
        <v>6.042 GB</v>
      </c>
      <c r="G4" s="35" t="str">
        <f>TEXT(IF(ABS(U4)&gt;=1E12,U4/1E12,IF(ABS(U4)&gt;=1E9,U4/1E9,IF(ABS(U4)&gt;=1E6,U4/1E6,IF(ABS(U4)&gt;=1E3,U4/1E3,U4)))),"#,##0.000")&amp;IF((IF(ABS(U4)&gt;=1E12,"TB",IF(ABS(U4)&gt;=1E9,"GB",IF(ABS(U4)&gt;=1E6,"MB",IF(ABS(U4)&gt;=1E3,"KB","bytes")))))="",""," "&amp;(IF(ABS(U4)&gt;=1E12,"TB",IF(ABS(U4)&gt;=1E9,"GB",IF(ABS(U4)&gt;=1E6,"MB",IF(ABS(U4)&gt;=1E3,"KB","bytes"))))))</f>
        <v>991.991 MB</v>
      </c>
      <c r="H4" s="4" t="s">
        <v>306</v>
      </c>
      <c r="P4" s="36">
        <f>TotalLayers*(HiddenSize*QLoraRank+QLoraRank*NumHeads*HeadDim+HiddenSize*HeadDim+NumHeads*HeadDim*OLoraRank+OGroups*OLoraRank*HiddenSize)</f>
        <v>4599054336</v>
      </c>
      <c r="Q4" s="36">
        <f>TotalLayers*(HiddenSize*QLoraRank+QLoraRank*TP1LocalHeads*HeadDim+HiddenSize*HeadDim+TP1LocalHeads*HeadDim*OLoraRank+TP1LocalOGroups*OLoraRank*HiddenSize)</f>
        <v>4599054336.0</v>
      </c>
      <c r="R4" s="36">
        <f>TotalLayers*(HiddenSize*QLoraRank+QLoraRank*TP8LocalHeads*HeadDim+HiddenSize*HeadDim+TP8LocalHeads*HeadDim*OLoraRank+TP8LocalOGroups*OLoraRank*HiddenSize)</f>
        <v>811597824.0</v>
      </c>
      <c r="S4" s="36">
        <f>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</f>
        <v>6042087552</v>
      </c>
      <c r="T4" s="36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U4" s="36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" spans="1:21">
      <c r="A5" s="4" t="s">
        <v>41</v>
      </c>
      <c r="B5" s="4" t="s">
        <v>307</v>
      </c>
      <c r="C5" s="35" t="str">
        <f>TEXT(IF(ABS(P5)&gt;=1E12,P5/1E12,IF(ABS(P5)&gt;=1E9,P5/1E9,IF(ABS(P5)&gt;=1E6,P5/1E6,IF(ABS(P5)&gt;=1E3,P5/1E3,P5)))),"#,##0.000")&amp;IF((IF(ABS(P5)&gt;=1E12,"T",IF(ABS(P5)&gt;=1E9,"G",IF(ABS(P5)&gt;=1E6,"M",IF(ABS(P5)&gt;=1E3,"K","")))))="",""," "&amp;(IF(ABS(P5)&gt;=1E12,"T",IF(ABS(P5)&gt;=1E9,"G",IF(ABS(P5)&gt;=1E6,"M",IF(ABS(P5)&gt;=1E3,"K",""))))))</f>
        <v>261.465 M</v>
      </c>
      <c r="D5" s="35" t="str">
        <f>TEXT(IF(ABS(Q5)&gt;=1E12,Q5/1E12,IF(ABS(Q5)&gt;=1E9,Q5/1E9,IF(ABS(Q5)&gt;=1E6,Q5/1E6,IF(ABS(Q5)&gt;=1E3,Q5/1E3,Q5)))),"#,##0.000")&amp;IF((IF(ABS(Q5)&gt;=1E12,"T",IF(ABS(Q5)&gt;=1E9,"G",IF(ABS(Q5)&gt;=1E6,"M",IF(ABS(Q5)&gt;=1E3,"K","")))))="",""," "&amp;(IF(ABS(Q5)&gt;=1E12,"T",IF(ABS(Q5)&gt;=1E9,"G",IF(ABS(Q5)&gt;=1E6,"M",IF(ABS(Q5)&gt;=1E3,"K",""))))))</f>
        <v>261.465 M</v>
      </c>
      <c r="E5" s="35" t="str">
        <f>TEXT(IF(ABS(R5)&gt;=1E12,R5/1E12,IF(ABS(R5)&gt;=1E9,R5/1E9,IF(ABS(R5)&gt;=1E6,R5/1E6,IF(ABS(R5)&gt;=1E3,R5/1E3,R5)))),"#,##0.000")&amp;IF((IF(ABS(R5)&gt;=1E12,"T",IF(ABS(R5)&gt;=1E9,"G",IF(ABS(R5)&gt;=1E6,"M",IF(ABS(R5)&gt;=1E3,"K","")))))="",""," "&amp;(IF(ABS(R5)&gt;=1E12,"T",IF(ABS(R5)&gt;=1E9,"G",IF(ABS(R5)&gt;=1E6,"M",IF(ABS(R5)&gt;=1E3,"K",""))))))</f>
        <v>261.465 M</v>
      </c>
      <c r="F5" s="35" t="str">
        <f>TEXT(IF(ABS(T5)&gt;=1E12,T5/1E12,IF(ABS(T5)&gt;=1E9,T5/1E9,IF(ABS(T5)&gt;=1E6,T5/1E6,IF(ABS(T5)&gt;=1E3,T5/1E3,T5)))),"#,##0.000")&amp;IF((IF(ABS(T5)&gt;=1E12,"TB",IF(ABS(T5)&gt;=1E9,"GB",IF(ABS(T5)&gt;=1E6,"MB",IF(ABS(T5)&gt;=1E3,"KB","bytes")))))="",""," "&amp;(IF(ABS(T5)&gt;=1E12,"TB",IF(ABS(T5)&gt;=1E9,"GB",IF(ABS(T5)&gt;=1E6,"MB",IF(ABS(T5)&gt;=1E3,"KB","bytes"))))))</f>
        <v>1.046 GB</v>
      </c>
      <c r="G5" s="35" t="str">
        <f>TEXT(IF(ABS(U5)&gt;=1E12,U5/1E12,IF(ABS(U5)&gt;=1E9,U5/1E9,IF(ABS(U5)&gt;=1E6,U5/1E6,IF(ABS(U5)&gt;=1E3,U5/1E3,U5)))),"#,##0.000")&amp;IF((IF(ABS(U5)&gt;=1E12,"TB",IF(ABS(U5)&gt;=1E9,"GB",IF(ABS(U5)&gt;=1E6,"MB",IF(ABS(U5)&gt;=1E3,"KB","bytes")))))="",""," "&amp;(IF(ABS(U5)&gt;=1E12,"TB",IF(ABS(U5)&gt;=1E9,"GB",IF(ABS(U5)&gt;=1E6,"MB",IF(ABS(U5)&gt;=1E3,"KB","bytes"))))))</f>
        <v>1.046 GB</v>
      </c>
      <c r="H5" s="4" t="s">
        <v>308</v>
      </c>
      <c r="P5" s="36">
        <f>ShortLayers*(2*HiddenSize*(2*HeadDim)+ShortRatio*2*HeadDim+HeadDim)+LongLayers*(2*HiddenSize*HeadDim+LongRatio*HeadDim+HeadDim)</f>
        <v>261464576</v>
      </c>
      <c r="Q5" s="36">
        <f>ShortLayers*(2*HiddenSize*(2*HeadDim)+ShortRatio*2*HeadDim+HeadDim)+LongLayers*(2*HiddenSize*HeadDim+LongRatio*HeadDim+HeadDim)</f>
        <v>261464576</v>
      </c>
      <c r="R5" s="36">
        <f>ShortLayers*(2*HiddenSize*(2*HeadDim)+ShortRatio*2*HeadDim+HeadDim)+LongLayers*(2*HiddenSize*HeadDim+LongRatio*HeadDim+HeadDim)</f>
        <v>261464576</v>
      </c>
      <c r="S5" s="36">
        <f>ShortLayers*(2*HiddenSize*(2*HeadDim)*FP32Bytes+ShortRatio*2*HeadDim*FP32Bytes+HeadDim*FP32Bytes)+LongLayers*(2*HiddenSize*HeadDim*FP32Bytes+LongRatio*HeadDim*FP32Bytes+HeadDim*FP32Bytes)</f>
        <v>1045858304</v>
      </c>
      <c r="T5" s="36">
        <f>ShortLayers*(2*HiddenSize*(2*HeadDim)*FP32Bytes+ShortRatio*2*HeadDim*FP32Bytes+HeadDim*FP32Bytes)+LongLayers*(2*HiddenSize*HeadDim*FP32Bytes+LongRatio*HeadDim*FP32Bytes+HeadDim*FP32Bytes)</f>
        <v>1045858304</v>
      </c>
      <c r="U5" s="36">
        <f>ShortLayers*(2*HiddenSize*(2*HeadDim)*FP32Bytes+ShortRatio*2*HeadDim*FP32Bytes+HeadDim*FP32Bytes)+LongLayers*(2*HiddenSize*HeadDim*FP32Bytes+LongRatio*HeadDim*FP32Bytes+HeadDim*FP32Bytes)</f>
        <v>1045858304</v>
      </c>
    </row>
    <row r="6" spans="1:21">
      <c r="A6" s="4" t="s">
        <v>41</v>
      </c>
      <c r="B6" s="4" t="s">
        <v>309</v>
      </c>
      <c r="C6" s="35" t="str">
        <f>TEXT(IF(ABS(P6)&gt;=1E12,P6/1E12,IF(ABS(P6)&gt;=1E9,P6/1E9,IF(ABS(P6)&gt;=1E6,P6/1E6,IF(ABS(P6)&gt;=1E3,P6/1E3,P6)))),"#,##0.000")&amp;IF((IF(ABS(P6)&gt;=1E12,"T",IF(ABS(P6)&gt;=1E9,"G",IF(ABS(P6)&gt;=1E6,"M",IF(ABS(P6)&gt;=1E3,"K","")))))="",""," "&amp;(IF(ABS(P6)&gt;=1E12,"T",IF(ABS(P6)&gt;=1E9,"G",IF(ABS(P6)&gt;=1E6,"M",IF(ABS(P6)&gt;=1E3,"K",""))))))</f>
        <v>225.730 M</v>
      </c>
      <c r="D6" s="35" t="str">
        <f>TEXT(IF(ABS(Q6)&gt;=1E12,Q6/1E12,IF(ABS(Q6)&gt;=1E9,Q6/1E9,IF(ABS(Q6)&gt;=1E6,Q6/1E6,IF(ABS(Q6)&gt;=1E3,Q6/1E3,Q6)))),"#,##0.000")&amp;IF((IF(ABS(Q6)&gt;=1E12,"T",IF(ABS(Q6)&gt;=1E9,"G",IF(ABS(Q6)&gt;=1E6,"M",IF(ABS(Q6)&gt;=1E3,"K","")))))="",""," "&amp;(IF(ABS(Q6)&gt;=1E12,"T",IF(ABS(Q6)&gt;=1E9,"G",IF(ABS(Q6)&gt;=1E6,"M",IF(ABS(Q6)&gt;=1E3,"K",""))))))</f>
        <v>225.730 M</v>
      </c>
      <c r="E6" s="35" t="str">
        <f>TEXT(IF(ABS(R6)&gt;=1E12,R6/1E12,IF(ABS(R6)&gt;=1E9,R6/1E9,IF(ABS(R6)&gt;=1E6,R6/1E6,IF(ABS(R6)&gt;=1E3,R6/1E3,R6)))),"#,##0.000")&amp;IF((IF(ABS(R6)&gt;=1E12,"T",IF(ABS(R6)&gt;=1E9,"G",IF(ABS(R6)&gt;=1E6,"M",IF(ABS(R6)&gt;=1E3,"K","")))))="",""," "&amp;(IF(ABS(R6)&gt;=1E12,"T",IF(ABS(R6)&gt;=1E9,"G",IF(ABS(R6)&gt;=1E6,"M",IF(ABS(R6)&gt;=1E3,"K",""))))))</f>
        <v>66.773 M</v>
      </c>
      <c r="F6" s="35" t="str">
        <f>TEXT(IF(ABS(T6)&gt;=1E12,T6/1E12,IF(ABS(T6)&gt;=1E9,T6/1E9,IF(ABS(T6)&gt;=1E6,T6/1E6,IF(ABS(T6)&gt;=1E3,T6/1E3,T6)))),"#,##0.000")&amp;IF((IF(ABS(T6)&gt;=1E12,"TB",IF(ABS(T6)&gt;=1E9,"GB",IF(ABS(T6)&gt;=1E6,"MB",IF(ABS(T6)&gt;=1E3,"KB","bytes")))))="",""," "&amp;(IF(ABS(T6)&gt;=1E12,"TB",IF(ABS(T6)&gt;=1E9,"GB",IF(ABS(T6)&gt;=1E6,"MB",IF(ABS(T6)&gt;=1E3,"KB","bytes"))))))</f>
        <v>363.439 MB</v>
      </c>
      <c r="G6" s="35" t="str">
        <f>TEXT(IF(ABS(U6)&gt;=1E12,U6/1E12,IF(ABS(U6)&gt;=1E9,U6/1E9,IF(ABS(U6)&gt;=1E6,U6/1E6,IF(ABS(U6)&gt;=1E3,U6/1E3,U6)))),"#,##0.000")&amp;IF((IF(ABS(U6)&gt;=1E12,"TB",IF(ABS(U6)&gt;=1E9,"GB",IF(ABS(U6)&gt;=1E6,"MB",IF(ABS(U6)&gt;=1E3,"KB","bytes")))))="",""," "&amp;(IF(ABS(U6)&gt;=1E12,"TB",IF(ABS(U6)&gt;=1E9,"GB",IF(ABS(U6)&gt;=1E6,"MB",IF(ABS(U6)&gt;=1E3,"KB","bytes"))))))</f>
        <v>199.655 MB</v>
      </c>
      <c r="H6" s="4" t="s">
        <v>310</v>
      </c>
      <c r="P6" s="36">
        <f>ShortLayers*(QLoraRank*IndexHeads*IndexHeadDim+HiddenSize*IndexHeads+2*HiddenSize*(2*IndexHeadDim)+ShortRatio*2*IndexHeadDim+IndexHeadDim)</f>
        <v>225730176</v>
      </c>
      <c r="Q6" s="36">
        <f>ShortLayers*(QLoraRank*TP1LocalIndexHeads*IndexHeadDim+HiddenSize*TP1LocalIndexHeads+2*HiddenSize*(2*IndexHeadDim)+ShortRatio*2*IndexHeadDim+IndexHeadDim)</f>
        <v>225730176.0</v>
      </c>
      <c r="R6" s="36">
        <f>ShortLayers*(QLoraRank*TP8LocalIndexHeads*IndexHeadDim+HiddenSize*TP8LocalIndexHeads+2*HiddenSize*(2*IndexHeadDim)+ShortRatio*2*IndexHeadDim+IndexHeadDim)</f>
        <v>66772608.0</v>
      </c>
      <c r="S6" s="36">
        <f>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</f>
        <v>363439104</v>
      </c>
      <c r="T6" s="36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U6" s="36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7" spans="1:21">
      <c r="A7" s="4" t="s">
        <v>60</v>
      </c>
      <c r="B7" s="4" t="s">
        <v>61</v>
      </c>
      <c r="C7" s="35" t="str">
        <f>TEXT(IF(ABS(P7)&gt;=1E12,P7/1E12,IF(ABS(P7)&gt;=1E9,P7/1E9,IF(ABS(P7)&gt;=1E6,P7/1E6,IF(ABS(P7)&gt;=1E3,P7/1E3,P7)))),"#,##0.000")&amp;IF((IF(ABS(P7)&gt;=1E12,"T",IF(ABS(P7)&gt;=1E9,"G",IF(ABS(P7)&gt;=1E6,"M",IF(ABS(P7)&gt;=1E3,"K","")))))="",""," "&amp;(IF(ABS(P7)&gt;=1E12,"T",IF(ABS(P7)&gt;=1E9,"G",IF(ABS(P7)&gt;=1E6,"M",IF(ABS(P7)&gt;=1E3,"K",""))))))</f>
        <v>277.025 G</v>
      </c>
      <c r="D7" s="35" t="str">
        <f>TEXT(IF(ABS(Q7)&gt;=1E12,Q7/1E12,IF(ABS(Q7)&gt;=1E9,Q7/1E9,IF(ABS(Q7)&gt;=1E6,Q7/1E6,IF(ABS(Q7)&gt;=1E3,Q7/1E3,Q7)))),"#,##0.000")&amp;IF((IF(ABS(Q7)&gt;=1E12,"T",IF(ABS(Q7)&gt;=1E9,"G",IF(ABS(Q7)&gt;=1E6,"M",IF(ABS(Q7)&gt;=1E3,"K","")))))="",""," "&amp;(IF(ABS(Q7)&gt;=1E12,"T",IF(ABS(Q7)&gt;=1E9,"G",IF(ABS(Q7)&gt;=1E6,"M",IF(ABS(Q7)&gt;=1E3,"K",""))))))</f>
        <v>277.025 G</v>
      </c>
      <c r="E7" s="35" t="str">
        <f>TEXT(IF(ABS(R7)&gt;=1E12,R7/1E12,IF(ABS(R7)&gt;=1E9,R7/1E9,IF(ABS(R7)&gt;=1E6,R7/1E6,IF(ABS(R7)&gt;=1E3,R7/1E3,R7)))),"#,##0.000")&amp;IF((IF(ABS(R7)&gt;=1E12,"T",IF(ABS(R7)&gt;=1E9,"G",IF(ABS(R7)&gt;=1E6,"M",IF(ABS(R7)&gt;=1E3,"K","")))))="",""," "&amp;(IF(ABS(R7)&gt;=1E12,"T",IF(ABS(R7)&gt;=1E9,"G",IF(ABS(R7)&gt;=1E6,"M",IF(ABS(R7)&gt;=1E3,"K",""))))))</f>
        <v>34.628 G</v>
      </c>
      <c r="F7" s="35" t="str">
        <f>TEXT(IF(ABS(T7)&gt;=1E12,T7/1E12,IF(ABS(T7)&gt;=1E9,T7/1E9,IF(ABS(T7)&gt;=1E6,T7/1E6,IF(ABS(T7)&gt;=1E3,T7/1E3,T7)))),"#,##0.000")&amp;IF((IF(ABS(T7)&gt;=1E12,"TB",IF(ABS(T7)&gt;=1E9,"GB",IF(ABS(T7)&gt;=1E6,"MB",IF(ABS(T7)&gt;=1E3,"KB","bytes")))))="",""," "&amp;(IF(ABS(T7)&gt;=1E12,"TB",IF(ABS(T7)&gt;=1E9,"GB",IF(ABS(T7)&gt;=1E6,"MB",IF(ABS(T7)&gt;=1E3,"KB","bytes"))))))</f>
        <v>147.170 GB</v>
      </c>
      <c r="G7" s="35" t="str">
        <f>TEXT(IF(ABS(U7)&gt;=1E12,U7/1E12,IF(ABS(U7)&gt;=1E9,U7/1E9,IF(ABS(U7)&gt;=1E6,U7/1E6,IF(ABS(U7)&gt;=1E3,U7/1E3,U7)))),"#,##0.000")&amp;IF((IF(ABS(U7)&gt;=1E12,"TB",IF(ABS(U7)&gt;=1E9,"GB",IF(ABS(U7)&gt;=1E6,"MB",IF(ABS(U7)&gt;=1E3,"KB","bytes")))))="",""," "&amp;(IF(ABS(U7)&gt;=1E12,"TB",IF(ABS(U7)&gt;=1E9,"GB",IF(ABS(U7)&gt;=1E6,"MB",IF(ABS(U7)&gt;=1E3,"KB","bytes"))))))</f>
        <v>18.396 GB</v>
      </c>
      <c r="H7" s="4" t="s">
        <v>311</v>
      </c>
      <c r="P7" s="36">
        <f>TotalLayers*RoutedExperts*3*HiddenSize*ExpertInter</f>
        <v>277025390592</v>
      </c>
      <c r="Q7" s="36">
        <f>TotalLayers*TP1LocalExperts*3*HiddenSize*ExpertInter</f>
        <v>277025390592.0</v>
      </c>
      <c r="R7" s="36">
        <f>TotalLayers*TP8LocalExperts*3*HiddenSize*ExpertInter</f>
        <v>34628173824.0</v>
      </c>
      <c r="S7" s="36">
        <f>TotalLayers*RoutedExperts*(3*HiddenSize*ExpertInter*FP4Bytes+3*HiddenSize*ExpertInter/FP4Block*ScaleBytes)</f>
        <v>147169738752.0</v>
      </c>
      <c r="T7" s="36">
        <f>TotalLayers*TP1LocalExperts*(3*HiddenSize*ExpertInter*FP4Bytes+3*HiddenSize*ExpertInter/FP4Block*ScaleBytes)</f>
        <v>147169738752.0</v>
      </c>
      <c r="U7" s="36">
        <f>TotalLayers*TP8LocalExperts*(3*HiddenSize*ExpertInter*FP4Bytes+3*HiddenSize*ExpertInter/FP4Block*ScaleBytes)</f>
        <v>18396217344.0</v>
      </c>
    </row>
    <row r="8" spans="1:21">
      <c r="A8" s="4" t="s">
        <v>60</v>
      </c>
      <c r="B8" s="4" t="s">
        <v>67</v>
      </c>
      <c r="C8" s="35" t="str">
        <f>TEXT(IF(ABS(P8)&gt;=1E12,P8/1E12,IF(ABS(P8)&gt;=1E9,P8/1E9,IF(ABS(P8)&gt;=1E6,P8/1E6,IF(ABS(P8)&gt;=1E3,P8/1E3,P8)))),"#,##0.000")&amp;IF((IF(ABS(P8)&gt;=1E12,"T",IF(ABS(P8)&gt;=1E9,"G",IF(ABS(P8)&gt;=1E6,"M",IF(ABS(P8)&gt;=1E3,"K","")))))="",""," "&amp;(IF(ABS(P8)&gt;=1E12,"T",IF(ABS(P8)&gt;=1E9,"G",IF(ABS(P8)&gt;=1E6,"M",IF(ABS(P8)&gt;=1E3,"K",""))))))</f>
        <v>1.082 G</v>
      </c>
      <c r="D8" s="35" t="str">
        <f>TEXT(IF(ABS(Q8)&gt;=1E12,Q8/1E12,IF(ABS(Q8)&gt;=1E9,Q8/1E9,IF(ABS(Q8)&gt;=1E6,Q8/1E6,IF(ABS(Q8)&gt;=1E3,Q8/1E3,Q8)))),"#,##0.000")&amp;IF((IF(ABS(Q8)&gt;=1E12,"T",IF(ABS(Q8)&gt;=1E9,"G",IF(ABS(Q8)&gt;=1E6,"M",IF(ABS(Q8)&gt;=1E3,"K","")))))="",""," "&amp;(IF(ABS(Q8)&gt;=1E12,"T",IF(ABS(Q8)&gt;=1E9,"G",IF(ABS(Q8)&gt;=1E6,"M",IF(ABS(Q8)&gt;=1E3,"K",""))))))</f>
        <v>1.082 G</v>
      </c>
      <c r="E8" s="35" t="str">
        <f>TEXT(IF(ABS(R8)&gt;=1E12,R8/1E12,IF(ABS(R8)&gt;=1E9,R8/1E9,IF(ABS(R8)&gt;=1E6,R8/1E6,IF(ABS(R8)&gt;=1E3,R8/1E3,R8)))),"#,##0.000")&amp;IF((IF(ABS(R8)&gt;=1E12,"T",IF(ABS(R8)&gt;=1E9,"G",IF(ABS(R8)&gt;=1E6,"M",IF(ABS(R8)&gt;=1E3,"K","")))))="",""," "&amp;(IF(ABS(R8)&gt;=1E12,"T",IF(ABS(R8)&gt;=1E9,"G",IF(ABS(R8)&gt;=1E6,"M",IF(ABS(R8)&gt;=1E3,"K",""))))))</f>
        <v>1.082 G</v>
      </c>
      <c r="F8" s="35" t="str">
        <f>TEXT(IF(ABS(T8)&gt;=1E12,T8/1E12,IF(ABS(T8)&gt;=1E9,T8/1E9,IF(ABS(T8)&gt;=1E6,T8/1E6,IF(ABS(T8)&gt;=1E3,T8/1E3,T8)))),"#,##0.000")&amp;IF((IF(ABS(T8)&gt;=1E12,"TB",IF(ABS(T8)&gt;=1E9,"GB",IF(ABS(T8)&gt;=1E6,"MB",IF(ABS(T8)&gt;=1E3,"KB","bytes")))))="",""," "&amp;(IF(ABS(T8)&gt;=1E12,"TB",IF(ABS(T8)&gt;=1E9,"GB",IF(ABS(T8)&gt;=1E6,"MB",IF(ABS(T8)&gt;=1E3,"KB","bytes"))))))</f>
        <v>1.082 GB</v>
      </c>
      <c r="G8" s="35" t="str">
        <f>TEXT(IF(ABS(U8)&gt;=1E12,U8/1E12,IF(ABS(U8)&gt;=1E9,U8/1E9,IF(ABS(U8)&gt;=1E6,U8/1E6,IF(ABS(U8)&gt;=1E3,U8/1E3,U8)))),"#,##0.000")&amp;IF((IF(ABS(U8)&gt;=1E12,"TB",IF(ABS(U8)&gt;=1E9,"GB",IF(ABS(U8)&gt;=1E6,"MB",IF(ABS(U8)&gt;=1E3,"KB","bytes")))))="",""," "&amp;(IF(ABS(U8)&gt;=1E12,"TB",IF(ABS(U8)&gt;=1E9,"GB",IF(ABS(U8)&gt;=1E6,"MB",IF(ABS(U8)&gt;=1E3,"KB","bytes"))))))</f>
        <v>1.082 GB</v>
      </c>
      <c r="H8" s="4" t="s">
        <v>312</v>
      </c>
      <c r="P8" s="36">
        <f>TotalLayers*SharedExperts*3*HiddenSize*ExpertInter</f>
        <v>1082130432</v>
      </c>
      <c r="Q8" s="36">
        <f>TotalLayers*SharedExperts*3*HiddenSize*ExpertInter</f>
        <v>1082130432</v>
      </c>
      <c r="R8" s="36">
        <f>TotalLayers*SharedExperts*3*HiddenSize*ExpertInter</f>
        <v>1082130432</v>
      </c>
      <c r="S8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T8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U8" s="36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9" spans="1:21">
      <c r="A9" s="4" t="s">
        <v>60</v>
      </c>
      <c r="B9" s="4" t="s">
        <v>313</v>
      </c>
      <c r="C9" s="35" t="str">
        <f>TEXT(IF(ABS(P9)&gt;=1E12,P9/1E12,IF(ABS(P9)&gt;=1E9,P9/1E9,IF(ABS(P9)&gt;=1E6,P9/1E6,IF(ABS(P9)&gt;=1E3,P9/1E3,P9)))),"#,##0.000")&amp;IF((IF(ABS(P9)&gt;=1E12,"T",IF(ABS(P9)&gt;=1E9,"G",IF(ABS(P9)&gt;=1E6,"M",IF(ABS(P9)&gt;=1E3,"K","")))))="",""," "&amp;(IF(ABS(P9)&gt;=1E12,"T",IF(ABS(P9)&gt;=1E9,"G",IF(ABS(P9)&gt;=1E6,"M",IF(ABS(P9)&gt;=1E3,"K",""))))))</f>
        <v>47.426 M</v>
      </c>
      <c r="D9" s="35" t="str">
        <f>TEXT(IF(ABS(Q9)&gt;=1E12,Q9/1E12,IF(ABS(Q9)&gt;=1E9,Q9/1E9,IF(ABS(Q9)&gt;=1E6,Q9/1E6,IF(ABS(Q9)&gt;=1E3,Q9/1E3,Q9)))),"#,##0.000")&amp;IF((IF(ABS(Q9)&gt;=1E12,"T",IF(ABS(Q9)&gt;=1E9,"G",IF(ABS(Q9)&gt;=1E6,"M",IF(ABS(Q9)&gt;=1E3,"K","")))))="",""," "&amp;(IF(ABS(Q9)&gt;=1E12,"T",IF(ABS(Q9)&gt;=1E9,"G",IF(ABS(Q9)&gt;=1E6,"M",IF(ABS(Q9)&gt;=1E3,"K",""))))))</f>
        <v>47.426 M</v>
      </c>
      <c r="E9" s="35" t="str">
        <f>TEXT(IF(ABS(R9)&gt;=1E12,R9/1E12,IF(ABS(R9)&gt;=1E9,R9/1E9,IF(ABS(R9)&gt;=1E6,R9/1E6,IF(ABS(R9)&gt;=1E3,R9/1E3,R9)))),"#,##0.000")&amp;IF((IF(ABS(R9)&gt;=1E12,"T",IF(ABS(R9)&gt;=1E9,"G",IF(ABS(R9)&gt;=1E6,"M",IF(ABS(R9)&gt;=1E3,"K","")))))="",""," "&amp;(IF(ABS(R9)&gt;=1E12,"T",IF(ABS(R9)&gt;=1E9,"G",IF(ABS(R9)&gt;=1E6,"M",IF(ABS(R9)&gt;=1E3,"K",""))))))</f>
        <v>47.426 M</v>
      </c>
      <c r="F9" s="35" t="str">
        <f>TEXT(IF(ABS(T9)&gt;=1E12,T9/1E12,IF(ABS(T9)&gt;=1E9,T9/1E9,IF(ABS(T9)&gt;=1E6,T9/1E6,IF(ABS(T9)&gt;=1E3,T9/1E3,T9)))),"#,##0.000")&amp;IF((IF(ABS(T9)&gt;=1E12,"TB",IF(ABS(T9)&gt;=1E9,"GB",IF(ABS(T9)&gt;=1E6,"MB",IF(ABS(T9)&gt;=1E3,"KB","bytes")))))="",""," "&amp;(IF(ABS(T9)&gt;=1E12,"TB",IF(ABS(T9)&gt;=1E9,"GB",IF(ABS(T9)&gt;=1E6,"MB",IF(ABS(T9)&gt;=1E3,"KB","bytes"))))))</f>
        <v>99.527 MB</v>
      </c>
      <c r="G9" s="35" t="str">
        <f>TEXT(IF(ABS(U9)&gt;=1E12,U9/1E12,IF(ABS(U9)&gt;=1E9,U9/1E9,IF(ABS(U9)&gt;=1E6,U9/1E6,IF(ABS(U9)&gt;=1E3,U9/1E3,U9)))),"#,##0.000")&amp;IF((IF(ABS(U9)&gt;=1E12,"TB",IF(ABS(U9)&gt;=1E9,"GB",IF(ABS(U9)&gt;=1E6,"MB",IF(ABS(U9)&gt;=1E3,"KB","bytes")))))="",""," "&amp;(IF(ABS(U9)&gt;=1E12,"TB",IF(ABS(U9)&gt;=1E9,"GB",IF(ABS(U9)&gt;=1E6,"MB",IF(ABS(U9)&gt;=1E3,"KB","bytes"))))))</f>
        <v>99.527 MB</v>
      </c>
      <c r="H9" s="4" t="s">
        <v>314</v>
      </c>
      <c r="P9" s="36">
        <f>TotalLayers*RoutedExperts*HiddenSize+(TotalLayers-ActiveHashLayers)*RoutedExperts+ActiveHashLayers*VocabSize*ActivatedExperts</f>
        <v>47426048</v>
      </c>
      <c r="Q9" s="36">
        <f>TotalLayers*RoutedExperts*HiddenSize+(TotalLayers-ActiveHashLayers)*RoutedExperts+ActiveHashLayers*VocabSize*ActivatedExperts</f>
        <v>47426048</v>
      </c>
      <c r="R9" s="36">
        <f>TotalLayers*RoutedExperts*HiddenSize+(TotalLayers-ActiveHashLayers)*RoutedExperts+ActiveHashLayers*VocabSize*ActivatedExperts</f>
        <v>47426048</v>
      </c>
      <c r="S9" s="36">
        <f>TotalLayers*RoutedExperts*HiddenSize*BF16Bytes+(TotalLayers-ActiveHashLayers)*RoutedExperts*FP32Bytes+ActiveHashLayers*VocabSize*ActivatedExperts*INT32Bytes</f>
        <v>99526656</v>
      </c>
      <c r="T9" s="36">
        <f>TotalLayers*RoutedExperts*HiddenSize*BF16Bytes+(TotalLayers-ActiveHashLayers)*RoutedExperts*FP32Bytes+ActiveHashLayers*VocabSize*ActivatedExperts*INT32Bytes</f>
        <v>99526656</v>
      </c>
      <c r="U9" s="36">
        <f>TotalLayers*RoutedExperts*HiddenSize*BF16Bytes+(TotalLayers-ActiveHashLayers)*RoutedExperts*FP32Bytes+ActiveHashLayers*VocabSize*ActivatedExperts*INT32Bytes</f>
        <v>99526656</v>
      </c>
    </row>
    <row r="10" spans="1:21">
      <c r="A10" s="4" t="s">
        <v>263</v>
      </c>
      <c r="B10" s="4" t="s">
        <v>315</v>
      </c>
      <c r="C10" s="35" t="str">
        <f>TEXT(IF(ABS(P10)&gt;=1E12,P10/1E12,IF(ABS(P10)&gt;=1E9,P10/1E9,IF(ABS(P10)&gt;=1E6,P10/1E6,IF(ABS(P10)&gt;=1E3,P10/1E3,P10)))),"#,##0.000")&amp;IF((IF(ABS(P10)&gt;=1E12,"T",IF(ABS(P10)&gt;=1E9,"G",IF(ABS(P10)&gt;=1E6,"M",IF(ABS(P10)&gt;=1E3,"K","")))))="",""," "&amp;(IF(ABS(P10)&gt;=1E12,"T",IF(ABS(P10)&gt;=1E9,"G",IF(ABS(P10)&gt;=1E6,"M",IF(ABS(P10)&gt;=1E3,"K",""))))))</f>
        <v>529.531 M</v>
      </c>
      <c r="D10" s="35" t="str">
        <f>TEXT(IF(ABS(Q10)&gt;=1E12,Q10/1E12,IF(ABS(Q10)&gt;=1E9,Q10/1E9,IF(ABS(Q10)&gt;=1E6,Q10/1E6,IF(ABS(Q10)&gt;=1E3,Q10/1E3,Q10)))),"#,##0.000")&amp;IF((IF(ABS(Q10)&gt;=1E12,"T",IF(ABS(Q10)&gt;=1E9,"G",IF(ABS(Q10)&gt;=1E6,"M",IF(ABS(Q10)&gt;=1E3,"K","")))))="",""," "&amp;(IF(ABS(Q10)&gt;=1E12,"T",IF(ABS(Q10)&gt;=1E9,"G",IF(ABS(Q10)&gt;=1E6,"M",IF(ABS(Q10)&gt;=1E3,"K",""))))))</f>
        <v>529.531 M</v>
      </c>
      <c r="E10" s="35" t="str">
        <f>TEXT(IF(ABS(R10)&gt;=1E12,R10/1E12,IF(ABS(R10)&gt;=1E9,R10/1E9,IF(ABS(R10)&gt;=1E6,R10/1E6,IF(ABS(R10)&gt;=1E3,R10/1E3,R10)))),"#,##0.000")&amp;IF((IF(ABS(R10)&gt;=1E12,"T",IF(ABS(R10)&gt;=1E9,"G",IF(ABS(R10)&gt;=1E6,"M",IF(ABS(R10)&gt;=1E3,"K","")))))="",""," "&amp;(IF(ABS(R10)&gt;=1E12,"T",IF(ABS(R10)&gt;=1E9,"G",IF(ABS(R10)&gt;=1E6,"M",IF(ABS(R10)&gt;=1E3,"K",""))))))</f>
        <v>66.191 M</v>
      </c>
      <c r="F10" s="35" t="str">
        <f>TEXT(IF(ABS(T10)&gt;=1E12,T10/1E12,IF(ABS(T10)&gt;=1E9,T10/1E9,IF(ABS(T10)&gt;=1E6,T10/1E6,IF(ABS(T10)&gt;=1E3,T10/1E3,T10)))),"#,##0.000")&amp;IF((IF(ABS(T10)&gt;=1E12,"TB",IF(ABS(T10)&gt;=1E9,"GB",IF(ABS(T10)&gt;=1E6,"MB",IF(ABS(T10)&gt;=1E3,"KB","bytes")))))="",""," "&amp;(IF(ABS(T10)&gt;=1E12,"TB",IF(ABS(T10)&gt;=1E9,"GB",IF(ABS(T10)&gt;=1E6,"MB",IF(ABS(T10)&gt;=1E3,"KB","bytes"))))))</f>
        <v>1.059 GB</v>
      </c>
      <c r="G10" s="35" t="str">
        <f>TEXT(IF(ABS(U10)&gt;=1E12,U10/1E12,IF(ABS(U10)&gt;=1E9,U10/1E9,IF(ABS(U10)&gt;=1E6,U10/1E6,IF(ABS(U10)&gt;=1E3,U10/1E3,U10)))),"#,##0.000")&amp;IF((IF(ABS(U10)&gt;=1E12,"TB",IF(ABS(U10)&gt;=1E9,"GB",IF(ABS(U10)&gt;=1E6,"MB",IF(ABS(U10)&gt;=1E3,"KB","bytes")))))="",""," "&amp;(IF(ABS(U10)&gt;=1E12,"TB",IF(ABS(U10)&gt;=1E9,"GB",IF(ABS(U10)&gt;=1E6,"MB",IF(ABS(U10)&gt;=1E3,"KB","bytes"))))))</f>
        <v>132.383 MB</v>
      </c>
      <c r="H10" s="4" t="s">
        <v>316</v>
      </c>
      <c r="P10" s="36">
        <f>VocabSize*HiddenSize</f>
        <v>529530880</v>
      </c>
      <c r="Q10" s="36">
        <f>TP1LocalVocab*HiddenSize</f>
        <v>529530880.0</v>
      </c>
      <c r="R10" s="36">
        <f>TP8LocalVocab*HiddenSize</f>
        <v>66191360.0</v>
      </c>
      <c r="S10" s="36">
        <f>VocabSize*HiddenSize*BF16Bytes</f>
        <v>1059061760</v>
      </c>
      <c r="T10" s="36">
        <f>TP1LocalVocab*HiddenSize*BF16Bytes</f>
        <v>1059061760.0</v>
      </c>
      <c r="U10" s="36">
        <f>TP8LocalVocab*HiddenSize*BF16Bytes</f>
        <v>132382720.0</v>
      </c>
    </row>
    <row r="11" spans="1:21">
      <c r="A11" s="4" t="s">
        <v>263</v>
      </c>
      <c r="B11" s="4" t="s">
        <v>267</v>
      </c>
      <c r="C11" s="35" t="str">
        <f>TEXT(IF(ABS(P11)&gt;=1E12,P11/1E12,IF(ABS(P11)&gt;=1E9,P11/1E9,IF(ABS(P11)&gt;=1E6,P11/1E6,IF(ABS(P11)&gt;=1E3,P11/1E3,P11)))),"#,##0.000")&amp;IF((IF(ABS(P11)&gt;=1E12,"T",IF(ABS(P11)&gt;=1E9,"G",IF(ABS(P11)&gt;=1E6,"M",IF(ABS(P11)&gt;=1E3,"K","")))))="",""," "&amp;(IF(ABS(P11)&gt;=1E12,"T",IF(ABS(P11)&gt;=1E9,"G",IF(ABS(P11)&gt;=1E6,"M",IF(ABS(P11)&gt;=1E3,"K",""))))))</f>
        <v>529.531 M</v>
      </c>
      <c r="D11" s="35" t="str">
        <f>TEXT(IF(ABS(Q11)&gt;=1E12,Q11/1E12,IF(ABS(Q11)&gt;=1E9,Q11/1E9,IF(ABS(Q11)&gt;=1E6,Q11/1E6,IF(ABS(Q11)&gt;=1E3,Q11/1E3,Q11)))),"#,##0.000")&amp;IF((IF(ABS(Q11)&gt;=1E12,"T",IF(ABS(Q11)&gt;=1E9,"G",IF(ABS(Q11)&gt;=1E6,"M",IF(ABS(Q11)&gt;=1E3,"K","")))))="",""," "&amp;(IF(ABS(Q11)&gt;=1E12,"T",IF(ABS(Q11)&gt;=1E9,"G",IF(ABS(Q11)&gt;=1E6,"M",IF(ABS(Q11)&gt;=1E3,"K",""))))))</f>
        <v>529.531 M</v>
      </c>
      <c r="E11" s="35" t="str">
        <f>TEXT(IF(ABS(R11)&gt;=1E12,R11/1E12,IF(ABS(R11)&gt;=1E9,R11/1E9,IF(ABS(R11)&gt;=1E6,R11/1E6,IF(ABS(R11)&gt;=1E3,R11/1E3,R11)))),"#,##0.000")&amp;IF((IF(ABS(R11)&gt;=1E12,"T",IF(ABS(R11)&gt;=1E9,"G",IF(ABS(R11)&gt;=1E6,"M",IF(ABS(R11)&gt;=1E3,"K","")))))="",""," "&amp;(IF(ABS(R11)&gt;=1E12,"T",IF(ABS(R11)&gt;=1E9,"G",IF(ABS(R11)&gt;=1E6,"M",IF(ABS(R11)&gt;=1E3,"K",""))))))</f>
        <v>66.191 M</v>
      </c>
      <c r="F11" s="35" t="str">
        <f>TEXT(IF(ABS(T11)&gt;=1E12,T11/1E12,IF(ABS(T11)&gt;=1E9,T11/1E9,IF(ABS(T11)&gt;=1E6,T11/1E6,IF(ABS(T11)&gt;=1E3,T11/1E3,T11)))),"#,##0.000")&amp;IF((IF(ABS(T11)&gt;=1E12,"TB",IF(ABS(T11)&gt;=1E9,"GB",IF(ABS(T11)&gt;=1E6,"MB",IF(ABS(T11)&gt;=1E3,"KB","bytes")))))="",""," "&amp;(IF(ABS(T11)&gt;=1E12,"TB",IF(ABS(T11)&gt;=1E9,"GB",IF(ABS(T11)&gt;=1E6,"MB",IF(ABS(T11)&gt;=1E3,"KB","bytes"))))))</f>
        <v>2.118 GB</v>
      </c>
      <c r="G11" s="35" t="str">
        <f>TEXT(IF(ABS(U11)&gt;=1E12,U11/1E12,IF(ABS(U11)&gt;=1E9,U11/1E9,IF(ABS(U11)&gt;=1E6,U11/1E6,IF(ABS(U11)&gt;=1E3,U11/1E3,U11)))),"#,##0.000")&amp;IF((IF(ABS(U11)&gt;=1E12,"TB",IF(ABS(U11)&gt;=1E9,"GB",IF(ABS(U11)&gt;=1E6,"MB",IF(ABS(U11)&gt;=1E3,"KB","bytes")))))="",""," "&amp;(IF(ABS(U11)&gt;=1E12,"TB",IF(ABS(U11)&gt;=1E9,"GB",IF(ABS(U11)&gt;=1E6,"MB",IF(ABS(U11)&gt;=1E3,"KB","bytes"))))))</f>
        <v>264.765 MB</v>
      </c>
      <c r="H11" s="4" t="s">
        <v>317</v>
      </c>
      <c r="P11" s="36">
        <f>VocabSize*HiddenSize</f>
        <v>529530880</v>
      </c>
      <c r="Q11" s="36">
        <f>TP1LocalVocab*HiddenSize</f>
        <v>529530880.0</v>
      </c>
      <c r="R11" s="36">
        <f>TP8LocalVocab*HiddenSize</f>
        <v>66191360.0</v>
      </c>
      <c r="S11" s="36">
        <f>VocabSize*HiddenSize*FP32Bytes</f>
        <v>2118123520</v>
      </c>
      <c r="T11" s="36">
        <f>TP1LocalVocab*HiddenSize*FP32Bytes</f>
        <v>2118123520.0</v>
      </c>
      <c r="U11" s="36">
        <f>TP8LocalVocab*HiddenSize*FP32Bytes</f>
        <v>264765440.0</v>
      </c>
    </row>
    <row r="12" spans="1:21">
      <c r="A12" s="4" t="s">
        <v>263</v>
      </c>
      <c r="B12" s="4" t="s">
        <v>318</v>
      </c>
      <c r="C12" s="35" t="str">
        <f>TEXT(IF(ABS(P12)&gt;=1E12,P12/1E12,IF(ABS(P12)&gt;=1E9,P12/1E9,IF(ABS(P12)&gt;=1E6,P12/1E6,IF(ABS(P12)&gt;=1E3,P12/1E3,P12)))),"#,##0.000")&amp;IF((IF(ABS(P12)&gt;=1E12,"T",IF(ABS(P12)&gt;=1E9,"G",IF(ABS(P12)&gt;=1E6,"M",IF(ABS(P12)&gt;=1E3,"K","")))))="",""," "&amp;(IF(ABS(P12)&gt;=1E12,"T",IF(ABS(P12)&gt;=1E9,"G",IF(ABS(P12)&gt;=1E6,"M",IF(ABS(P12)&gt;=1E3,"K",""))))))</f>
        <v>33.819 M</v>
      </c>
      <c r="D12" s="35" t="str">
        <f>TEXT(IF(ABS(Q12)&gt;=1E12,Q12/1E12,IF(ABS(Q12)&gt;=1E9,Q12/1E9,IF(ABS(Q12)&gt;=1E6,Q12/1E6,IF(ABS(Q12)&gt;=1E3,Q12/1E3,Q12)))),"#,##0.000")&amp;IF((IF(ABS(Q12)&gt;=1E12,"T",IF(ABS(Q12)&gt;=1E9,"G",IF(ABS(Q12)&gt;=1E6,"M",IF(ABS(Q12)&gt;=1E3,"K","")))))="",""," "&amp;(IF(ABS(Q12)&gt;=1E12,"T",IF(ABS(Q12)&gt;=1E9,"G",IF(ABS(Q12)&gt;=1E6,"M",IF(ABS(Q12)&gt;=1E3,"K",""))))))</f>
        <v>33.819 M</v>
      </c>
      <c r="E12" s="35" t="str">
        <f>TEXT(IF(ABS(R12)&gt;=1E12,R12/1E12,IF(ABS(R12)&gt;=1E9,R12/1E9,IF(ABS(R12)&gt;=1E6,R12/1E6,IF(ABS(R12)&gt;=1E3,R12/1E3,R12)))),"#,##0.000")&amp;IF((IF(ABS(R12)&gt;=1E12,"T",IF(ABS(R12)&gt;=1E9,"G",IF(ABS(R12)&gt;=1E6,"M",IF(ABS(R12)&gt;=1E3,"K","")))))="",""," "&amp;(IF(ABS(R12)&gt;=1E12,"T",IF(ABS(R12)&gt;=1E9,"G",IF(ABS(R12)&gt;=1E6,"M",IF(ABS(R12)&gt;=1E3,"K",""))))))</f>
        <v>33.819 M</v>
      </c>
      <c r="F12" s="35" t="str">
        <f>TEXT(IF(ABS(T12)&gt;=1E12,T12/1E12,IF(ABS(T12)&gt;=1E9,T12/1E9,IF(ABS(T12)&gt;=1E6,T12/1E6,IF(ABS(T12)&gt;=1E3,T12/1E3,T12)))),"#,##0.000")&amp;IF((IF(ABS(T12)&gt;=1E12,"TB",IF(ABS(T12)&gt;=1E9,"GB",IF(ABS(T12)&gt;=1E6,"MB",IF(ABS(T12)&gt;=1E3,"KB","bytes")))))="",""," "&amp;(IF(ABS(T12)&gt;=1E12,"TB",IF(ABS(T12)&gt;=1E9,"GB",IF(ABS(T12)&gt;=1E6,"MB",IF(ABS(T12)&gt;=1E3,"KB","bytes"))))))</f>
        <v>135.276 MB</v>
      </c>
      <c r="G12" s="35" t="str">
        <f>TEXT(IF(ABS(U12)&gt;=1E12,U12/1E12,IF(ABS(U12)&gt;=1E9,U12/1E9,IF(ABS(U12)&gt;=1E6,U12/1E6,IF(ABS(U12)&gt;=1E3,U12/1E3,U12)))),"#,##0.000")&amp;IF((IF(ABS(U12)&gt;=1E12,"TB",IF(ABS(U12)&gt;=1E9,"GB",IF(ABS(U12)&gt;=1E6,"MB",IF(ABS(U12)&gt;=1E3,"KB","bytes")))))="",""," "&amp;(IF(ABS(U12)&gt;=1E12,"TB",IF(ABS(U12)&gt;=1E9,"GB",IF(ABS(U12)&gt;=1E6,"MB",IF(ABS(U12)&gt;=1E3,"KB","bytes"))))))</f>
        <v>135.276 MB</v>
      </c>
      <c r="H12" s="4" t="s">
        <v>319</v>
      </c>
      <c r="P12" s="36">
        <f>TotalLayers*2*(((2+HCSlots)*HCSlots)*HCSlots*HiddenSize+((2+HCSlots)*HCSlots)+3)</f>
        <v>33818898</v>
      </c>
      <c r="Q12" s="36">
        <f>TotalLayers*2*(((2+HCSlots)*HCSlots)*HCSlots*HiddenSize+((2+HCSlots)*HCSlots)+3)</f>
        <v>33818898</v>
      </c>
      <c r="R12" s="36">
        <f>TotalLayers*2*(((2+HCSlots)*HCSlots)*HCSlots*HiddenSize+((2+HCSlots)*HCSlots)+3)</f>
        <v>33818898</v>
      </c>
      <c r="S12" s="36">
        <f>(TotalLayers*2*(((2+HCSlots)*HCSlots)*HCSlots*HiddenSize+((2+HCSlots)*HCSlots)+3))*FP32Bytes</f>
        <v>135275592</v>
      </c>
      <c r="T12" s="36">
        <f>(TotalLayers*2*(((2+HCSlots)*HCSlots)*HCSlots*HiddenSize+((2+HCSlots)*HCSlots)+3))*FP32Bytes</f>
        <v>135275592</v>
      </c>
      <c r="U12" s="36">
        <f>(TotalLayers*2*(((2+HCSlots)*HCSlots)*HCSlots*HiddenSize+((2+HCSlots)*HCSlots)+3))*FP32Bytes</f>
        <v>135275592</v>
      </c>
    </row>
    <row r="13" spans="1:21">
      <c r="A13" s="4" t="s">
        <v>263</v>
      </c>
      <c r="B13" s="4" t="s">
        <v>320</v>
      </c>
      <c r="C13" s="35" t="str">
        <f>TEXT(IF(ABS(P13)&gt;=1E12,P13/1E12,IF(ABS(P13)&gt;=1E9,P13/1E9,IF(ABS(P13)&gt;=1E6,P13/1E6,IF(ABS(P13)&gt;=1E3,P13/1E3,P13)))),"#,##0.000")&amp;IF((IF(ABS(P13)&gt;=1E12,"T",IF(ABS(P13)&gt;=1E9,"G",IF(ABS(P13)&gt;=1E6,"M",IF(ABS(P13)&gt;=1E3,"K","")))))="",""," "&amp;(IF(ABS(P13)&gt;=1E12,"T",IF(ABS(P13)&gt;=1E9,"G",IF(ABS(P13)&gt;=1E6,"M",IF(ABS(P13)&gt;=1E3,"K",""))))))</f>
        <v>421.056 K</v>
      </c>
      <c r="D13" s="35" t="str">
        <f>TEXT(IF(ABS(Q13)&gt;=1E12,Q13/1E12,IF(ABS(Q13)&gt;=1E9,Q13/1E9,IF(ABS(Q13)&gt;=1E6,Q13/1E6,IF(ABS(Q13)&gt;=1E3,Q13/1E3,Q13)))),"#,##0.000")&amp;IF((IF(ABS(Q13)&gt;=1E12,"T",IF(ABS(Q13)&gt;=1E9,"G",IF(ABS(Q13)&gt;=1E6,"M",IF(ABS(Q13)&gt;=1E3,"K","")))))="",""," "&amp;(IF(ABS(Q13)&gt;=1E12,"T",IF(ABS(Q13)&gt;=1E9,"G",IF(ABS(Q13)&gt;=1E6,"M",IF(ABS(Q13)&gt;=1E3,"K",""))))))</f>
        <v>421.056 K</v>
      </c>
      <c r="E13" s="35" t="str">
        <f>TEXT(IF(ABS(R13)&gt;=1E12,R13/1E12,IF(ABS(R13)&gt;=1E9,R13/1E9,IF(ABS(R13)&gt;=1E6,R13/1E6,IF(ABS(R13)&gt;=1E3,R13/1E3,R13)))),"#,##0.000")&amp;IF((IF(ABS(R13)&gt;=1E12,"T",IF(ABS(R13)&gt;=1E9,"G",IF(ABS(R13)&gt;=1E6,"M",IF(ABS(R13)&gt;=1E3,"K","")))))="",""," "&amp;(IF(ABS(R13)&gt;=1E12,"T",IF(ABS(R13)&gt;=1E9,"G",IF(ABS(R13)&gt;=1E6,"M",IF(ABS(R13)&gt;=1E3,"K",""))))))</f>
        <v>418.648 K</v>
      </c>
      <c r="F13" s="35" t="str">
        <f>TEXT(IF(ABS(T13)&gt;=1E12,T13/1E12,IF(ABS(T13)&gt;=1E9,T13/1E9,IF(ABS(T13)&gt;=1E6,T13/1E6,IF(ABS(T13)&gt;=1E3,T13/1E3,T13)))),"#,##0.000")&amp;IF((IF(ABS(T13)&gt;=1E12,"TB",IF(ABS(T13)&gt;=1E9,"GB",IF(ABS(T13)&gt;=1E6,"MB",IF(ABS(T13)&gt;=1E3,"KB","bytes")))))="",""," "&amp;(IF(ABS(T13)&gt;=1E12,"TB",IF(ABS(T13)&gt;=1E9,"GB",IF(ABS(T13)&gt;=1E6,"MB",IF(ABS(T13)&gt;=1E3,"KB","bytes"))))))</f>
        <v>1.684 MB</v>
      </c>
      <c r="G13" s="35" t="str">
        <f>TEXT(IF(ABS(U13)&gt;=1E12,U13/1E12,IF(ABS(U13)&gt;=1E9,U13/1E9,IF(ABS(U13)&gt;=1E6,U13/1E6,IF(ABS(U13)&gt;=1E3,U13/1E3,U13)))),"#,##0.000")&amp;IF((IF(ABS(U13)&gt;=1E12,"TB",IF(ABS(U13)&gt;=1E9,"GB",IF(ABS(U13)&gt;=1E6,"MB",IF(ABS(U13)&gt;=1E3,"KB","bytes")))))="",""," "&amp;(IF(ABS(U13)&gt;=1E12,"TB",IF(ABS(U13)&gt;=1E9,"GB",IF(ABS(U13)&gt;=1E6,"MB",IF(ABS(U13)&gt;=1E3,"KB","bytes"))))))</f>
        <v>1.675 MB</v>
      </c>
      <c r="H13" s="4" t="s">
        <v>321</v>
      </c>
      <c r="P13" s="36">
        <f>TotalLayers*(2*HiddenSize+QLoraRank+HeadDim+NumHeads)</f>
        <v>421056</v>
      </c>
      <c r="Q13" s="36">
        <f>TotalLayers*(2*HiddenSize+QLoraRank+HeadDim+TP1LocalHeads)</f>
        <v>421056.0</v>
      </c>
      <c r="R13" s="36">
        <f>TotalLayers*(2*HiddenSize+QLoraRank+HeadDim+TP8LocalHeads)</f>
        <v>418648.0</v>
      </c>
      <c r="S13" s="36">
        <f>(TotalLayers*(2*HiddenSize+QLoraRank+HeadDim+NumHeads))*FP32Bytes</f>
        <v>1684224</v>
      </c>
      <c r="T13" s="36">
        <f>(TotalLayers*(2*HiddenSize+QLoraRank+HeadDim+TP1LocalHeads))*FP32Bytes</f>
        <v>1684224</v>
      </c>
      <c r="U13" s="36">
        <f>(TotalLayers*(2*HiddenSize+QLoraRank+HeadDim+TP8LocalHeads))*FP32Bytes</f>
        <v>1674592</v>
      </c>
    </row>
    <row r="14" spans="1:21">
      <c r="A14" s="4" t="s">
        <v>263</v>
      </c>
      <c r="B14" s="4" t="s">
        <v>322</v>
      </c>
      <c r="C14" s="35" t="str">
        <f>TEXT(IF(ABS(P14)&gt;=1E12,P14/1E12,IF(ABS(P14)&gt;=1E9,P14/1E9,IF(ABS(P14)&gt;=1E6,P14/1E6,IF(ABS(P14)&gt;=1E3,P14/1E3,P14)))),"#,##0.000")&amp;IF((IF(ABS(P14)&gt;=1E12,"T",IF(ABS(P14)&gt;=1E9,"G",IF(ABS(P14)&gt;=1E6,"M",IF(ABS(P14)&gt;=1E3,"K","")))))="",""," "&amp;(IF(ABS(P14)&gt;=1E12,"T",IF(ABS(P14)&gt;=1E9,"G",IF(ABS(P14)&gt;=1E6,"M",IF(ABS(P14)&gt;=1E3,"K",""))))))</f>
        <v>69.637 K</v>
      </c>
      <c r="D14" s="35" t="str">
        <f>TEXT(IF(ABS(Q14)&gt;=1E12,Q14/1E12,IF(ABS(Q14)&gt;=1E9,Q14/1E9,IF(ABS(Q14)&gt;=1E6,Q14/1E6,IF(ABS(Q14)&gt;=1E3,Q14/1E3,Q14)))),"#,##0.000")&amp;IF((IF(ABS(Q14)&gt;=1E12,"T",IF(ABS(Q14)&gt;=1E9,"G",IF(ABS(Q14)&gt;=1E6,"M",IF(ABS(Q14)&gt;=1E3,"K","")))))="",""," "&amp;(IF(ABS(Q14)&gt;=1E12,"T",IF(ABS(Q14)&gt;=1E9,"G",IF(ABS(Q14)&gt;=1E6,"M",IF(ABS(Q14)&gt;=1E3,"K",""))))))</f>
        <v>69.637 K</v>
      </c>
      <c r="E14" s="35" t="str">
        <f>TEXT(IF(ABS(R14)&gt;=1E12,R14/1E12,IF(ABS(R14)&gt;=1E9,R14/1E9,IF(ABS(R14)&gt;=1E6,R14/1E6,IF(ABS(R14)&gt;=1E3,R14/1E3,R14)))),"#,##0.000")&amp;IF((IF(ABS(R14)&gt;=1E12,"T",IF(ABS(R14)&gt;=1E9,"G",IF(ABS(R14)&gt;=1E6,"M",IF(ABS(R14)&gt;=1E3,"K","")))))="",""," "&amp;(IF(ABS(R14)&gt;=1E12,"T",IF(ABS(R14)&gt;=1E9,"G",IF(ABS(R14)&gt;=1E6,"M",IF(ABS(R14)&gt;=1E3,"K",""))))))</f>
        <v>69.637 K</v>
      </c>
      <c r="F14" s="35" t="str">
        <f>TEXT(IF(ABS(T14)&gt;=1E12,T14/1E12,IF(ABS(T14)&gt;=1E9,T14/1E9,IF(ABS(T14)&gt;=1E6,T14/1E6,IF(ABS(T14)&gt;=1E3,T14/1E3,T14)))),"#,##0.000")&amp;IF((IF(ABS(T14)&gt;=1E12,"TB",IF(ABS(T14)&gt;=1E9,"GB",IF(ABS(T14)&gt;=1E6,"MB",IF(ABS(T14)&gt;=1E3,"KB","bytes")))))="",""," "&amp;(IF(ABS(T14)&gt;=1E12,"TB",IF(ABS(T14)&gt;=1E9,"GB",IF(ABS(T14)&gt;=1E6,"MB",IF(ABS(T14)&gt;=1E3,"KB","bytes"))))))</f>
        <v>278.548 KB</v>
      </c>
      <c r="G14" s="35" t="str">
        <f>TEXT(IF(ABS(U14)&gt;=1E12,U14/1E12,IF(ABS(U14)&gt;=1E9,U14/1E9,IF(ABS(U14)&gt;=1E6,U14/1E6,IF(ABS(U14)&gt;=1E3,U14/1E3,U14)))),"#,##0.000")&amp;IF((IF(ABS(U14)&gt;=1E12,"TB",IF(ABS(U14)&gt;=1E9,"GB",IF(ABS(U14)&gt;=1E6,"MB",IF(ABS(U14)&gt;=1E3,"KB","bytes")))))="",""," "&amp;(IF(ABS(U14)&gt;=1E12,"TB",IF(ABS(U14)&gt;=1E9,"GB",IF(ABS(U14)&gt;=1E6,"MB",IF(ABS(U14)&gt;=1E3,"KB","bytes"))))))</f>
        <v>278.548 KB</v>
      </c>
      <c r="H14" s="4" t="s">
        <v>323</v>
      </c>
      <c r="P14" s="36">
        <f>HCSlots*HCSlots*HiddenSize+HCSlots+1+HiddenSize</f>
        <v>69637</v>
      </c>
      <c r="Q14" s="36">
        <f>HCSlots*HCSlots*HiddenSize+HCSlots+1+HiddenSize</f>
        <v>69637</v>
      </c>
      <c r="R14" s="36">
        <f>HCSlots*HCSlots*HiddenSize+HCSlots+1+HiddenSize</f>
        <v>69637</v>
      </c>
      <c r="S14" s="36">
        <f>(HCSlots*HCSlots*HiddenSize+HCSlots+1+HiddenSize)*FP32Bytes</f>
        <v>278548</v>
      </c>
      <c r="T14" s="36">
        <f>(HCSlots*HCSlots*HiddenSize+HCSlots+1+HiddenSize)*FP32Bytes</f>
        <v>278548</v>
      </c>
      <c r="U14" s="36">
        <f>(HCSlots*HCSlots*HiddenSize+HCSlots+1+HiddenSize)*FP32Bytes</f>
        <v>278548</v>
      </c>
    </row>
    <row r="16" spans="1:21">
      <c r="A16" s="27" t="s">
        <v>324</v>
      </c>
      <c r="B16" s="27"/>
      <c r="C16" s="27"/>
      <c r="D16" s="27"/>
      <c r="E16" s="27"/>
    </row>
    <row r="17" spans="1:19">
      <c r="A17" s="3" t="s">
        <v>297</v>
      </c>
      <c r="B17" s="3" t="s">
        <v>300</v>
      </c>
      <c r="C17" s="3" t="s">
        <v>301</v>
      </c>
      <c r="D17" s="3" t="s">
        <v>302</v>
      </c>
      <c r="E17" s="3" t="s">
        <v>303</v>
      </c>
    </row>
    <row r="18" spans="1:19">
      <c r="A18" s="4" t="s">
        <v>41</v>
      </c>
      <c r="B18" s="35" t="str">
        <f>TEXT(IF(ABS(P18)&gt;=1E12,P18/1E12,IF(ABS(P18)&gt;=1E9,P18/1E9,IF(ABS(P18)&gt;=1E6,P18/1E6,IF(ABS(P18)&gt;=1E3,P18/1E3,P18)))),"#,##0.000")&amp;IF((IF(ABS(P18)&gt;=1E12,"T",IF(ABS(P18)&gt;=1E9,"G",IF(ABS(P18)&gt;=1E6,"M",IF(ABS(P18)&gt;=1E3,"K","")))))="",""," "&amp;(IF(ABS(P18)&gt;=1E12,"T",IF(ABS(P18)&gt;=1E9,"G",IF(ABS(P18)&gt;=1E6,"M",IF(ABS(P18)&gt;=1E3,"K",""))))))</f>
        <v>5.086 G</v>
      </c>
      <c r="C18" s="35" t="str">
        <f>TEXT(IF(ABS(Q18)&gt;=1E12,Q18/1E12,IF(ABS(Q18)&gt;=1E9,Q18/1E9,IF(ABS(Q18)&gt;=1E6,Q18/1E6,IF(ABS(Q18)&gt;=1E3,Q18/1E3,Q18)))),"#,##0.000")&amp;IF((IF(ABS(Q18)&gt;=1E12,"T",IF(ABS(Q18)&gt;=1E9,"G",IF(ABS(Q18)&gt;=1E6,"M",IF(ABS(Q18)&gt;=1E3,"K","")))))="",""," "&amp;(IF(ABS(Q18)&gt;=1E12,"T",IF(ABS(Q18)&gt;=1E9,"G",IF(ABS(Q18)&gt;=1E6,"M",IF(ABS(Q18)&gt;=1E3,"K",""))))))</f>
        <v>1.140 G</v>
      </c>
      <c r="D18" s="35" t="str">
        <f>TEXT(IF(ABS(R18)&gt;=1E12,R18/1E12,IF(ABS(R18)&gt;=1E9,R18/1E9,IF(ABS(R18)&gt;=1E6,R18/1E6,IF(ABS(R18)&gt;=1E3,R18/1E3,R18)))),"#,##0.000")&amp;IF((IF(ABS(R18)&gt;=1E12,"TB",IF(ABS(R18)&gt;=1E9,"GB",IF(ABS(R18)&gt;=1E6,"MB",IF(ABS(R18)&gt;=1E3,"KB","bytes")))))="",""," "&amp;(IF(ABS(R18)&gt;=1E12,"TB",IF(ABS(R18)&gt;=1E9,"GB",IF(ABS(R18)&gt;=1E6,"MB",IF(ABS(R18)&gt;=1E3,"KB","bytes"))))))</f>
        <v>7.451 GB</v>
      </c>
      <c r="E18" s="35" t="str">
        <f>TEXT(IF(ABS(S18)&gt;=1E12,S18/1E12,IF(ABS(S18)&gt;=1E9,S18/1E9,IF(ABS(S18)&gt;=1E6,S18/1E6,IF(ABS(S18)&gt;=1E3,S18/1E3,S18)))),"#,##0.000")&amp;IF((IF(ABS(S18)&gt;=1E12,"TB",IF(ABS(S18)&gt;=1E9,"GB",IF(ABS(S18)&gt;=1E6,"MB",IF(ABS(S18)&gt;=1E3,"KB","bytes")))))="",""," "&amp;(IF(ABS(S18)&gt;=1E12,"TB",IF(ABS(S18)&gt;=1E9,"GB",IF(ABS(S18)&gt;=1E6,"MB",IF(ABS(S18)&gt;=1E3,"KB","bytes"))))))</f>
        <v>2.238 GB</v>
      </c>
      <c r="P18" s="36">
        <f>SUMIF($A$4:$A$14,"Attention",$Q$4:$Q$14)</f>
        <v>5086249088.0</v>
      </c>
      <c r="Q18" s="36">
        <f>SUMIF($A$4:$A$14,"Attention",$R$4:$R$14)</f>
        <v>1139835008.0</v>
      </c>
      <c r="R18" s="36">
        <f>SUMIF($A$4:$A$14,"Attention",$T$4:$T$14)</f>
        <v>7451384960</v>
      </c>
      <c r="S18" s="36">
        <f>SUMIF($A$4:$A$14,"Attention",$U$4:$U$14)</f>
        <v>2237504960</v>
      </c>
    </row>
    <row r="19" spans="1:19">
      <c r="A19" s="4" t="s">
        <v>60</v>
      </c>
      <c r="B19" s="35" t="str">
        <f>TEXT(IF(ABS(P19)&gt;=1E12,P19/1E12,IF(ABS(P19)&gt;=1E9,P19/1E9,IF(ABS(P19)&gt;=1E6,P19/1E6,IF(ABS(P19)&gt;=1E3,P19/1E3,P19)))),"#,##0.000")&amp;IF((IF(ABS(P19)&gt;=1E12,"T",IF(ABS(P19)&gt;=1E9,"G",IF(ABS(P19)&gt;=1E6,"M",IF(ABS(P19)&gt;=1E3,"K","")))))="",""," "&amp;(IF(ABS(P19)&gt;=1E12,"T",IF(ABS(P19)&gt;=1E9,"G",IF(ABS(P19)&gt;=1E6,"M",IF(ABS(P19)&gt;=1E3,"K",""))))))</f>
        <v>278.155 G</v>
      </c>
      <c r="C19" s="35" t="str">
        <f>TEXT(IF(ABS(Q19)&gt;=1E12,Q19/1E12,IF(ABS(Q19)&gt;=1E9,Q19/1E9,IF(ABS(Q19)&gt;=1E6,Q19/1E6,IF(ABS(Q19)&gt;=1E3,Q19/1E3,Q19)))),"#,##0.000")&amp;IF((IF(ABS(Q19)&gt;=1E12,"T",IF(ABS(Q19)&gt;=1E9,"G",IF(ABS(Q19)&gt;=1E6,"M",IF(ABS(Q19)&gt;=1E3,"K","")))))="",""," "&amp;(IF(ABS(Q19)&gt;=1E12,"T",IF(ABS(Q19)&gt;=1E9,"G",IF(ABS(Q19)&gt;=1E6,"M",IF(ABS(Q19)&gt;=1E3,"K",""))))))</f>
        <v>35.758 G</v>
      </c>
      <c r="D19" s="35" t="str">
        <f>TEXT(IF(ABS(R19)&gt;=1E12,R19/1E12,IF(ABS(R19)&gt;=1E9,R19/1E9,IF(ABS(R19)&gt;=1E6,R19/1E6,IF(ABS(R19)&gt;=1E3,R19/1E3,R19)))),"#,##0.000")&amp;IF((IF(ABS(R19)&gt;=1E12,"TB",IF(ABS(R19)&gt;=1E9,"GB",IF(ABS(R19)&gt;=1E6,"MB",IF(ABS(R19)&gt;=1E3,"KB","bytes")))))="",""," "&amp;(IF(ABS(R19)&gt;=1E12,"TB",IF(ABS(R19)&gt;=1E9,"GB",IF(ABS(R19)&gt;=1E6,"MB",IF(ABS(R19)&gt;=1E3,"KB","bytes"))))))</f>
        <v>148.351 GB</v>
      </c>
      <c r="E19" s="35" t="str">
        <f>TEXT(IF(ABS(S19)&gt;=1E12,S19/1E12,IF(ABS(S19)&gt;=1E9,S19/1E9,IF(ABS(S19)&gt;=1E6,S19/1E6,IF(ABS(S19)&gt;=1E3,S19/1E3,S19)))),"#,##0.000")&amp;IF((IF(ABS(S19)&gt;=1E12,"TB",IF(ABS(S19)&gt;=1E9,"GB",IF(ABS(S19)&gt;=1E6,"MB",IF(ABS(S19)&gt;=1E3,"KB","bytes")))))="",""," "&amp;(IF(ABS(S19)&gt;=1E12,"TB",IF(ABS(S19)&gt;=1E9,"GB",IF(ABS(S19)&gt;=1E6,"MB",IF(ABS(S19)&gt;=1E3,"KB","bytes"))))))</f>
        <v>19.578 GB</v>
      </c>
      <c r="P19" s="36">
        <f>SUMIF($A$4:$A$14,"MoE",$Q$4:$Q$14)</f>
        <v>278154947072.0</v>
      </c>
      <c r="Q19" s="36">
        <f>SUMIF($A$4:$A$14,"MoE",$R$4:$R$14)</f>
        <v>35757730304.0</v>
      </c>
      <c r="R19" s="36">
        <f>SUMIF($A$4:$A$14,"MoE",$T$4:$T$14)</f>
        <v>148351461888.0</v>
      </c>
      <c r="S19" s="36">
        <f>SUMIF($A$4:$A$14,"MoE",$U$4:$U$14)</f>
        <v>19577940480.0</v>
      </c>
    </row>
    <row r="20" spans="1:19">
      <c r="A20" s="4" t="s">
        <v>263</v>
      </c>
      <c r="B20" s="35" t="str">
        <f>TEXT(IF(ABS(P20)&gt;=1E12,P20/1E12,IF(ABS(P20)&gt;=1E9,P20/1E9,IF(ABS(P20)&gt;=1E6,P20/1E6,IF(ABS(P20)&gt;=1E3,P20/1E3,P20)))),"#,##0.000")&amp;IF((IF(ABS(P20)&gt;=1E12,"T",IF(ABS(P20)&gt;=1E9,"G",IF(ABS(P20)&gt;=1E6,"M",IF(ABS(P20)&gt;=1E3,"K","")))))="",""," "&amp;(IF(ABS(P20)&gt;=1E12,"T",IF(ABS(P20)&gt;=1E9,"G",IF(ABS(P20)&gt;=1E6,"M",IF(ABS(P20)&gt;=1E3,"K",""))))))</f>
        <v>1.093 G</v>
      </c>
      <c r="C20" s="35" t="str">
        <f>TEXT(IF(ABS(Q20)&gt;=1E12,Q20/1E12,IF(ABS(Q20)&gt;=1E9,Q20/1E9,IF(ABS(Q20)&gt;=1E6,Q20/1E6,IF(ABS(Q20)&gt;=1E3,Q20/1E3,Q20)))),"#,##0.000")&amp;IF((IF(ABS(Q20)&gt;=1E12,"T",IF(ABS(Q20)&gt;=1E9,"G",IF(ABS(Q20)&gt;=1E6,"M",IF(ABS(Q20)&gt;=1E3,"K","")))))="",""," "&amp;(IF(ABS(Q20)&gt;=1E12,"T",IF(ABS(Q20)&gt;=1E9,"G",IF(ABS(Q20)&gt;=1E6,"M",IF(ABS(Q20)&gt;=1E3,"K",""))))))</f>
        <v>166.690 M</v>
      </c>
      <c r="D20" s="35" t="str">
        <f>TEXT(IF(ABS(R20)&gt;=1E12,R20/1E12,IF(ABS(R20)&gt;=1E9,R20/1E9,IF(ABS(R20)&gt;=1E6,R20/1E6,IF(ABS(R20)&gt;=1E3,R20/1E3,R20)))),"#,##0.000")&amp;IF((IF(ABS(R20)&gt;=1E12,"TB",IF(ABS(R20)&gt;=1E9,"GB",IF(ABS(R20)&gt;=1E6,"MB",IF(ABS(R20)&gt;=1E3,"KB","bytes")))))="",""," "&amp;(IF(ABS(R20)&gt;=1E12,"TB",IF(ABS(R20)&gt;=1E9,"GB",IF(ABS(R20)&gt;=1E6,"MB",IF(ABS(R20)&gt;=1E3,"KB","bytes"))))))</f>
        <v>3.314 GB</v>
      </c>
      <c r="E20" s="35" t="str">
        <f>TEXT(IF(ABS(S20)&gt;=1E12,S20/1E12,IF(ABS(S20)&gt;=1E9,S20/1E9,IF(ABS(S20)&gt;=1E6,S20/1E6,IF(ABS(S20)&gt;=1E3,S20/1E3,S20)))),"#,##0.000")&amp;IF((IF(ABS(S20)&gt;=1E12,"TB",IF(ABS(S20)&gt;=1E9,"GB",IF(ABS(S20)&gt;=1E6,"MB",IF(ABS(S20)&gt;=1E3,"KB","bytes")))))="",""," "&amp;(IF(ABS(S20)&gt;=1E12,"TB",IF(ABS(S20)&gt;=1E9,"GB",IF(ABS(S20)&gt;=1E6,"MB",IF(ABS(S20)&gt;=1E3,"KB","bytes"))))))</f>
        <v>534.377 MB</v>
      </c>
      <c r="P20" s="36">
        <f>SUMIF($A$4:$A$14,"Other",$Q$4:$Q$14)</f>
        <v>1093371351.0</v>
      </c>
      <c r="Q20" s="36">
        <f>SUMIF($A$4:$A$14,"Other",$R$4:$R$14)</f>
        <v>166689903.0</v>
      </c>
      <c r="R20" s="36">
        <f>SUMIF($A$4:$A$14,"Other",$T$4:$T$14)</f>
        <v>3314423644.0</v>
      </c>
      <c r="S20" s="36">
        <f>SUMIF($A$4:$A$14,"Other",$U$4:$U$14)</f>
        <v>534376892.0</v>
      </c>
    </row>
    <row r="21" spans="1:19">
      <c r="A21" s="37" t="s">
        <v>325</v>
      </c>
      <c r="B21" s="37" t="str">
        <f>TEXT(IF(ABS(P21)&gt;=1E12,P21/1E12,IF(ABS(P21)&gt;=1E9,P21/1E9,IF(ABS(P21)&gt;=1E6,P21/1E6,IF(ABS(P21)&gt;=1E3,P21/1E3,P21)))),"#,##0.000")&amp;IF((IF(ABS(P21)&gt;=1E12,"T",IF(ABS(P21)&gt;=1E9,"G",IF(ABS(P21)&gt;=1E6,"M",IF(ABS(P21)&gt;=1E3,"K","")))))="",""," "&amp;(IF(ABS(P21)&gt;=1E12,"T",IF(ABS(P21)&gt;=1E9,"G",IF(ABS(P21)&gt;=1E6,"M",IF(ABS(P21)&gt;=1E3,"K",""))))))</f>
        <v>284.335 G</v>
      </c>
      <c r="C21" s="37" t="str">
        <f>TEXT(IF(ABS(Q21)&gt;=1E12,Q21/1E12,IF(ABS(Q21)&gt;=1E9,Q21/1E9,IF(ABS(Q21)&gt;=1E6,Q21/1E6,IF(ABS(Q21)&gt;=1E3,Q21/1E3,Q21)))),"#,##0.000")&amp;IF((IF(ABS(Q21)&gt;=1E12,"T",IF(ABS(Q21)&gt;=1E9,"G",IF(ABS(Q21)&gt;=1E6,"M",IF(ABS(Q21)&gt;=1E3,"K","")))))="",""," "&amp;(IF(ABS(Q21)&gt;=1E12,"T",IF(ABS(Q21)&gt;=1E9,"G",IF(ABS(Q21)&gt;=1E6,"M",IF(ABS(Q21)&gt;=1E3,"K",""))))))</f>
        <v>37.064 G</v>
      </c>
      <c r="D21" s="37" t="str">
        <f>TEXT(IF(ABS(R21)&gt;=1E12,R21/1E12,IF(ABS(R21)&gt;=1E9,R21/1E9,IF(ABS(R21)&gt;=1E6,R21/1E6,IF(ABS(R21)&gt;=1E3,R21/1E3,R21)))),"#,##0.000")&amp;IF((IF(ABS(R21)&gt;=1E12,"TB",IF(ABS(R21)&gt;=1E9,"GB",IF(ABS(R21)&gt;=1E6,"MB",IF(ABS(R21)&gt;=1E3,"KB","bytes")))))="",""," "&amp;(IF(ABS(R21)&gt;=1E12,"TB",IF(ABS(R21)&gt;=1E9,"GB",IF(ABS(R21)&gt;=1E6,"MB",IF(ABS(R21)&gt;=1E3,"KB","bytes"))))))</f>
        <v>159.117 GB</v>
      </c>
      <c r="E21" s="37" t="str">
        <f>TEXT(IF(ABS(S21)&gt;=1E12,S21/1E12,IF(ABS(S21)&gt;=1E9,S21/1E9,IF(ABS(S21)&gt;=1E6,S21/1E6,IF(ABS(S21)&gt;=1E3,S21/1E3,S21)))),"#,##0.000")&amp;IF((IF(ABS(S21)&gt;=1E12,"TB",IF(ABS(S21)&gt;=1E9,"GB",IF(ABS(S21)&gt;=1E6,"MB",IF(ABS(S21)&gt;=1E3,"KB","bytes")))))="",""," "&amp;(IF(ABS(S21)&gt;=1E12,"TB",IF(ABS(S21)&gt;=1E9,"GB",IF(ABS(S21)&gt;=1E6,"MB",IF(ABS(S21)&gt;=1E3,"KB","bytes"))))))</f>
        <v>22.350 GB</v>
      </c>
      <c r="P21" s="36">
        <f>SUM($Q$4:$Q$14)</f>
        <v>284334567511.0</v>
      </c>
      <c r="Q21" s="36">
        <f>SUM($R$4:$R$14)</f>
        <v>37064255215.0</v>
      </c>
      <c r="R21" s="36">
        <f>SUM($T$4:$T$14)</f>
        <v>159117270492.0</v>
      </c>
      <c r="S21" s="36">
        <f>SUM($U$4:$U$14)</f>
        <v>22349822332.0</v>
      </c>
    </row>
    <row r="24" spans="1:19">
      <c r="A24" s="27" t="s">
        <v>326</v>
      </c>
      <c r="B24" s="27"/>
      <c r="C24" s="27"/>
      <c r="D24" s="27"/>
    </row>
    <row r="25" spans="1:19">
      <c r="A25" s="3" t="s">
        <v>327</v>
      </c>
      <c r="B25" s="3" t="s">
        <v>328</v>
      </c>
      <c r="C25" s="3" t="s">
        <v>277</v>
      </c>
      <c r="D25" s="3" t="s">
        <v>304</v>
      </c>
    </row>
    <row r="26" spans="1:19">
      <c r="A26" s="4" t="s">
        <v>329</v>
      </c>
      <c r="B26" s="35" t="str">
        <f>TEXT(IF(ABS(P26)&gt;=1E12,P26/1E12,IF(ABS(P26)&gt;=1E9,P26/1E9,IF(ABS(P26)&gt;=1E6,P26/1E6,IF(ABS(P26)&gt;=1E3,P26/1E3,P26)))),"#,##0.000")&amp;IF((IF(ABS(P26)&gt;=1E12,"TB",IF(ABS(P26)&gt;=1E9,"GB",IF(ABS(P26)&gt;=1E6,"MB",IF(ABS(P26)&gt;=1E3,"KB","bytes")))))="",""," "&amp;(IF(ABS(P26)&gt;=1E12,"TB",IF(ABS(P26)&gt;=1E9,"GB",IF(ABS(P26)&gt;=1E6,"MB",IF(ABS(P26)&gt;=1E3,"KB","bytes"))))))</f>
        <v>50.987 MB</v>
      </c>
      <c r="C26" s="35" t="str">
        <f>TEXT(IF(ABS(Q26)&gt;=1E12,Q26/1E12,IF(ABS(Q26)&gt;=1E9,Q26/1E9,IF(ABS(Q26)&gt;=1E6,Q26/1E6,IF(ABS(Q26)&gt;=1E3,Q26/1E3,Q26)))),"#,##0.000")&amp;IF((IF(ABS(Q26)&gt;=1E12,"TB",IF(ABS(Q26)&gt;=1E9,"GB",IF(ABS(Q26)&gt;=1E6,"MB",IF(ABS(Q26)&gt;=1E3,"KB","bytes")))))="",""," "&amp;(IF(ABS(Q26)&gt;=1E12,"TB",IF(ABS(Q26)&gt;=1E9,"GB",IF(ABS(Q26)&gt;=1E6,"MB",IF(ABS(Q26)&gt;=1E3,"KB","bytes"))))))</f>
        <v>50.987 MB</v>
      </c>
      <c r="D26" s="4" t="s">
        <v>330</v>
      </c>
      <c r="P26" s="36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Q26" s="36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27" spans="1:19">
      <c r="A27" s="4" t="s">
        <v>331</v>
      </c>
      <c r="B27" s="35" t="str">
        <f>TEXT(IF(ABS(P27)&gt;=1E12,P27/1E12,IF(ABS(P27)&gt;=1E9,P27/1E9,IF(ABS(P27)&gt;=1E6,P27/1E6,IF(ABS(P27)&gt;=1E3,P27/1E3,P27)))),"#,##0.000")&amp;IF((IF(ABS(P27)&gt;=1E12,"TB",IF(ABS(P27)&gt;=1E9,"GB",IF(ABS(P27)&gt;=1E6,"MB",IF(ABS(P27)&gt;=1E3,"KB","bytes")))))="",""," "&amp;(IF(ABS(P27)&gt;=1E12,"TB",IF(ABS(P27)&gt;=1E9,"GB",IF(ABS(P27)&gt;=1E6,"MB",IF(ABS(P27)&gt;=1E3,"KB","bytes"))))))</f>
        <v>11.010 MB</v>
      </c>
      <c r="C27" s="35" t="str">
        <f>TEXT(IF(ABS(Q27)&gt;=1E12,Q27/1E12,IF(ABS(Q27)&gt;=1E9,Q27/1E9,IF(ABS(Q27)&gt;=1E6,Q27/1E6,IF(ABS(Q27)&gt;=1E3,Q27/1E3,Q27)))),"#,##0.000")&amp;IF((IF(ABS(Q27)&gt;=1E12,"TB",IF(ABS(Q27)&gt;=1E9,"GB",IF(ABS(Q27)&gt;=1E6,"MB",IF(ABS(Q27)&gt;=1E3,"KB","bytes")))))="",""," "&amp;(IF(ABS(Q27)&gt;=1E12,"TB",IF(ABS(Q27)&gt;=1E9,"GB",IF(ABS(Q27)&gt;=1E6,"MB",IF(ABS(Q27)&gt;=1E3,"KB","bytes"))))))</f>
        <v>11.010 MB</v>
      </c>
      <c r="D27" s="4" t="s">
        <v>332</v>
      </c>
      <c r="P27" s="36">
        <f>PrefillBatch*ShortLayers*INT(PrefillSequence/ShortRatio)*IndexHeadDim*BF16Bytes</f>
        <v>11010048</v>
      </c>
      <c r="Q27" s="36">
        <f>PrefillBatch*ShortLayers*INT(PrefillSequence/ShortRatio)*IndexHeadDim*BF16Bytes</f>
        <v>11010048</v>
      </c>
    </row>
    <row r="28" spans="1:19">
      <c r="A28" s="4" t="s">
        <v>333</v>
      </c>
      <c r="B28" s="35" t="str">
        <f>TEXT(IF(ABS(P28)&gt;=1E12,P28/1E12,IF(ABS(P28)&gt;=1E9,P28/1E9,IF(ABS(P28)&gt;=1E6,P28/1E6,IF(ABS(P28)&gt;=1E3,P28/1E3,P28)))),"#,##0.000")&amp;IF((IF(ABS(P28)&gt;=1E12,"TB",IF(ABS(P28)&gt;=1E9,"GB",IF(ABS(P28)&gt;=1E6,"MB",IF(ABS(P28)&gt;=1E3,"KB","bytes")))))="",""," "&amp;(IF(ABS(P28)&gt;=1E12,"TB",IF(ABS(P28)&gt;=1E9,"GB",IF(ABS(P28)&gt;=1E6,"MB",IF(ABS(P28)&gt;=1E3,"KB","bytes"))))))</f>
        <v>12.206 MB</v>
      </c>
      <c r="C28" s="35" t="str">
        <f>TEXT(IF(ABS(Q28)&gt;=1E12,Q28/1E12,IF(ABS(Q28)&gt;=1E9,Q28/1E9,IF(ABS(Q28)&gt;=1E6,Q28/1E6,IF(ABS(Q28)&gt;=1E3,Q28/1E3,Q28)))),"#,##0.000")&amp;IF((IF(ABS(Q28)&gt;=1E12,"TB",IF(ABS(Q28)&gt;=1E9,"GB",IF(ABS(Q28)&gt;=1E6,"MB",IF(ABS(Q28)&gt;=1E3,"KB","bytes")))))="",""," "&amp;(IF(ABS(Q28)&gt;=1E12,"TB",IF(ABS(Q28)&gt;=1E9,"GB",IF(ABS(Q28)&gt;=1E6,"MB",IF(ABS(Q28)&gt;=1E3,"KB","bytes"))))))</f>
        <v>12.206 MB</v>
      </c>
      <c r="D28" s="4" t="s">
        <v>334</v>
      </c>
      <c r="P28" s="36">
        <f>PrefillBatch*FP32Bytes*(ShortLayers*2*(2*ShortRatio)*(2*HeadDim)+LongLayers*2*LongRatio*HeadDim+ShortLayers*2*(2*ShortRatio)*(2*IndexHeadDim))</f>
        <v>12206080</v>
      </c>
      <c r="Q28" s="36">
        <f>PrefillBatch*FP32Bytes*(ShortLayers*2*(2*ShortRatio)*(2*HeadDim)+LongLayers*2*LongRatio*HeadDim+ShortLayers*2*(2*ShortRatio)*(2*IndexHeadDim))</f>
        <v>12206080</v>
      </c>
    </row>
    <row r="29" spans="1:19">
      <c r="A29" s="4" t="s">
        <v>335</v>
      </c>
      <c r="B29" s="35" t="str">
        <f>TEXT(IF(ABS(P29)&gt;=1E12,P29/1E12,IF(ABS(P29)&gt;=1E9,P29/1E9,IF(ABS(P29)&gt;=1E6,P29/1E6,IF(ABS(P29)&gt;=1E3,P29/1E3,P29)))),"#,##0.000")&amp;IF((IF(ABS(P29)&gt;=1E12,"TB",IF(ABS(P29)&gt;=1E9,"GB",IF(ABS(P29)&gt;=1E6,"MB",IF(ABS(P29)&gt;=1E3,"KB","bytes")))))="",""," "&amp;(IF(ABS(P29)&gt;=1E12,"TB",IF(ABS(P29)&gt;=1E9,"GB",IF(ABS(P29)&gt;=1E6,"MB",IF(ABS(P29)&gt;=1E3,"KB","bytes"))))))</f>
        <v>7.232 GB</v>
      </c>
      <c r="C29" s="35" t="str">
        <f>TEXT(IF(ABS(Q29)&gt;=1E12,Q29/1E12,IF(ABS(Q29)&gt;=1E9,Q29/1E9,IF(ABS(Q29)&gt;=1E6,Q29/1E6,IF(ABS(Q29)&gt;=1E3,Q29/1E3,Q29)))),"#,##0.000")&amp;IF((IF(ABS(Q29)&gt;=1E12,"TB",IF(ABS(Q29)&gt;=1E9,"GB",IF(ABS(Q29)&gt;=1E6,"MB",IF(ABS(Q29)&gt;=1E3,"KB","bytes")))))="",""," "&amp;(IF(ABS(Q29)&gt;=1E12,"TB",IF(ABS(Q29)&gt;=1E9,"GB",IF(ABS(Q29)&gt;=1E6,"MB",IF(ABS(Q29)&gt;=1E3,"KB","bytes"))))))</f>
        <v>7.232 GB</v>
      </c>
      <c r="D29" s="4" t="s">
        <v>336</v>
      </c>
      <c r="P29" s="36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Q29" s="36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30" spans="1:19">
      <c r="A30" s="4" t="s">
        <v>337</v>
      </c>
      <c r="B30" s="35" t="str">
        <f>TEXT(IF(ABS(P30)&gt;=1E12,P30/1E12,IF(ABS(P30)&gt;=1E9,P30/1E9,IF(ABS(P30)&gt;=1E6,P30/1E6,IF(ABS(P30)&gt;=1E3,P30/1E3,P30)))),"#,##0.000")&amp;IF((IF(ABS(P30)&gt;=1E12,"TB",IF(ABS(P30)&gt;=1E9,"GB",IF(ABS(P30)&gt;=1E6,"MB",IF(ABS(P30)&gt;=1E3,"KB","bytes")))))="",""," "&amp;(IF(ABS(P30)&gt;=1E12,"TB",IF(ABS(P30)&gt;=1E9,"GB",IF(ABS(P30)&gt;=1E6,"MB",IF(ABS(P30)&gt;=1E3,"KB","bytes"))))))</f>
        <v>5.811 GB</v>
      </c>
      <c r="C30" s="35" t="str">
        <f>TEXT(IF(ABS(Q30)&gt;=1E12,Q30/1E12,IF(ABS(Q30)&gt;=1E9,Q30/1E9,IF(ABS(Q30)&gt;=1E6,Q30/1E6,IF(ABS(Q30)&gt;=1E3,Q30/1E3,Q30)))),"#,##0.000")&amp;IF((IF(ABS(Q30)&gt;=1E12,"TB",IF(ABS(Q30)&gt;=1E9,"GB",IF(ABS(Q30)&gt;=1E6,"MB",IF(ABS(Q30)&gt;=1E3,"KB","bytes")))))="",""," "&amp;(IF(ABS(Q30)&gt;=1E12,"TB",IF(ABS(Q30)&gt;=1E9,"GB",IF(ABS(Q30)&gt;=1E6,"MB",IF(ABS(Q30)&gt;=1E3,"KB","bytes"))))))</f>
        <v>5.811 GB</v>
      </c>
      <c r="D30" s="4" t="s">
        <v>338</v>
      </c>
      <c r="P30" s="36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Q30" s="36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31" spans="1:19">
      <c r="A31" s="4" t="s">
        <v>339</v>
      </c>
      <c r="B31" s="35" t="str">
        <f>TEXT(IF(ABS(P31)&gt;=1E12,P31/1E12,IF(ABS(P31)&gt;=1E9,P31/1E9,IF(ABS(P31)&gt;=1E6,P31/1E6,IF(ABS(P31)&gt;=1E3,P31/1E3,P31)))),"#,##0.000")&amp;IF((IF(ABS(P31)&gt;=1E12,"TB",IF(ABS(P31)&gt;=1E9,"GB",IF(ABS(P31)&gt;=1E6,"MB",IF(ABS(P31)&gt;=1E3,"KB","bytes")))))="",""," "&amp;(IF(ABS(P31)&gt;=1E12,"TB",IF(ABS(P31)&gt;=1E9,"GB",IF(ABS(P31)&gt;=1E6,"MB",IF(ABS(P31)&gt;=1E3,"KB","bytes"))))))</f>
        <v>1.409 GB</v>
      </c>
      <c r="C31" s="35" t="str">
        <f>TEXT(IF(ABS(Q31)&gt;=1E12,Q31/1E12,IF(ABS(Q31)&gt;=1E9,Q31/1E9,IF(ABS(Q31)&gt;=1E6,Q31/1E6,IF(ABS(Q31)&gt;=1E3,Q31/1E3,Q31)))),"#,##0.000")&amp;IF((IF(ABS(Q31)&gt;=1E12,"TB",IF(ABS(Q31)&gt;=1E9,"GB",IF(ABS(Q31)&gt;=1E6,"MB",IF(ABS(Q31)&gt;=1E3,"KB","bytes")))))="",""," "&amp;(IF(ABS(Q31)&gt;=1E12,"TB",IF(ABS(Q31)&gt;=1E9,"GB",IF(ABS(Q31)&gt;=1E6,"MB",IF(ABS(Q31)&gt;=1E3,"KB","bytes"))))))</f>
        <v>1.409 GB</v>
      </c>
      <c r="D31" s="4" t="s">
        <v>340</v>
      </c>
      <c r="P31" s="36">
        <f>DecodeBatch*ShortLayers*INT(DecodeContext/ShortRatio)*IndexHeadDim*BF16Bytes</f>
        <v>1409286144</v>
      </c>
      <c r="Q31" s="36">
        <f>DecodeBatch*ShortLayers*INT(DecodeContext/ShortRatio)*IndexHeadDim*BF16Bytes</f>
        <v>1409286144</v>
      </c>
    </row>
    <row r="32" spans="1:19">
      <c r="A32" s="4" t="s">
        <v>341</v>
      </c>
      <c r="B32" s="35" t="str">
        <f>TEXT(IF(ABS(P32)&gt;=1E12,P32/1E12,IF(ABS(P32)&gt;=1E9,P32/1E9,IF(ABS(P32)&gt;=1E6,P32/1E6,IF(ABS(P32)&gt;=1E3,P32/1E3,P32)))),"#,##0.000")&amp;IF((IF(ABS(P32)&gt;=1E12,"TB",IF(ABS(P32)&gt;=1E9,"GB",IF(ABS(P32)&gt;=1E6,"MB",IF(ABS(P32)&gt;=1E3,"KB","bytes")))))="",""," "&amp;(IF(ABS(P32)&gt;=1E12,"TB",IF(ABS(P32)&gt;=1E9,"GB",IF(ABS(P32)&gt;=1E6,"MB",IF(ABS(P32)&gt;=1E3,"KB","bytes"))))))</f>
        <v>12.206 MB</v>
      </c>
      <c r="C32" s="35" t="str">
        <f>TEXT(IF(ABS(Q32)&gt;=1E12,Q32/1E12,IF(ABS(Q32)&gt;=1E9,Q32/1E9,IF(ABS(Q32)&gt;=1E6,Q32/1E6,IF(ABS(Q32)&gt;=1E3,Q32/1E3,Q32)))),"#,##0.000")&amp;IF((IF(ABS(Q32)&gt;=1E12,"TB",IF(ABS(Q32)&gt;=1E9,"GB",IF(ABS(Q32)&gt;=1E6,"MB",IF(ABS(Q32)&gt;=1E3,"KB","bytes")))))="",""," "&amp;(IF(ABS(Q32)&gt;=1E12,"TB",IF(ABS(Q32)&gt;=1E9,"GB",IF(ABS(Q32)&gt;=1E6,"MB",IF(ABS(Q32)&gt;=1E3,"KB","bytes"))))))</f>
        <v>12.206 MB</v>
      </c>
      <c r="D32" s="4" t="s">
        <v>342</v>
      </c>
      <c r="P32" s="36">
        <f>DecodeBatch*FP32Bytes*(ShortLayers*2*(2*ShortRatio)*(2*HeadDim)+LongLayers*2*LongRatio*HeadDim+ShortLayers*2*(2*ShortRatio)*(2*IndexHeadDim))</f>
        <v>12206080</v>
      </c>
      <c r="Q32" s="36">
        <f>DecodeBatch*FP32Bytes*(ShortLayers*2*(2*ShortRatio)*(2*HeadDim)+LongLayers*2*LongRatio*HeadDim+ShortLayers*2*(2*ShortRatio)*(2*IndexHeadDim))</f>
        <v>12206080</v>
      </c>
    </row>
    <row r="33" spans="1:17">
      <c r="A33" s="4" t="s">
        <v>343</v>
      </c>
      <c r="B33" s="35" t="str">
        <f>TEXT(IF(ABS(P33)&gt;=1E12,P33/1E12,IF(ABS(P33)&gt;=1E9,P33/1E9,IF(ABS(P33)&gt;=1E6,P33/1E6,IF(ABS(P33)&gt;=1E3,P33/1E3,P33)))),"#,##0.000")&amp;IF((IF(ABS(P33)&gt;=1E12,"TB",IF(ABS(P33)&gt;=1E9,"GB",IF(ABS(P33)&gt;=1E6,"MB",IF(ABS(P33)&gt;=1E3,"KB","bytes")))))="",""," "&amp;(IF(ABS(P33)&gt;=1E12,"TB",IF(ABS(P33)&gt;=1E9,"GB",IF(ABS(P33)&gt;=1E6,"MB",IF(ABS(P33)&gt;=1E3,"KB","bytes"))))))</f>
        <v>7.232 GB</v>
      </c>
      <c r="C33" s="35" t="str">
        <f>TEXT(IF(ABS(Q33)&gt;=1E12,Q33/1E12,IF(ABS(Q33)&gt;=1E9,Q33/1E9,IF(ABS(Q33)&gt;=1E6,Q33/1E6,IF(ABS(Q33)&gt;=1E3,Q33/1E3,Q33)))),"#,##0.000")&amp;IF((IF(ABS(Q33)&gt;=1E12,"TB",IF(ABS(Q33)&gt;=1E9,"GB",IF(ABS(Q33)&gt;=1E6,"MB",IF(ABS(Q33)&gt;=1E3,"KB","bytes")))))="",""," "&amp;(IF(ABS(Q33)&gt;=1E12,"TB",IF(ABS(Q33)&gt;=1E9,"GB",IF(ABS(Q33)&gt;=1E6,"MB",IF(ABS(Q33)&gt;=1E3,"KB","bytes"))))))</f>
        <v>7.232 GB</v>
      </c>
      <c r="D33" s="4" t="s">
        <v>344</v>
      </c>
      <c r="P33" s="36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Q33" s="36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36" spans="1:17">
      <c r="A36" s="27" t="s">
        <v>345</v>
      </c>
      <c r="B36" s="27"/>
      <c r="C36" s="27"/>
      <c r="D36" s="27"/>
      <c r="E36" s="27"/>
      <c r="F36" s="27"/>
      <c r="G36" s="27"/>
      <c r="H36" s="27"/>
      <c r="I36" s="27"/>
      <c r="J36" s="27"/>
    </row>
    <row r="37" spans="1:17">
      <c r="A37" t="s">
        <v>346</v>
      </c>
      <c r="B37" t="s">
        <v>347</v>
      </c>
      <c r="C37" t="s">
        <v>348</v>
      </c>
      <c r="D37" t="s">
        <v>349</v>
      </c>
      <c r="E37" t="s">
        <v>350</v>
      </c>
      <c r="F37" t="s">
        <v>351</v>
      </c>
      <c r="G37" t="s">
        <v>352</v>
      </c>
      <c r="H37" t="s">
        <v>353</v>
      </c>
      <c r="I37" t="s">
        <v>354</v>
      </c>
      <c r="J37" t="s">
        <v>355</v>
      </c>
    </row>
    <row r="38" spans="1:17">
      <c r="A38" s="4" t="s">
        <v>276</v>
      </c>
      <c r="B38" s="4" t="s">
        <v>356</v>
      </c>
      <c r="C38" s="38">
        <f>'Memory'!$R$18/1E9</f>
        <v>7.45138496</v>
      </c>
      <c r="D38" s="38">
        <f>'Memory'!$R$19/1E9</f>
        <v>148.351461888</v>
      </c>
      <c r="E38" s="38">
        <f>'Memory'!$R$20/1E9</f>
        <v>3.314423644</v>
      </c>
      <c r="F38" s="38">
        <f>'Memory'!$R$21/1E9</f>
        <v>159.117270492</v>
      </c>
      <c r="G38" s="38">
        <f>'Memory'!$P$33/1E9</f>
        <v>7.232045056</v>
      </c>
      <c r="H38" s="38">
        <f>F38+G38</f>
        <v>166.349315548</v>
      </c>
      <c r="I38" s="39">
        <f>'Memory'!$P$21/1E9</f>
        <v>284.334567511</v>
      </c>
      <c r="J38" s="4" t="s">
        <v>357</v>
      </c>
    </row>
    <row r="39" spans="1:17">
      <c r="A39" s="4" t="s">
        <v>358</v>
      </c>
      <c r="B39" s="4" t="s">
        <v>356</v>
      </c>
      <c r="C39" s="38">
        <f>'Memory'!$S$18/1E9</f>
        <v>2.23750496</v>
      </c>
      <c r="D39" s="38">
        <f>'Memory'!$S$19/1E9</f>
        <v>19.57794048</v>
      </c>
      <c r="E39" s="38">
        <f>'Memory'!$S$20/1E9</f>
        <v>0.534376892</v>
      </c>
      <c r="F39" s="38">
        <f>'Memory'!$S$21/1E9</f>
        <v>22.349822332</v>
      </c>
      <c r="G39" s="38">
        <f>'Memory'!$Q$33/1E9</f>
        <v>7.232045056</v>
      </c>
      <c r="H39" s="38">
        <f>F39+G39</f>
        <v>29.581867388</v>
      </c>
      <c r="I39" s="39">
        <f>'Memory'!$Q$21/1E9</f>
        <v>37.064255215</v>
      </c>
      <c r="J39" s="4" t="s">
        <v>359</v>
      </c>
    </row>
  </sheetData>
  <mergeCells count="3">
    <mergeCell ref="A16:E16"/>
    <mergeCell ref="A24:D24"/>
    <mergeCell ref="A36:J36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I6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4.7109375" customWidth="1"/>
    <col min="3" max="3" width="20.7109375" customWidth="1"/>
    <col min="4" max="4" width="28.7109375" customWidth="1"/>
    <col min="5" max="9" width="24.7109375" customWidth="1"/>
    <col min="10" max="10" width="2.7109375" customWidth="1"/>
  </cols>
  <sheetData>
    <row r="1" spans="1:5">
      <c r="A1" s="1" t="s">
        <v>360</v>
      </c>
    </row>
    <row r="2" spans="1:5">
      <c r="A2" s="2" t="s">
        <v>361</v>
      </c>
    </row>
    <row r="3" spans="1:5">
      <c r="A3" t="s">
        <v>362</v>
      </c>
      <c r="B3" t="s">
        <v>363</v>
      </c>
      <c r="C3" t="s">
        <v>364</v>
      </c>
      <c r="D3" t="s">
        <v>365</v>
      </c>
      <c r="E3" t="s">
        <v>304</v>
      </c>
    </row>
    <row r="4" spans="1:5">
      <c r="A4" s="4" t="s">
        <v>366</v>
      </c>
      <c r="B4" s="4" t="s">
        <v>367</v>
      </c>
      <c r="C4" s="4" t="s">
        <v>368</v>
      </c>
      <c r="D4" s="4" t="s">
        <v>368</v>
      </c>
      <c r="E4" s="4" t="s">
        <v>369</v>
      </c>
    </row>
    <row r="5" spans="1:5">
      <c r="A5" s="4" t="s">
        <v>366</v>
      </c>
      <c r="B5" s="4" t="s">
        <v>370</v>
      </c>
      <c r="C5" s="4" t="s">
        <v>371</v>
      </c>
      <c r="D5" s="4" t="s">
        <v>372</v>
      </c>
      <c r="E5" s="4" t="s">
        <v>373</v>
      </c>
    </row>
    <row r="6" spans="1:5">
      <c r="A6" s="4" t="s">
        <v>374</v>
      </c>
      <c r="B6" s="4" t="s">
        <v>375</v>
      </c>
      <c r="C6" s="4" t="s">
        <v>371</v>
      </c>
      <c r="D6" s="4" t="s">
        <v>376</v>
      </c>
      <c r="E6" s="4" t="s">
        <v>377</v>
      </c>
    </row>
    <row r="7" spans="1:5">
      <c r="A7" s="4" t="s">
        <v>374</v>
      </c>
      <c r="B7" s="4" t="s">
        <v>378</v>
      </c>
      <c r="C7" s="4" t="s">
        <v>368</v>
      </c>
      <c r="D7" s="4" t="s">
        <v>379</v>
      </c>
      <c r="E7" s="4" t="s">
        <v>380</v>
      </c>
    </row>
    <row r="8" spans="1:5">
      <c r="A8" s="4" t="s">
        <v>374</v>
      </c>
      <c r="B8" s="4" t="s">
        <v>381</v>
      </c>
      <c r="C8" s="4" t="s">
        <v>382</v>
      </c>
      <c r="D8" s="4" t="s">
        <v>383</v>
      </c>
      <c r="E8" s="4" t="s">
        <v>384</v>
      </c>
    </row>
    <row r="9" spans="1:5">
      <c r="A9" s="4" t="s">
        <v>385</v>
      </c>
      <c r="B9" s="4" t="s">
        <v>386</v>
      </c>
      <c r="C9" s="4" t="s">
        <v>387</v>
      </c>
      <c r="D9" s="4" t="s">
        <v>388</v>
      </c>
      <c r="E9" s="4" t="s">
        <v>389</v>
      </c>
    </row>
    <row r="10" spans="1:5">
      <c r="A10" s="4" t="s">
        <v>390</v>
      </c>
      <c r="B10" s="4" t="s">
        <v>391</v>
      </c>
      <c r="C10" s="4" t="s">
        <v>392</v>
      </c>
      <c r="D10" s="4" t="s">
        <v>393</v>
      </c>
      <c r="E10" s="4" t="s">
        <v>394</v>
      </c>
    </row>
    <row r="11" spans="1:5">
      <c r="A11" s="4" t="s">
        <v>374</v>
      </c>
      <c r="B11" s="4" t="s">
        <v>395</v>
      </c>
      <c r="C11" s="4" t="s">
        <v>396</v>
      </c>
      <c r="D11" s="4" t="s">
        <v>397</v>
      </c>
      <c r="E11" s="4" t="s">
        <v>398</v>
      </c>
    </row>
    <row r="12" spans="1:5">
      <c r="A12" s="4" t="s">
        <v>374</v>
      </c>
      <c r="B12" s="4" t="s">
        <v>399</v>
      </c>
      <c r="C12" s="4" t="s">
        <v>371</v>
      </c>
      <c r="D12" s="4" t="s">
        <v>400</v>
      </c>
      <c r="E12" s="4" t="s">
        <v>401</v>
      </c>
    </row>
    <row r="13" spans="1:5">
      <c r="A13" s="4" t="s">
        <v>374</v>
      </c>
      <c r="B13" s="4" t="s">
        <v>402</v>
      </c>
      <c r="C13" s="4" t="s">
        <v>403</v>
      </c>
      <c r="D13" s="4" t="s">
        <v>404</v>
      </c>
      <c r="E13" s="4" t="s">
        <v>405</v>
      </c>
    </row>
    <row r="14" spans="1:5">
      <c r="A14" s="4" t="s">
        <v>406</v>
      </c>
      <c r="B14" s="4" t="s">
        <v>407</v>
      </c>
      <c r="C14" s="4" t="s">
        <v>408</v>
      </c>
      <c r="D14" s="4" t="s">
        <v>409</v>
      </c>
      <c r="E14" s="4" t="s">
        <v>410</v>
      </c>
    </row>
    <row r="15" spans="1:5">
      <c r="A15" s="4" t="s">
        <v>374</v>
      </c>
      <c r="B15" s="4" t="s">
        <v>411</v>
      </c>
      <c r="C15" s="4" t="s">
        <v>404</v>
      </c>
      <c r="D15" s="4" t="s">
        <v>404</v>
      </c>
      <c r="E15" s="4" t="s">
        <v>412</v>
      </c>
    </row>
    <row r="16" spans="1:5">
      <c r="A16" s="4" t="s">
        <v>374</v>
      </c>
      <c r="B16" s="4" t="s">
        <v>413</v>
      </c>
      <c r="C16" s="4" t="s">
        <v>368</v>
      </c>
      <c r="D16" s="4" t="s">
        <v>414</v>
      </c>
      <c r="E16" s="4" t="s">
        <v>415</v>
      </c>
    </row>
    <row r="17" spans="1:9">
      <c r="A17" s="4" t="s">
        <v>416</v>
      </c>
      <c r="B17" s="4" t="s">
        <v>417</v>
      </c>
      <c r="C17" s="4" t="s">
        <v>418</v>
      </c>
      <c r="D17" s="4" t="s">
        <v>383</v>
      </c>
      <c r="E17" s="4" t="s">
        <v>419</v>
      </c>
    </row>
    <row r="18" spans="1:9">
      <c r="A18" s="4" t="s">
        <v>416</v>
      </c>
      <c r="B18" s="4" t="s">
        <v>420</v>
      </c>
      <c r="C18" s="4" t="s">
        <v>421</v>
      </c>
      <c r="D18" s="4" t="s">
        <v>422</v>
      </c>
      <c r="E18" s="4" t="s">
        <v>423</v>
      </c>
    </row>
    <row r="20" spans="1:9">
      <c r="A20" s="27" t="s">
        <v>424</v>
      </c>
      <c r="B20" s="27"/>
      <c r="C20" s="27"/>
      <c r="D20" s="27"/>
      <c r="E20" s="27"/>
      <c r="F20" s="27"/>
      <c r="G20" s="27"/>
      <c r="H20" s="27"/>
      <c r="I20" s="27"/>
    </row>
    <row r="21" spans="1:9">
      <c r="A21" t="s">
        <v>212</v>
      </c>
      <c r="B21" t="s">
        <v>425</v>
      </c>
      <c r="C21" t="s">
        <v>426</v>
      </c>
      <c r="D21" t="s">
        <v>427</v>
      </c>
      <c r="E21" t="s">
        <v>428</v>
      </c>
      <c r="F21" t="s">
        <v>429</v>
      </c>
      <c r="G21" t="s">
        <v>430</v>
      </c>
      <c r="H21" t="s">
        <v>431</v>
      </c>
      <c r="I21" t="s">
        <v>432</v>
      </c>
    </row>
    <row r="22" spans="1:9">
      <c r="A22" s="4">
        <v>0</v>
      </c>
      <c r="B22" s="4" t="s">
        <v>433</v>
      </c>
      <c r="C22" s="4">
        <v>0</v>
      </c>
      <c r="D22" s="4" t="s">
        <v>434</v>
      </c>
      <c r="E22" s="4" t="s">
        <v>368</v>
      </c>
      <c r="F22" s="4" t="s">
        <v>435</v>
      </c>
      <c r="G22" s="4" t="s">
        <v>436</v>
      </c>
      <c r="H22" s="4" t="s">
        <v>437</v>
      </c>
      <c r="I22" s="4" t="s">
        <v>404</v>
      </c>
    </row>
    <row r="23" spans="1:9">
      <c r="A23" s="4">
        <v>1</v>
      </c>
      <c r="B23" s="4" t="s">
        <v>433</v>
      </c>
      <c r="C23" s="4">
        <v>0</v>
      </c>
      <c r="D23" s="4" t="s">
        <v>434</v>
      </c>
      <c r="E23" s="4" t="s">
        <v>368</v>
      </c>
      <c r="F23" s="4" t="s">
        <v>435</v>
      </c>
      <c r="G23" s="4" t="s">
        <v>436</v>
      </c>
      <c r="H23" s="4" t="s">
        <v>437</v>
      </c>
      <c r="I23" s="4" t="s">
        <v>404</v>
      </c>
    </row>
    <row r="24" spans="1:9">
      <c r="A24" s="4">
        <v>2</v>
      </c>
      <c r="B24" s="4" t="s">
        <v>438</v>
      </c>
      <c r="C24" s="4">
        <v>4</v>
      </c>
      <c r="D24" s="4" t="s">
        <v>434</v>
      </c>
      <c r="E24" s="4" t="s">
        <v>368</v>
      </c>
      <c r="F24" s="4" t="s">
        <v>435</v>
      </c>
      <c r="G24" s="4" t="s">
        <v>436</v>
      </c>
      <c r="H24" s="4" t="s">
        <v>437</v>
      </c>
      <c r="I24" s="4" t="s">
        <v>404</v>
      </c>
    </row>
    <row r="25" spans="1:9">
      <c r="A25" s="4">
        <v>3</v>
      </c>
      <c r="B25" s="4" t="s">
        <v>439</v>
      </c>
      <c r="C25" s="4">
        <v>128</v>
      </c>
      <c r="D25" s="4" t="s">
        <v>440</v>
      </c>
      <c r="E25" s="4" t="s">
        <v>368</v>
      </c>
      <c r="F25" s="4" t="s">
        <v>435</v>
      </c>
      <c r="G25" s="4" t="s">
        <v>436</v>
      </c>
      <c r="H25" s="4" t="s">
        <v>437</v>
      </c>
      <c r="I25" s="4" t="s">
        <v>404</v>
      </c>
    </row>
    <row r="26" spans="1:9">
      <c r="A26" s="4">
        <v>4</v>
      </c>
      <c r="B26" s="4" t="s">
        <v>438</v>
      </c>
      <c r="C26" s="4">
        <v>4</v>
      </c>
      <c r="D26" s="4" t="s">
        <v>440</v>
      </c>
      <c r="E26" s="4" t="s">
        <v>368</v>
      </c>
      <c r="F26" s="4" t="s">
        <v>435</v>
      </c>
      <c r="G26" s="4" t="s">
        <v>436</v>
      </c>
      <c r="H26" s="4" t="s">
        <v>437</v>
      </c>
      <c r="I26" s="4" t="s">
        <v>404</v>
      </c>
    </row>
    <row r="27" spans="1:9">
      <c r="A27" s="4">
        <v>5</v>
      </c>
      <c r="B27" s="4" t="s">
        <v>439</v>
      </c>
      <c r="C27" s="4">
        <v>128</v>
      </c>
      <c r="D27" s="4" t="s">
        <v>440</v>
      </c>
      <c r="E27" s="4" t="s">
        <v>368</v>
      </c>
      <c r="F27" s="4" t="s">
        <v>435</v>
      </c>
      <c r="G27" s="4" t="s">
        <v>436</v>
      </c>
      <c r="H27" s="4" t="s">
        <v>437</v>
      </c>
      <c r="I27" s="4" t="s">
        <v>404</v>
      </c>
    </row>
    <row r="28" spans="1:9">
      <c r="A28" s="4">
        <v>6</v>
      </c>
      <c r="B28" s="4" t="s">
        <v>438</v>
      </c>
      <c r="C28" s="4">
        <v>4</v>
      </c>
      <c r="D28" s="4" t="s">
        <v>440</v>
      </c>
      <c r="E28" s="4" t="s">
        <v>368</v>
      </c>
      <c r="F28" s="4" t="s">
        <v>435</v>
      </c>
      <c r="G28" s="4" t="s">
        <v>436</v>
      </c>
      <c r="H28" s="4" t="s">
        <v>437</v>
      </c>
      <c r="I28" s="4" t="s">
        <v>404</v>
      </c>
    </row>
    <row r="29" spans="1:9">
      <c r="A29" s="4">
        <v>7</v>
      </c>
      <c r="B29" s="4" t="s">
        <v>439</v>
      </c>
      <c r="C29" s="4">
        <v>128</v>
      </c>
      <c r="D29" s="4" t="s">
        <v>440</v>
      </c>
      <c r="E29" s="4" t="s">
        <v>368</v>
      </c>
      <c r="F29" s="4" t="s">
        <v>435</v>
      </c>
      <c r="G29" s="4" t="s">
        <v>436</v>
      </c>
      <c r="H29" s="4" t="s">
        <v>437</v>
      </c>
      <c r="I29" s="4" t="s">
        <v>404</v>
      </c>
    </row>
    <row r="30" spans="1:9">
      <c r="A30" s="4">
        <v>8</v>
      </c>
      <c r="B30" s="4" t="s">
        <v>438</v>
      </c>
      <c r="C30" s="4">
        <v>4</v>
      </c>
      <c r="D30" s="4" t="s">
        <v>440</v>
      </c>
      <c r="E30" s="4" t="s">
        <v>368</v>
      </c>
      <c r="F30" s="4" t="s">
        <v>435</v>
      </c>
      <c r="G30" s="4" t="s">
        <v>436</v>
      </c>
      <c r="H30" s="4" t="s">
        <v>437</v>
      </c>
      <c r="I30" s="4" t="s">
        <v>404</v>
      </c>
    </row>
    <row r="31" spans="1:9">
      <c r="A31" s="4">
        <v>9</v>
      </c>
      <c r="B31" s="4" t="s">
        <v>439</v>
      </c>
      <c r="C31" s="4">
        <v>128</v>
      </c>
      <c r="D31" s="4" t="s">
        <v>440</v>
      </c>
      <c r="E31" s="4" t="s">
        <v>368</v>
      </c>
      <c r="F31" s="4" t="s">
        <v>435</v>
      </c>
      <c r="G31" s="4" t="s">
        <v>436</v>
      </c>
      <c r="H31" s="4" t="s">
        <v>437</v>
      </c>
      <c r="I31" s="4" t="s">
        <v>404</v>
      </c>
    </row>
    <row r="32" spans="1:9">
      <c r="A32" s="4">
        <v>10</v>
      </c>
      <c r="B32" s="4" t="s">
        <v>438</v>
      </c>
      <c r="C32" s="4">
        <v>4</v>
      </c>
      <c r="D32" s="4" t="s">
        <v>440</v>
      </c>
      <c r="E32" s="4" t="s">
        <v>368</v>
      </c>
      <c r="F32" s="4" t="s">
        <v>435</v>
      </c>
      <c r="G32" s="4" t="s">
        <v>436</v>
      </c>
      <c r="H32" s="4" t="s">
        <v>437</v>
      </c>
      <c r="I32" s="4" t="s">
        <v>404</v>
      </c>
    </row>
    <row r="33" spans="1:9">
      <c r="A33" s="4">
        <v>11</v>
      </c>
      <c r="B33" s="4" t="s">
        <v>439</v>
      </c>
      <c r="C33" s="4">
        <v>128</v>
      </c>
      <c r="D33" s="4" t="s">
        <v>440</v>
      </c>
      <c r="E33" s="4" t="s">
        <v>368</v>
      </c>
      <c r="F33" s="4" t="s">
        <v>435</v>
      </c>
      <c r="G33" s="4" t="s">
        <v>436</v>
      </c>
      <c r="H33" s="4" t="s">
        <v>437</v>
      </c>
      <c r="I33" s="4" t="s">
        <v>404</v>
      </c>
    </row>
    <row r="34" spans="1:9">
      <c r="A34" s="4">
        <v>12</v>
      </c>
      <c r="B34" s="4" t="s">
        <v>438</v>
      </c>
      <c r="C34" s="4">
        <v>4</v>
      </c>
      <c r="D34" s="4" t="s">
        <v>440</v>
      </c>
      <c r="E34" s="4" t="s">
        <v>368</v>
      </c>
      <c r="F34" s="4" t="s">
        <v>435</v>
      </c>
      <c r="G34" s="4" t="s">
        <v>436</v>
      </c>
      <c r="H34" s="4" t="s">
        <v>437</v>
      </c>
      <c r="I34" s="4" t="s">
        <v>404</v>
      </c>
    </row>
    <row r="35" spans="1:9">
      <c r="A35" s="4">
        <v>13</v>
      </c>
      <c r="B35" s="4" t="s">
        <v>439</v>
      </c>
      <c r="C35" s="4">
        <v>128</v>
      </c>
      <c r="D35" s="4" t="s">
        <v>440</v>
      </c>
      <c r="E35" s="4" t="s">
        <v>368</v>
      </c>
      <c r="F35" s="4" t="s">
        <v>435</v>
      </c>
      <c r="G35" s="4" t="s">
        <v>436</v>
      </c>
      <c r="H35" s="4" t="s">
        <v>437</v>
      </c>
      <c r="I35" s="4" t="s">
        <v>404</v>
      </c>
    </row>
    <row r="36" spans="1:9">
      <c r="A36" s="4">
        <v>14</v>
      </c>
      <c r="B36" s="4" t="s">
        <v>438</v>
      </c>
      <c r="C36" s="4">
        <v>4</v>
      </c>
      <c r="D36" s="4" t="s">
        <v>440</v>
      </c>
      <c r="E36" s="4" t="s">
        <v>368</v>
      </c>
      <c r="F36" s="4" t="s">
        <v>435</v>
      </c>
      <c r="G36" s="4" t="s">
        <v>436</v>
      </c>
      <c r="H36" s="4" t="s">
        <v>437</v>
      </c>
      <c r="I36" s="4" t="s">
        <v>404</v>
      </c>
    </row>
    <row r="37" spans="1:9">
      <c r="A37" s="4">
        <v>15</v>
      </c>
      <c r="B37" s="4" t="s">
        <v>439</v>
      </c>
      <c r="C37" s="4">
        <v>128</v>
      </c>
      <c r="D37" s="4" t="s">
        <v>440</v>
      </c>
      <c r="E37" s="4" t="s">
        <v>368</v>
      </c>
      <c r="F37" s="4" t="s">
        <v>435</v>
      </c>
      <c r="G37" s="4" t="s">
        <v>436</v>
      </c>
      <c r="H37" s="4" t="s">
        <v>437</v>
      </c>
      <c r="I37" s="4" t="s">
        <v>404</v>
      </c>
    </row>
    <row r="38" spans="1:9">
      <c r="A38" s="4">
        <v>16</v>
      </c>
      <c r="B38" s="4" t="s">
        <v>438</v>
      </c>
      <c r="C38" s="4">
        <v>4</v>
      </c>
      <c r="D38" s="4" t="s">
        <v>440</v>
      </c>
      <c r="E38" s="4" t="s">
        <v>368</v>
      </c>
      <c r="F38" s="4" t="s">
        <v>435</v>
      </c>
      <c r="G38" s="4" t="s">
        <v>436</v>
      </c>
      <c r="H38" s="4" t="s">
        <v>437</v>
      </c>
      <c r="I38" s="4" t="s">
        <v>404</v>
      </c>
    </row>
    <row r="39" spans="1:9">
      <c r="A39" s="4">
        <v>17</v>
      </c>
      <c r="B39" s="4" t="s">
        <v>439</v>
      </c>
      <c r="C39" s="4">
        <v>128</v>
      </c>
      <c r="D39" s="4" t="s">
        <v>440</v>
      </c>
      <c r="E39" s="4" t="s">
        <v>368</v>
      </c>
      <c r="F39" s="4" t="s">
        <v>435</v>
      </c>
      <c r="G39" s="4" t="s">
        <v>436</v>
      </c>
      <c r="H39" s="4" t="s">
        <v>437</v>
      </c>
      <c r="I39" s="4" t="s">
        <v>404</v>
      </c>
    </row>
    <row r="40" spans="1:9">
      <c r="A40" s="4">
        <v>18</v>
      </c>
      <c r="B40" s="4" t="s">
        <v>438</v>
      </c>
      <c r="C40" s="4">
        <v>4</v>
      </c>
      <c r="D40" s="4" t="s">
        <v>440</v>
      </c>
      <c r="E40" s="4" t="s">
        <v>368</v>
      </c>
      <c r="F40" s="4" t="s">
        <v>435</v>
      </c>
      <c r="G40" s="4" t="s">
        <v>436</v>
      </c>
      <c r="H40" s="4" t="s">
        <v>437</v>
      </c>
      <c r="I40" s="4" t="s">
        <v>404</v>
      </c>
    </row>
    <row r="41" spans="1:9">
      <c r="A41" s="4">
        <v>19</v>
      </c>
      <c r="B41" s="4" t="s">
        <v>439</v>
      </c>
      <c r="C41" s="4">
        <v>128</v>
      </c>
      <c r="D41" s="4" t="s">
        <v>440</v>
      </c>
      <c r="E41" s="4" t="s">
        <v>368</v>
      </c>
      <c r="F41" s="4" t="s">
        <v>435</v>
      </c>
      <c r="G41" s="4" t="s">
        <v>436</v>
      </c>
      <c r="H41" s="4" t="s">
        <v>437</v>
      </c>
      <c r="I41" s="4" t="s">
        <v>404</v>
      </c>
    </row>
    <row r="42" spans="1:9">
      <c r="A42" s="4">
        <v>20</v>
      </c>
      <c r="B42" s="4" t="s">
        <v>438</v>
      </c>
      <c r="C42" s="4">
        <v>4</v>
      </c>
      <c r="D42" s="4" t="s">
        <v>440</v>
      </c>
      <c r="E42" s="4" t="s">
        <v>368</v>
      </c>
      <c r="F42" s="4" t="s">
        <v>435</v>
      </c>
      <c r="G42" s="4" t="s">
        <v>436</v>
      </c>
      <c r="H42" s="4" t="s">
        <v>437</v>
      </c>
      <c r="I42" s="4" t="s">
        <v>404</v>
      </c>
    </row>
    <row r="43" spans="1:9">
      <c r="A43" s="4">
        <v>21</v>
      </c>
      <c r="B43" s="4" t="s">
        <v>439</v>
      </c>
      <c r="C43" s="4">
        <v>128</v>
      </c>
      <c r="D43" s="4" t="s">
        <v>440</v>
      </c>
      <c r="E43" s="4" t="s">
        <v>368</v>
      </c>
      <c r="F43" s="4" t="s">
        <v>435</v>
      </c>
      <c r="G43" s="4" t="s">
        <v>436</v>
      </c>
      <c r="H43" s="4" t="s">
        <v>437</v>
      </c>
      <c r="I43" s="4" t="s">
        <v>404</v>
      </c>
    </row>
    <row r="44" spans="1:9">
      <c r="A44" s="4">
        <v>22</v>
      </c>
      <c r="B44" s="4" t="s">
        <v>438</v>
      </c>
      <c r="C44" s="4">
        <v>4</v>
      </c>
      <c r="D44" s="4" t="s">
        <v>440</v>
      </c>
      <c r="E44" s="4" t="s">
        <v>368</v>
      </c>
      <c r="F44" s="4" t="s">
        <v>435</v>
      </c>
      <c r="G44" s="4" t="s">
        <v>436</v>
      </c>
      <c r="H44" s="4" t="s">
        <v>437</v>
      </c>
      <c r="I44" s="4" t="s">
        <v>404</v>
      </c>
    </row>
    <row r="45" spans="1:9">
      <c r="A45" s="4">
        <v>23</v>
      </c>
      <c r="B45" s="4" t="s">
        <v>439</v>
      </c>
      <c r="C45" s="4">
        <v>128</v>
      </c>
      <c r="D45" s="4" t="s">
        <v>440</v>
      </c>
      <c r="E45" s="4" t="s">
        <v>368</v>
      </c>
      <c r="F45" s="4" t="s">
        <v>435</v>
      </c>
      <c r="G45" s="4" t="s">
        <v>436</v>
      </c>
      <c r="H45" s="4" t="s">
        <v>437</v>
      </c>
      <c r="I45" s="4" t="s">
        <v>404</v>
      </c>
    </row>
    <row r="46" spans="1:9">
      <c r="A46" s="4">
        <v>24</v>
      </c>
      <c r="B46" s="4" t="s">
        <v>438</v>
      </c>
      <c r="C46" s="4">
        <v>4</v>
      </c>
      <c r="D46" s="4" t="s">
        <v>440</v>
      </c>
      <c r="E46" s="4" t="s">
        <v>368</v>
      </c>
      <c r="F46" s="4" t="s">
        <v>435</v>
      </c>
      <c r="G46" s="4" t="s">
        <v>436</v>
      </c>
      <c r="H46" s="4" t="s">
        <v>437</v>
      </c>
      <c r="I46" s="4" t="s">
        <v>404</v>
      </c>
    </row>
    <row r="47" spans="1:9">
      <c r="A47" s="4">
        <v>25</v>
      </c>
      <c r="B47" s="4" t="s">
        <v>439</v>
      </c>
      <c r="C47" s="4">
        <v>128</v>
      </c>
      <c r="D47" s="4" t="s">
        <v>440</v>
      </c>
      <c r="E47" s="4" t="s">
        <v>368</v>
      </c>
      <c r="F47" s="4" t="s">
        <v>435</v>
      </c>
      <c r="G47" s="4" t="s">
        <v>436</v>
      </c>
      <c r="H47" s="4" t="s">
        <v>437</v>
      </c>
      <c r="I47" s="4" t="s">
        <v>404</v>
      </c>
    </row>
    <row r="48" spans="1:9">
      <c r="A48" s="4">
        <v>26</v>
      </c>
      <c r="B48" s="4" t="s">
        <v>438</v>
      </c>
      <c r="C48" s="4">
        <v>4</v>
      </c>
      <c r="D48" s="4" t="s">
        <v>440</v>
      </c>
      <c r="E48" s="4" t="s">
        <v>368</v>
      </c>
      <c r="F48" s="4" t="s">
        <v>435</v>
      </c>
      <c r="G48" s="4" t="s">
        <v>436</v>
      </c>
      <c r="H48" s="4" t="s">
        <v>437</v>
      </c>
      <c r="I48" s="4" t="s">
        <v>404</v>
      </c>
    </row>
    <row r="49" spans="1:9">
      <c r="A49" s="4">
        <v>27</v>
      </c>
      <c r="B49" s="4" t="s">
        <v>439</v>
      </c>
      <c r="C49" s="4">
        <v>128</v>
      </c>
      <c r="D49" s="4" t="s">
        <v>440</v>
      </c>
      <c r="E49" s="4" t="s">
        <v>368</v>
      </c>
      <c r="F49" s="4" t="s">
        <v>435</v>
      </c>
      <c r="G49" s="4" t="s">
        <v>436</v>
      </c>
      <c r="H49" s="4" t="s">
        <v>437</v>
      </c>
      <c r="I49" s="4" t="s">
        <v>404</v>
      </c>
    </row>
    <row r="50" spans="1:9">
      <c r="A50" s="4">
        <v>28</v>
      </c>
      <c r="B50" s="4" t="s">
        <v>438</v>
      </c>
      <c r="C50" s="4">
        <v>4</v>
      </c>
      <c r="D50" s="4" t="s">
        <v>440</v>
      </c>
      <c r="E50" s="4" t="s">
        <v>368</v>
      </c>
      <c r="F50" s="4" t="s">
        <v>435</v>
      </c>
      <c r="G50" s="4" t="s">
        <v>436</v>
      </c>
      <c r="H50" s="4" t="s">
        <v>437</v>
      </c>
      <c r="I50" s="4" t="s">
        <v>404</v>
      </c>
    </row>
    <row r="51" spans="1:9">
      <c r="A51" s="4">
        <v>29</v>
      </c>
      <c r="B51" s="4" t="s">
        <v>439</v>
      </c>
      <c r="C51" s="4">
        <v>128</v>
      </c>
      <c r="D51" s="4" t="s">
        <v>440</v>
      </c>
      <c r="E51" s="4" t="s">
        <v>368</v>
      </c>
      <c r="F51" s="4" t="s">
        <v>435</v>
      </c>
      <c r="G51" s="4" t="s">
        <v>436</v>
      </c>
      <c r="H51" s="4" t="s">
        <v>437</v>
      </c>
      <c r="I51" s="4" t="s">
        <v>404</v>
      </c>
    </row>
    <row r="52" spans="1:9">
      <c r="A52" s="4">
        <v>30</v>
      </c>
      <c r="B52" s="4" t="s">
        <v>438</v>
      </c>
      <c r="C52" s="4">
        <v>4</v>
      </c>
      <c r="D52" s="4" t="s">
        <v>440</v>
      </c>
      <c r="E52" s="4" t="s">
        <v>368</v>
      </c>
      <c r="F52" s="4" t="s">
        <v>435</v>
      </c>
      <c r="G52" s="4" t="s">
        <v>436</v>
      </c>
      <c r="H52" s="4" t="s">
        <v>437</v>
      </c>
      <c r="I52" s="4" t="s">
        <v>404</v>
      </c>
    </row>
    <row r="53" spans="1:9">
      <c r="A53" s="4">
        <v>31</v>
      </c>
      <c r="B53" s="4" t="s">
        <v>439</v>
      </c>
      <c r="C53" s="4">
        <v>128</v>
      </c>
      <c r="D53" s="4" t="s">
        <v>440</v>
      </c>
      <c r="E53" s="4" t="s">
        <v>368</v>
      </c>
      <c r="F53" s="4" t="s">
        <v>435</v>
      </c>
      <c r="G53" s="4" t="s">
        <v>436</v>
      </c>
      <c r="H53" s="4" t="s">
        <v>437</v>
      </c>
      <c r="I53" s="4" t="s">
        <v>404</v>
      </c>
    </row>
    <row r="54" spans="1:9">
      <c r="A54" s="4">
        <v>32</v>
      </c>
      <c r="B54" s="4" t="s">
        <v>438</v>
      </c>
      <c r="C54" s="4">
        <v>4</v>
      </c>
      <c r="D54" s="4" t="s">
        <v>440</v>
      </c>
      <c r="E54" s="4" t="s">
        <v>368</v>
      </c>
      <c r="F54" s="4" t="s">
        <v>435</v>
      </c>
      <c r="G54" s="4" t="s">
        <v>436</v>
      </c>
      <c r="H54" s="4" t="s">
        <v>437</v>
      </c>
      <c r="I54" s="4" t="s">
        <v>404</v>
      </c>
    </row>
    <row r="55" spans="1:9">
      <c r="A55" s="4">
        <v>33</v>
      </c>
      <c r="B55" s="4" t="s">
        <v>439</v>
      </c>
      <c r="C55" s="4">
        <v>128</v>
      </c>
      <c r="D55" s="4" t="s">
        <v>440</v>
      </c>
      <c r="E55" s="4" t="s">
        <v>368</v>
      </c>
      <c r="F55" s="4" t="s">
        <v>435</v>
      </c>
      <c r="G55" s="4" t="s">
        <v>436</v>
      </c>
      <c r="H55" s="4" t="s">
        <v>437</v>
      </c>
      <c r="I55" s="4" t="s">
        <v>404</v>
      </c>
    </row>
    <row r="56" spans="1:9">
      <c r="A56" s="4">
        <v>34</v>
      </c>
      <c r="B56" s="4" t="s">
        <v>438</v>
      </c>
      <c r="C56" s="4">
        <v>4</v>
      </c>
      <c r="D56" s="4" t="s">
        <v>440</v>
      </c>
      <c r="E56" s="4" t="s">
        <v>368</v>
      </c>
      <c r="F56" s="4" t="s">
        <v>435</v>
      </c>
      <c r="G56" s="4" t="s">
        <v>436</v>
      </c>
      <c r="H56" s="4" t="s">
        <v>437</v>
      </c>
      <c r="I56" s="4" t="s">
        <v>404</v>
      </c>
    </row>
    <row r="57" spans="1:9">
      <c r="A57" s="4">
        <v>35</v>
      </c>
      <c r="B57" s="4" t="s">
        <v>439</v>
      </c>
      <c r="C57" s="4">
        <v>128</v>
      </c>
      <c r="D57" s="4" t="s">
        <v>440</v>
      </c>
      <c r="E57" s="4" t="s">
        <v>368</v>
      </c>
      <c r="F57" s="4" t="s">
        <v>435</v>
      </c>
      <c r="G57" s="4" t="s">
        <v>436</v>
      </c>
      <c r="H57" s="4" t="s">
        <v>437</v>
      </c>
      <c r="I57" s="4" t="s">
        <v>404</v>
      </c>
    </row>
    <row r="58" spans="1:9">
      <c r="A58" s="4">
        <v>36</v>
      </c>
      <c r="B58" s="4" t="s">
        <v>438</v>
      </c>
      <c r="C58" s="4">
        <v>4</v>
      </c>
      <c r="D58" s="4" t="s">
        <v>440</v>
      </c>
      <c r="E58" s="4" t="s">
        <v>368</v>
      </c>
      <c r="F58" s="4" t="s">
        <v>435</v>
      </c>
      <c r="G58" s="4" t="s">
        <v>436</v>
      </c>
      <c r="H58" s="4" t="s">
        <v>437</v>
      </c>
      <c r="I58" s="4" t="s">
        <v>404</v>
      </c>
    </row>
    <row r="59" spans="1:9">
      <c r="A59" s="4">
        <v>37</v>
      </c>
      <c r="B59" s="4" t="s">
        <v>439</v>
      </c>
      <c r="C59" s="4">
        <v>128</v>
      </c>
      <c r="D59" s="4" t="s">
        <v>440</v>
      </c>
      <c r="E59" s="4" t="s">
        <v>368</v>
      </c>
      <c r="F59" s="4" t="s">
        <v>435</v>
      </c>
      <c r="G59" s="4" t="s">
        <v>436</v>
      </c>
      <c r="H59" s="4" t="s">
        <v>437</v>
      </c>
      <c r="I59" s="4" t="s">
        <v>404</v>
      </c>
    </row>
    <row r="60" spans="1:9">
      <c r="A60" s="4">
        <v>38</v>
      </c>
      <c r="B60" s="4" t="s">
        <v>438</v>
      </c>
      <c r="C60" s="4">
        <v>4</v>
      </c>
      <c r="D60" s="4" t="s">
        <v>440</v>
      </c>
      <c r="E60" s="4" t="s">
        <v>368</v>
      </c>
      <c r="F60" s="4" t="s">
        <v>435</v>
      </c>
      <c r="G60" s="4" t="s">
        <v>436</v>
      </c>
      <c r="H60" s="4" t="s">
        <v>437</v>
      </c>
      <c r="I60" s="4" t="s">
        <v>404</v>
      </c>
    </row>
    <row r="61" spans="1:9">
      <c r="A61" s="4">
        <v>39</v>
      </c>
      <c r="B61" s="4" t="s">
        <v>439</v>
      </c>
      <c r="C61" s="4">
        <v>128</v>
      </c>
      <c r="D61" s="4" t="s">
        <v>440</v>
      </c>
      <c r="E61" s="4" t="s">
        <v>368</v>
      </c>
      <c r="F61" s="4" t="s">
        <v>435</v>
      </c>
      <c r="G61" s="4" t="s">
        <v>436</v>
      </c>
      <c r="H61" s="4" t="s">
        <v>437</v>
      </c>
      <c r="I61" s="4" t="s">
        <v>404</v>
      </c>
    </row>
    <row r="62" spans="1:9">
      <c r="A62" s="4">
        <v>40</v>
      </c>
      <c r="B62" s="4" t="s">
        <v>438</v>
      </c>
      <c r="C62" s="4">
        <v>4</v>
      </c>
      <c r="D62" s="4" t="s">
        <v>440</v>
      </c>
      <c r="E62" s="4" t="s">
        <v>368</v>
      </c>
      <c r="F62" s="4" t="s">
        <v>435</v>
      </c>
      <c r="G62" s="4" t="s">
        <v>436</v>
      </c>
      <c r="H62" s="4" t="s">
        <v>437</v>
      </c>
      <c r="I62" s="4" t="s">
        <v>404</v>
      </c>
    </row>
    <row r="63" spans="1:9">
      <c r="A63" s="4">
        <v>41</v>
      </c>
      <c r="B63" s="4" t="s">
        <v>439</v>
      </c>
      <c r="C63" s="4">
        <v>128</v>
      </c>
      <c r="D63" s="4" t="s">
        <v>440</v>
      </c>
      <c r="E63" s="4" t="s">
        <v>368</v>
      </c>
      <c r="F63" s="4" t="s">
        <v>435</v>
      </c>
      <c r="G63" s="4" t="s">
        <v>436</v>
      </c>
      <c r="H63" s="4" t="s">
        <v>437</v>
      </c>
      <c r="I63" s="4" t="s">
        <v>404</v>
      </c>
    </row>
    <row r="64" spans="1:9">
      <c r="A64" s="4">
        <v>42</v>
      </c>
      <c r="B64" s="4" t="s">
        <v>438</v>
      </c>
      <c r="C64" s="4">
        <v>4</v>
      </c>
      <c r="D64" s="4" t="s">
        <v>440</v>
      </c>
      <c r="E64" s="4" t="s">
        <v>368</v>
      </c>
      <c r="F64" s="4" t="s">
        <v>435</v>
      </c>
      <c r="G64" s="4" t="s">
        <v>436</v>
      </c>
      <c r="H64" s="4" t="s">
        <v>437</v>
      </c>
      <c r="I64" s="4" t="s">
        <v>404</v>
      </c>
    </row>
  </sheetData>
  <mergeCells count="1">
    <mergeCell ref="A20:I20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/>
  </sheetViews>
  <sheetFormatPr defaultRowHeight="15"/>
  <cols>
    <col min="1" max="1" width="25.7109375" customWidth="1"/>
    <col min="2" max="5" width="20.7109375" customWidth="1"/>
    <col min="8" max="8" width="0" hidden="1" customWidth="1"/>
  </cols>
  <sheetData>
    <row r="1" spans="1:5">
      <c r="A1" s="1" t="s">
        <v>441</v>
      </c>
    </row>
    <row r="2" spans="1:5">
      <c r="A2" s="2" t="s">
        <v>442</v>
      </c>
    </row>
    <row r="4" spans="1:5">
      <c r="A4" s="3" t="s">
        <v>297</v>
      </c>
      <c r="B4" s="3" t="s">
        <v>443</v>
      </c>
      <c r="C4" s="3" t="s">
        <v>444</v>
      </c>
      <c r="D4" s="3" t="s">
        <v>445</v>
      </c>
      <c r="E4" s="3" t="s">
        <v>446</v>
      </c>
    </row>
    <row r="5" spans="1:5">
      <c r="A5" s="4" t="s">
        <v>41</v>
      </c>
      <c r="B5" s="40">
        <f>'Prefill_8K'!$AE$13/1e+12</f>
        <v>102.836037746688</v>
      </c>
      <c r="C5" s="40">
        <f>'Prefill_8K'!$AF$13/1e+12</f>
        <v>23.172382457856</v>
      </c>
      <c r="D5" s="41">
        <f>'Decode_1M'!$AE$13/1e+09</f>
        <v>123.969470464</v>
      </c>
      <c r="E5" s="41">
        <f>'Decode_1M'!$AF$13/1e+09</f>
        <v>19.452461056</v>
      </c>
    </row>
    <row r="6" spans="1:5">
      <c r="A6" s="4" t="s">
        <v>60</v>
      </c>
      <c r="B6" s="40">
        <f>'Prefill_8K'!$AE$14/1e+12</f>
        <v>124.846109360128</v>
      </c>
      <c r="C6" s="40">
        <f>'Prefill_8K'!$AF$14/1e+12</f>
        <v>31.765578121216</v>
      </c>
      <c r="D6" s="41">
        <f>'Decode_1M'!$AE$14/1e+09</f>
        <v>15.240003584</v>
      </c>
      <c r="E6" s="41">
        <f>'Decode_1M'!$AF$14/1e+09</f>
        <v>3.877634048</v>
      </c>
    </row>
    <row r="7" spans="1:5">
      <c r="A7" s="4" t="s">
        <v>263</v>
      </c>
      <c r="B7" s="40">
        <f>'Prefill_8K'!$AE$15/1e+12</f>
        <v>0.702280286208</v>
      </c>
      <c r="C7" s="40">
        <f>'Prefill_8K'!$AF$15/1e+12</f>
        <v>0.701353607168</v>
      </c>
      <c r="D7" s="41">
        <f>'Decode_1M'!$AE$15/1e+09</f>
        <v>1.144660054</v>
      </c>
      <c r="E7" s="41">
        <f>'Decode_1M'!$AF$15/1e+09</f>
        <v>0.217981014</v>
      </c>
    </row>
    <row r="10" spans="1:5">
      <c r="A10" s="3" t="s">
        <v>297</v>
      </c>
      <c r="B10" s="3" t="s">
        <v>443</v>
      </c>
      <c r="C10" s="3" t="s">
        <v>444</v>
      </c>
      <c r="D10" s="3" t="s">
        <v>445</v>
      </c>
      <c r="E10" s="3" t="s">
        <v>446</v>
      </c>
    </row>
    <row r="11" spans="1:5">
      <c r="A11" s="4" t="s">
        <v>41</v>
      </c>
      <c r="B11" s="38">
        <f>'Prefill_8K'!$AE$17/1E9</f>
        <v>358.0378144</v>
      </c>
      <c r="C11" s="38">
        <f>'Prefill_8K'!$AF$17/1E9</f>
        <v>231.531806144</v>
      </c>
      <c r="D11" s="38">
        <f>'Decode_1M'!$AE$17/1E9</f>
        <v>10.492228352</v>
      </c>
      <c r="E11" s="38">
        <f>'Decode_1M'!$AF$17/1E9</f>
        <v>4.035232528</v>
      </c>
    </row>
    <row r="12" spans="1:5">
      <c r="A12" s="4" t="s">
        <v>60</v>
      </c>
      <c r="B12" s="38">
        <f>'Prefill_8K'!$AE$18/1E9</f>
        <v>191.988670976</v>
      </c>
      <c r="C12" s="38">
        <f>'Prefill_8K'!$AF$18/1E9</f>
        <v>32.915497472</v>
      </c>
      <c r="D12" s="38">
        <f>'Decode_1M'!$AE$18/1E9</f>
        <v>4.627033672</v>
      </c>
      <c r="E12" s="38">
        <f>'Decode_1M'!$AF$18/1E9</f>
        <v>1.605205576</v>
      </c>
    </row>
    <row r="13" spans="1:5">
      <c r="A13" s="4" t="s">
        <v>263</v>
      </c>
      <c r="B13" s="38">
        <f>'Prefill_8K'!$AE$19/1E9</f>
        <v>94.59572948</v>
      </c>
      <c r="C13" s="38">
        <f>'Prefill_8K'!$AF$19/1E9</f>
        <v>92.74191892</v>
      </c>
      <c r="D13" s="38">
        <f>'Decode_1M'!$AE$19/1E9</f>
        <v>2.265204808</v>
      </c>
      <c r="E13" s="38">
        <f>'Decode_1M'!$AF$19/1E9</f>
        <v>0.411394248</v>
      </c>
    </row>
    <row r="16" spans="1:5">
      <c r="A16" s="3" t="s">
        <v>447</v>
      </c>
      <c r="B16" s="3" t="s">
        <v>448</v>
      </c>
      <c r="C16" s="3" t="s">
        <v>449</v>
      </c>
    </row>
    <row r="17" spans="1:8">
      <c r="A17" s="4" t="s">
        <v>41</v>
      </c>
      <c r="B17" s="38">
        <f>'Memory'!$R$18/1E9</f>
        <v>7.45138496</v>
      </c>
      <c r="C17" s="38">
        <f>'Memory'!$S$18/1E9</f>
        <v>2.23750496</v>
      </c>
    </row>
    <row r="18" spans="1:8">
      <c r="A18" s="4" t="s">
        <v>60</v>
      </c>
      <c r="B18" s="38">
        <f>'Memory'!$R$19/1E9</f>
        <v>148.351461888</v>
      </c>
      <c r="C18" s="38">
        <f>'Memory'!$S$19/1E9</f>
        <v>19.57794048</v>
      </c>
    </row>
    <row r="19" spans="1:8">
      <c r="A19" s="4" t="s">
        <v>263</v>
      </c>
      <c r="B19" s="38">
        <f>'Memory'!$R$20/1E9</f>
        <v>3.314423644</v>
      </c>
      <c r="C19" s="38">
        <f>'Memory'!$S$20/1E9</f>
        <v>0.534376892</v>
      </c>
    </row>
    <row r="20" spans="1:8">
      <c r="A20" s="2" t="s">
        <v>450</v>
      </c>
    </row>
    <row r="22" spans="1:8">
      <c r="A22" s="3" t="s">
        <v>451</v>
      </c>
      <c r="B22" s="3" t="s">
        <v>448</v>
      </c>
      <c r="C22" s="3" t="s">
        <v>449</v>
      </c>
    </row>
    <row r="23" spans="1:8">
      <c r="A23" s="4" t="s">
        <v>452</v>
      </c>
      <c r="B23" s="38">
        <f>('Memory'!$R$21)/1E9</f>
        <v>159.117270492</v>
      </c>
      <c r="C23" s="38">
        <f>('Memory'!$S$21)/1E9</f>
        <v>22.349822332</v>
      </c>
    </row>
    <row r="24" spans="1:8">
      <c r="A24" s="4" t="s">
        <v>453</v>
      </c>
      <c r="B24" s="38">
        <f>('Memory'!$P$29)/1E9</f>
        <v>7.232045056</v>
      </c>
      <c r="C24" s="38">
        <f>('Memory'!$Q$29)/1E9</f>
        <v>7.232045056</v>
      </c>
    </row>
    <row r="25" spans="1:8">
      <c r="A25" s="4" t="s">
        <v>454</v>
      </c>
      <c r="B25" s="38">
        <f>('Memory'!$R$21+'Memory'!$P$29)/1E9</f>
        <v>166.349315548</v>
      </c>
      <c r="C25" s="38">
        <f>('Memory'!$S$21+'Memory'!$Q$29)/1E9</f>
        <v>29.581867388</v>
      </c>
    </row>
    <row r="30" spans="1:8">
      <c r="A30" s="3" t="s">
        <v>455</v>
      </c>
      <c r="B30" s="3" t="s">
        <v>456</v>
      </c>
    </row>
    <row r="31" spans="1:8">
      <c r="A31" s="4" t="s">
        <v>457</v>
      </c>
      <c r="B31" s="35" t="str">
        <f>TEXT(IF(ABS(H31)&gt;=1E15,H31/1E15,IF(ABS(H31)&gt;=1E12,H31/1E12,IF(ABS(H31)&gt;=1E9,H31/1E9,IF(ABS(H31)&gt;=1E6,H31/1E6,H31)))),"#,##0.000")&amp;IF((IF(ABS(H31)&gt;=1E15,"PFLOPs",IF(ABS(H31)&gt;=1E12,"TFLOPs",IF(ABS(H31)&gt;=1E9,"GFLOPs",IF(ABS(H31)&gt;=1E6,"MFLOPs","flops")))))="",""," "&amp;(IF(ABS(H31)&gt;=1E15,"PFLOPs",IF(ABS(H31)&gt;=1E12,"TFLOPs",IF(ABS(H31)&gt;=1E9,"GFLOPs",IF(ABS(H31)&gt;=1E6,"MFLOPs","flops"))))))</f>
        <v>228.384 TFLOPs</v>
      </c>
      <c r="H31" s="36">
        <f>'Prefill_8K'!$AE$16</f>
        <v>228384427393024.0</v>
      </c>
    </row>
    <row r="32" spans="1:8">
      <c r="A32" s="4" t="s">
        <v>458</v>
      </c>
      <c r="B32" s="35" t="str">
        <f>TEXT(IF(ABS(H32)&gt;=1E15,H32/1E15,IF(ABS(H32)&gt;=1E12,H32/1E12,IF(ABS(H32)&gt;=1E9,H32/1E9,IF(ABS(H32)&gt;=1E6,H32/1E6,H32)))),"#,##0.000")&amp;IF((IF(ABS(H32)&gt;=1E15,"PFLOPs",IF(ABS(H32)&gt;=1E12,"TFLOPs",IF(ABS(H32)&gt;=1E9,"GFLOPs",IF(ABS(H32)&gt;=1E6,"MFLOPs","flops")))))="",""," "&amp;(IF(ABS(H32)&gt;=1E15,"PFLOPs",IF(ABS(H32)&gt;=1E12,"TFLOPs",IF(ABS(H32)&gt;=1E9,"GFLOPs",IF(ABS(H32)&gt;=1E6,"MFLOPs","flops"))))))</f>
        <v>55.639 TFLOPs</v>
      </c>
      <c r="H32" s="36">
        <f>'Prefill_8K'!$AF$16</f>
        <v>55639314186240.0</v>
      </c>
    </row>
    <row r="33" spans="1:8">
      <c r="A33" s="4" t="s">
        <v>459</v>
      </c>
      <c r="B33" s="35" t="str">
        <f>TEXT(IF(ABS(H33)&gt;=1E15,H33/1E15,IF(ABS(H33)&gt;=1E12,H33/1E12,IF(ABS(H33)&gt;=1E9,H33/1E9,IF(ABS(H33)&gt;=1E6,H33/1E6,H33)))),"#,##0.000")&amp;IF((IF(ABS(H33)&gt;=1E15,"PFLOPs",IF(ABS(H33)&gt;=1E12,"TFLOPs",IF(ABS(H33)&gt;=1E9,"GFLOPs",IF(ABS(H33)&gt;=1E6,"MFLOPs","flops")))))="",""," "&amp;(IF(ABS(H33)&gt;=1E15,"PFLOPs",IF(ABS(H33)&gt;=1E12,"TFLOPs",IF(ABS(H33)&gt;=1E9,"GFLOPs",IF(ABS(H33)&gt;=1E6,"MFLOPs","flops"))))))</f>
        <v>140.354 GFLOPs</v>
      </c>
      <c r="H33" s="36">
        <f>'Decode_1M'!$AE$16</f>
        <v>140354134102.0</v>
      </c>
    </row>
    <row r="34" spans="1:8">
      <c r="A34" s="4" t="s">
        <v>460</v>
      </c>
      <c r="B34" s="35" t="str">
        <f>TEXT(IF(ABS(H34)&gt;=1E15,H34/1E15,IF(ABS(H34)&gt;=1E12,H34/1E12,IF(ABS(H34)&gt;=1E9,H34/1E9,IF(ABS(H34)&gt;=1E6,H34/1E6,H34)))),"#,##0.000")&amp;IF((IF(ABS(H34)&gt;=1E15,"PFLOPs",IF(ABS(H34)&gt;=1E12,"TFLOPs",IF(ABS(H34)&gt;=1E9,"GFLOPs",IF(ABS(H34)&gt;=1E6,"MFLOPs","flops")))))="",""," "&amp;(IF(ABS(H34)&gt;=1E15,"PFLOPs",IF(ABS(H34)&gt;=1E12,"TFLOPs",IF(ABS(H34)&gt;=1E9,"GFLOPs",IF(ABS(H34)&gt;=1E6,"MFLOPs","flops"))))))</f>
        <v>23.548 GFLOPs</v>
      </c>
      <c r="H34" s="36">
        <f>'Decode_1M'!$AF$16</f>
        <v>23548076118.0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461</v>
      </c>
    </row>
    <row r="3" spans="1:2">
      <c r="A3" s="3" t="s">
        <v>462</v>
      </c>
      <c r="B3" s="3" t="s">
        <v>463</v>
      </c>
    </row>
    <row r="4" spans="1:2">
      <c r="A4" s="4" t="s">
        <v>464</v>
      </c>
      <c r="B4" s="4" t="s">
        <v>465</v>
      </c>
    </row>
    <row r="5" spans="1:2">
      <c r="A5" s="4" t="s">
        <v>466</v>
      </c>
      <c r="B5" s="4" t="s">
        <v>467</v>
      </c>
    </row>
    <row r="6" spans="1:2">
      <c r="A6" s="4" t="s">
        <v>468</v>
      </c>
      <c r="B6" s="4" t="s">
        <v>469</v>
      </c>
    </row>
    <row r="7" spans="1:2">
      <c r="A7" s="4" t="s">
        <v>470</v>
      </c>
      <c r="B7" s="4" t="s">
        <v>471</v>
      </c>
    </row>
    <row r="8" spans="1:2">
      <c r="A8" s="4" t="s">
        <v>60</v>
      </c>
      <c r="B8" s="4" t="s">
        <v>472</v>
      </c>
    </row>
    <row r="9" spans="1:2">
      <c r="A9" s="4" t="s">
        <v>473</v>
      </c>
      <c r="B9" s="4" t="s">
        <v>474</v>
      </c>
    </row>
    <row r="10" spans="1:2">
      <c r="A10" s="4" t="s">
        <v>475</v>
      </c>
      <c r="B10" s="4" t="s">
        <v>476</v>
      </c>
    </row>
    <row r="11" spans="1:2">
      <c r="A11" s="4" t="s">
        <v>477</v>
      </c>
      <c r="B11" s="4" t="s">
        <v>478</v>
      </c>
    </row>
    <row r="12" spans="1:2">
      <c r="A12" s="4" t="s">
        <v>479</v>
      </c>
      <c r="B12" s="4" t="s">
        <v>480</v>
      </c>
    </row>
    <row r="13" spans="1:2">
      <c r="A13" s="4" t="s">
        <v>481</v>
      </c>
      <c r="B13" s="4" t="s">
        <v>482</v>
      </c>
    </row>
    <row r="14" spans="1:2">
      <c r="A14" s="4" t="s">
        <v>483</v>
      </c>
      <c r="B14" s="4" t="s">
        <v>484</v>
      </c>
    </row>
    <row r="15" spans="1:2">
      <c r="A15" s="4" t="s">
        <v>485</v>
      </c>
      <c r="B15" s="4" t="s">
        <v>486</v>
      </c>
    </row>
    <row r="16" spans="1:2">
      <c r="A16" s="4" t="s">
        <v>487</v>
      </c>
      <c r="B16" s="4" t="s">
        <v>488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3" width="18.7109375" customWidth="1"/>
    <col min="4" max="4" width="62.7109375" customWidth="1"/>
    <col min="7" max="8" width="0" hidden="1" customWidth="1"/>
  </cols>
  <sheetData>
    <row r="1" spans="1:8">
      <c r="A1" s="1" t="s">
        <v>489</v>
      </c>
    </row>
    <row r="2" spans="1:8">
      <c r="A2" s="2" t="s">
        <v>490</v>
      </c>
    </row>
    <row r="4" spans="1:8">
      <c r="A4" s="27" t="s">
        <v>491</v>
      </c>
      <c r="B4" s="27"/>
      <c r="C4" s="27"/>
      <c r="D4" s="27"/>
    </row>
    <row r="5" spans="1:8">
      <c r="A5" s="3" t="s">
        <v>492</v>
      </c>
      <c r="B5" s="3" t="s">
        <v>493</v>
      </c>
      <c r="C5" s="3" t="s">
        <v>494</v>
      </c>
      <c r="D5" s="3" t="s">
        <v>304</v>
      </c>
    </row>
    <row r="6" spans="1:8">
      <c r="A6" s="4" t="s">
        <v>495</v>
      </c>
      <c r="B6" s="35" t="str">
        <f>TEXT(IF(ABS(G6)&gt;=1E15,G6/1E15,IF(ABS(G6)&gt;=1E12,G6/1E12,IF(ABS(G6)&gt;=1E9,G6/1E9,IF(ABS(G6)&gt;=1E6,G6/1E6,G6)))),"#,##0.000")&amp;IF((IF(ABS(G6)&gt;=1E15,"PFLOPs",IF(ABS(G6)&gt;=1E12,"TFLOPs",IF(ABS(G6)&gt;=1E9,"GFLOPs",IF(ABS(G6)&gt;=1E6,"MFLOPs","flops")))))="",""," "&amp;(IF(ABS(G6)&gt;=1E15,"PFLOPs",IF(ABS(G6)&gt;=1E12,"TFLOPs",IF(ABS(G6)&gt;=1E9,"GFLOPs",IF(ABS(G6)&gt;=1E6,"MFLOPs","flops"))))))</f>
        <v>102.836 TFLOPs</v>
      </c>
      <c r="C6" s="35" t="str">
        <f>TEXT(IF(ABS(H6)&gt;=1E15,H6/1E15,IF(ABS(H6)&gt;=1E12,H6/1E12,IF(ABS(H6)&gt;=1E9,H6/1E9,IF(ABS(H6)&gt;=1E6,H6/1E6,H6)))),"#,##0.000")&amp;IF((IF(ABS(H6)&gt;=1E15,"PFLOPs",IF(ABS(H6)&gt;=1E12,"TFLOPs",IF(ABS(H6)&gt;=1E9,"GFLOPs",IF(ABS(H6)&gt;=1E6,"MFLOPs","flops")))))="",""," "&amp;(IF(ABS(H6)&gt;=1E15,"PFLOPs",IF(ABS(H6)&gt;=1E12,"TFLOPs",IF(ABS(H6)&gt;=1E9,"GFLOPs",IF(ABS(H6)&gt;=1E6,"MFLOPs","flops"))))))</f>
        <v>123.969 GFLOPs</v>
      </c>
      <c r="D6" s="4" t="s">
        <v>496</v>
      </c>
      <c r="G6" s="36">
        <f>'Prefill_8K'!$AE$13</f>
        <v>102836037746688.0</v>
      </c>
      <c r="H6" s="36">
        <f>'Decode_1M'!$AE$13</f>
        <v>123969470464.0</v>
      </c>
    </row>
    <row r="7" spans="1:8">
      <c r="A7" s="4" t="s">
        <v>497</v>
      </c>
      <c r="B7" s="35" t="str">
        <f>TEXT(IF(ABS(G7)&gt;=1E15,G7/1E15,IF(ABS(G7)&gt;=1E12,G7/1E12,IF(ABS(G7)&gt;=1E9,G7/1E9,IF(ABS(G7)&gt;=1E6,G7/1E6,G7)))),"#,##0.000")&amp;IF((IF(ABS(G7)&gt;=1E15,"PFLOPs",IF(ABS(G7)&gt;=1E12,"TFLOPs",IF(ABS(G7)&gt;=1E9,"GFLOPs",IF(ABS(G7)&gt;=1E6,"MFLOPs","flops")))))="",""," "&amp;(IF(ABS(G7)&gt;=1E15,"PFLOPs",IF(ABS(G7)&gt;=1E12,"TFLOPs",IF(ABS(G7)&gt;=1E9,"GFLOPs",IF(ABS(G7)&gt;=1E6,"MFLOPs","flops"))))))</f>
        <v>124.846 TFLOPs</v>
      </c>
      <c r="C7" s="35" t="str">
        <f>TEXT(IF(ABS(H7)&gt;=1E15,H7/1E15,IF(ABS(H7)&gt;=1E12,H7/1E12,IF(ABS(H7)&gt;=1E9,H7/1E9,IF(ABS(H7)&gt;=1E6,H7/1E6,H7)))),"#,##0.000")&amp;IF((IF(ABS(H7)&gt;=1E15,"PFLOPs",IF(ABS(H7)&gt;=1E12,"TFLOPs",IF(ABS(H7)&gt;=1E9,"GFLOPs",IF(ABS(H7)&gt;=1E6,"MFLOPs","flops")))))="",""," "&amp;(IF(ABS(H7)&gt;=1E15,"PFLOPs",IF(ABS(H7)&gt;=1E12,"TFLOPs",IF(ABS(H7)&gt;=1E9,"GFLOPs",IF(ABS(H7)&gt;=1E6,"MFLOPs","flops"))))))</f>
        <v>15.240 GFLOPs</v>
      </c>
      <c r="D7" s="4" t="s">
        <v>496</v>
      </c>
      <c r="G7" s="36">
        <f>'Prefill_8K'!$AE$14</f>
        <v>124846109360128.0</v>
      </c>
      <c r="H7" s="36">
        <f>'Decode_1M'!$AE$14</f>
        <v>15240003584.0</v>
      </c>
    </row>
    <row r="8" spans="1:8">
      <c r="A8" s="4" t="s">
        <v>498</v>
      </c>
      <c r="B8" s="35" t="str">
        <f>TEXT(IF(ABS(G8)&gt;=1E15,G8/1E15,IF(ABS(G8)&gt;=1E12,G8/1E12,IF(ABS(G8)&gt;=1E9,G8/1E9,IF(ABS(G8)&gt;=1E6,G8/1E6,G8)))),"#,##0.000")&amp;IF((IF(ABS(G8)&gt;=1E15,"PFLOPs",IF(ABS(G8)&gt;=1E12,"TFLOPs",IF(ABS(G8)&gt;=1E9,"GFLOPs",IF(ABS(G8)&gt;=1E6,"MFLOPs","flops")))))="",""," "&amp;(IF(ABS(G8)&gt;=1E15,"PFLOPs",IF(ABS(G8)&gt;=1E12,"TFLOPs",IF(ABS(G8)&gt;=1E9,"GFLOPs",IF(ABS(G8)&gt;=1E6,"MFLOPs","flops"))))))</f>
        <v>702.280 GFLOPs</v>
      </c>
      <c r="C8" s="35" t="str">
        <f>TEXT(IF(ABS(H8)&gt;=1E15,H8/1E15,IF(ABS(H8)&gt;=1E12,H8/1E12,IF(ABS(H8)&gt;=1E9,H8/1E9,IF(ABS(H8)&gt;=1E6,H8/1E6,H8)))),"#,##0.000")&amp;IF((IF(ABS(H8)&gt;=1E15,"PFLOPs",IF(ABS(H8)&gt;=1E12,"TFLOPs",IF(ABS(H8)&gt;=1E9,"GFLOPs",IF(ABS(H8)&gt;=1E6,"MFLOPs","flops")))))="",""," "&amp;(IF(ABS(H8)&gt;=1E15,"PFLOPs",IF(ABS(H8)&gt;=1E12,"TFLOPs",IF(ABS(H8)&gt;=1E9,"GFLOPs",IF(ABS(H8)&gt;=1E6,"MFLOPs","flops"))))))</f>
        <v>1.145 GFLOPs</v>
      </c>
      <c r="D8" s="4" t="s">
        <v>496</v>
      </c>
      <c r="G8" s="36">
        <f>'Prefill_8K'!$AE$15</f>
        <v>702280286208.0</v>
      </c>
      <c r="H8" s="36">
        <f>'Decode_1M'!$AE$15</f>
        <v>1144660054.0</v>
      </c>
    </row>
    <row r="9" spans="1:8">
      <c r="A9" s="37" t="s">
        <v>499</v>
      </c>
      <c r="B9" s="37" t="str">
        <f>TEXT(IF(ABS(G9)&gt;=1E15,G9/1E15,IF(ABS(G9)&gt;=1E12,G9/1E12,IF(ABS(G9)&gt;=1E9,G9/1E9,IF(ABS(G9)&gt;=1E6,G9/1E6,G9)))),"#,##0.000")&amp;IF((IF(ABS(G9)&gt;=1E15,"PFLOPs",IF(ABS(G9)&gt;=1E12,"TFLOPs",IF(ABS(G9)&gt;=1E9,"GFLOPs",IF(ABS(G9)&gt;=1E6,"MFLOPs","flops")))))="",""," "&amp;(IF(ABS(G9)&gt;=1E15,"PFLOPs",IF(ABS(G9)&gt;=1E12,"TFLOPs",IF(ABS(G9)&gt;=1E9,"GFLOPs",IF(ABS(G9)&gt;=1E6,"MFLOPs","flops"))))))</f>
        <v>228.384 TFLOPs</v>
      </c>
      <c r="C9" s="37" t="str">
        <f>TEXT(IF(ABS(H9)&gt;=1E15,H9/1E15,IF(ABS(H9)&gt;=1E12,H9/1E12,IF(ABS(H9)&gt;=1E9,H9/1E9,IF(ABS(H9)&gt;=1E6,H9/1E6,H9)))),"#,##0.000")&amp;IF((IF(ABS(H9)&gt;=1E15,"PFLOPs",IF(ABS(H9)&gt;=1E12,"TFLOPs",IF(ABS(H9)&gt;=1E9,"GFLOPs",IF(ABS(H9)&gt;=1E6,"MFLOPs","flops")))))="",""," "&amp;(IF(ABS(H9)&gt;=1E15,"PFLOPs",IF(ABS(H9)&gt;=1E12,"TFLOPs",IF(ABS(H9)&gt;=1E9,"GFLOPs",IF(ABS(H9)&gt;=1E6,"MFLOPs","flops"))))))</f>
        <v>140.354 GFLOPs</v>
      </c>
      <c r="D9" s="4" t="s">
        <v>496</v>
      </c>
      <c r="G9" s="36">
        <f>'Prefill_8K'!$AE$16</f>
        <v>228384427393024.0</v>
      </c>
      <c r="H9" s="36">
        <f>'Decode_1M'!$AE$16</f>
        <v>140354134102.0</v>
      </c>
    </row>
    <row r="10" spans="1:8">
      <c r="A10" s="4" t="s">
        <v>500</v>
      </c>
      <c r="B10" s="35" t="str">
        <f>TEXT(IF(ABS(G10)&gt;=1E12,G10/1E12,IF(ABS(G10)&gt;=1E9,G10/1E9,IF(ABS(G10)&gt;=1E6,G10/1E6,IF(ABS(G10)&gt;=1E3,G10/1E3,G10)))),"#,##0.000")&amp;IF((IF(ABS(G10)&gt;=1E12,"TB",IF(ABS(G10)&gt;=1E9,"GB",IF(ABS(G10)&gt;=1E6,"MB",IF(ABS(G10)&gt;=1E3,"KB","bytes")))))="",""," "&amp;(IF(ABS(G10)&gt;=1E12,"TB",IF(ABS(G10)&gt;=1E9,"GB",IF(ABS(G10)&gt;=1E6,"MB",IF(ABS(G10)&gt;=1E3,"KB","bytes"))))))</f>
        <v>358.038 GB</v>
      </c>
      <c r="C10" s="35" t="str">
        <f>TEXT(IF(ABS(H10)&gt;=1E12,H10/1E12,IF(ABS(H10)&gt;=1E9,H10/1E9,IF(ABS(H10)&gt;=1E6,H10/1E6,IF(ABS(H10)&gt;=1E3,H10/1E3,H10)))),"#,##0.000")&amp;IF((IF(ABS(H10)&gt;=1E12,"TB",IF(ABS(H10)&gt;=1E9,"GB",IF(ABS(H10)&gt;=1E6,"MB",IF(ABS(H10)&gt;=1E3,"KB","bytes")))))="",""," "&amp;(IF(ABS(H10)&gt;=1E12,"TB",IF(ABS(H10)&gt;=1E9,"GB",IF(ABS(H10)&gt;=1E6,"MB",IF(ABS(H10)&gt;=1E3,"KB","bytes"))))))</f>
        <v>10.492 GB</v>
      </c>
      <c r="D10" s="4" t="s">
        <v>501</v>
      </c>
      <c r="G10" s="36">
        <f>'Prefill_8K'!$AE$17</f>
        <v>358037814400.0</v>
      </c>
      <c r="H10" s="36">
        <f>'Decode_1M'!$AE$17</f>
        <v>10492228352.0</v>
      </c>
    </row>
    <row r="11" spans="1:8">
      <c r="A11" s="4" t="s">
        <v>502</v>
      </c>
      <c r="B11" s="35" t="str">
        <f>TEXT(IF(ABS(G11)&gt;=1E12,G11/1E12,IF(ABS(G11)&gt;=1E9,G11/1E9,IF(ABS(G11)&gt;=1E6,G11/1E6,IF(ABS(G11)&gt;=1E3,G11/1E3,G11)))),"#,##0.000")&amp;IF((IF(ABS(G11)&gt;=1E12,"TB",IF(ABS(G11)&gt;=1E9,"GB",IF(ABS(G11)&gt;=1E6,"MB",IF(ABS(G11)&gt;=1E3,"KB","bytes")))))="",""," "&amp;(IF(ABS(G11)&gt;=1E12,"TB",IF(ABS(G11)&gt;=1E9,"GB",IF(ABS(G11)&gt;=1E6,"MB",IF(ABS(G11)&gt;=1E3,"KB","bytes"))))))</f>
        <v>191.989 GB</v>
      </c>
      <c r="C11" s="35" t="str">
        <f>TEXT(IF(ABS(H11)&gt;=1E12,H11/1E12,IF(ABS(H11)&gt;=1E9,H11/1E9,IF(ABS(H11)&gt;=1E6,H11/1E6,IF(ABS(H11)&gt;=1E3,H11/1E3,H11)))),"#,##0.000")&amp;IF((IF(ABS(H11)&gt;=1E12,"TB",IF(ABS(H11)&gt;=1E9,"GB",IF(ABS(H11)&gt;=1E6,"MB",IF(ABS(H11)&gt;=1E3,"KB","bytes")))))="",""," "&amp;(IF(ABS(H11)&gt;=1E12,"TB",IF(ABS(H11)&gt;=1E9,"GB",IF(ABS(H11)&gt;=1E6,"MB",IF(ABS(H11)&gt;=1E3,"KB","bytes"))))))</f>
        <v>4.627 GB</v>
      </c>
      <c r="D11" s="4" t="s">
        <v>501</v>
      </c>
      <c r="G11" s="36">
        <f>'Prefill_8K'!$AE$18</f>
        <v>191988670976.0</v>
      </c>
      <c r="H11" s="36">
        <f>'Decode_1M'!$AE$18</f>
        <v>4627033672.0</v>
      </c>
    </row>
    <row r="12" spans="1:8">
      <c r="A12" s="4" t="s">
        <v>503</v>
      </c>
      <c r="B12" s="35" t="str">
        <f>TEXT(IF(ABS(G12)&gt;=1E12,G12/1E12,IF(ABS(G12)&gt;=1E9,G12/1E9,IF(ABS(G12)&gt;=1E6,G12/1E6,IF(ABS(G12)&gt;=1E3,G12/1E3,G12)))),"#,##0.000")&amp;IF((IF(ABS(G12)&gt;=1E12,"TB",IF(ABS(G12)&gt;=1E9,"GB",IF(ABS(G12)&gt;=1E6,"MB",IF(ABS(G12)&gt;=1E3,"KB","bytes")))))="",""," "&amp;(IF(ABS(G12)&gt;=1E12,"TB",IF(ABS(G12)&gt;=1E9,"GB",IF(ABS(G12)&gt;=1E6,"MB",IF(ABS(G12)&gt;=1E3,"KB","bytes"))))))</f>
        <v>94.596 GB</v>
      </c>
      <c r="C12" s="35" t="str">
        <f>TEXT(IF(ABS(H12)&gt;=1E12,H12/1E12,IF(ABS(H12)&gt;=1E9,H12/1E9,IF(ABS(H12)&gt;=1E6,H12/1E6,IF(ABS(H12)&gt;=1E3,H12/1E3,H12)))),"#,##0.000")&amp;IF((IF(ABS(H12)&gt;=1E12,"TB",IF(ABS(H12)&gt;=1E9,"GB",IF(ABS(H12)&gt;=1E6,"MB",IF(ABS(H12)&gt;=1E3,"KB","bytes")))))="",""," "&amp;(IF(ABS(H12)&gt;=1E12,"TB",IF(ABS(H12)&gt;=1E9,"GB",IF(ABS(H12)&gt;=1E6,"MB",IF(ABS(H12)&gt;=1E3,"KB","bytes"))))))</f>
        <v>2.265 GB</v>
      </c>
      <c r="D12" s="4" t="s">
        <v>501</v>
      </c>
      <c r="G12" s="36">
        <f>'Prefill_8K'!$AE$19</f>
        <v>94595729480.0</v>
      </c>
      <c r="H12" s="36">
        <f>'Decode_1M'!$AE$19</f>
        <v>2265204808.0</v>
      </c>
    </row>
    <row r="13" spans="1:8">
      <c r="A13" s="37" t="s">
        <v>504</v>
      </c>
      <c r="B13" s="37" t="str">
        <f>TEXT(IF(ABS(G13)&gt;=1E12,G13/1E12,IF(ABS(G13)&gt;=1E9,G13/1E9,IF(ABS(G13)&gt;=1E6,G13/1E6,IF(ABS(G13)&gt;=1E3,G13/1E3,G13)))),"#,##0.000")&amp;IF((IF(ABS(G13)&gt;=1E12,"TB",IF(ABS(G13)&gt;=1E9,"GB",IF(ABS(G13)&gt;=1E6,"MB",IF(ABS(G13)&gt;=1E3,"KB","bytes")))))="",""," "&amp;(IF(ABS(G13)&gt;=1E12,"TB",IF(ABS(G13)&gt;=1E9,"GB",IF(ABS(G13)&gt;=1E6,"MB",IF(ABS(G13)&gt;=1E3,"KB","bytes"))))))</f>
        <v>644.622 GB</v>
      </c>
      <c r="C13" s="37" t="str">
        <f>TEXT(IF(ABS(H13)&gt;=1E12,H13/1E12,IF(ABS(H13)&gt;=1E9,H13/1E9,IF(ABS(H13)&gt;=1E6,H13/1E6,IF(ABS(H13)&gt;=1E3,H13/1E3,H13)))),"#,##0.000")&amp;IF((IF(ABS(H13)&gt;=1E12,"TB",IF(ABS(H13)&gt;=1E9,"GB",IF(ABS(H13)&gt;=1E6,"MB",IF(ABS(H13)&gt;=1E3,"KB","bytes")))))="",""," "&amp;(IF(ABS(H13)&gt;=1E12,"TB",IF(ABS(H13)&gt;=1E9,"GB",IF(ABS(H13)&gt;=1E6,"MB",IF(ABS(H13)&gt;=1E3,"KB","bytes"))))))</f>
        <v>17.384 GB</v>
      </c>
      <c r="D13" s="4" t="s">
        <v>501</v>
      </c>
      <c r="G13" s="36">
        <f>'Prefill_8K'!$AE$20</f>
        <v>644622214856.0</v>
      </c>
      <c r="H13" s="36">
        <f>'Decode_1M'!$AE$20</f>
        <v>17384466832.0</v>
      </c>
    </row>
    <row r="14" spans="1:8">
      <c r="A14" s="4" t="s">
        <v>505</v>
      </c>
      <c r="B14" s="35" t="str">
        <f>TEXT(G14,"#,##0.000")&amp;" GB/s"</f>
        <v>358.038 GB/s</v>
      </c>
      <c r="C14" s="35" t="str">
        <f>TEXT(H14,"#,##0.000")&amp;" GB/s"</f>
        <v>1,049.223 GB/s</v>
      </c>
      <c r="D14" s="4" t="s">
        <v>506</v>
      </c>
      <c r="G14" s="36">
        <f>'Prefill_8K'!$AE$17/(PrefillTargetMs/1000)/1E9</f>
        <v>358.0378144</v>
      </c>
      <c r="H14" s="36">
        <f>'Decode_1M'!$AE$17/(DecodeTargetMs/1000)/1E9</f>
        <v>1049.2228352</v>
      </c>
    </row>
    <row r="15" spans="1:8">
      <c r="A15" s="4" t="s">
        <v>507</v>
      </c>
      <c r="B15" s="35" t="str">
        <f>TEXT(G15,"#,##0.000")&amp;" GB/s"</f>
        <v>191.989 GB/s</v>
      </c>
      <c r="C15" s="35" t="str">
        <f>TEXT(H15,"#,##0.000")&amp;" GB/s"</f>
        <v>462.703 GB/s</v>
      </c>
      <c r="D15" s="4" t="s">
        <v>506</v>
      </c>
      <c r="G15" s="36">
        <f>'Prefill_8K'!$AE$18/(PrefillTargetMs/1000)/1E9</f>
        <v>191.988670976</v>
      </c>
      <c r="H15" s="36">
        <f>'Decode_1M'!$AE$18/(DecodeTargetMs/1000)/1E9</f>
        <v>462.7033672</v>
      </c>
    </row>
    <row r="16" spans="1:8">
      <c r="A16" s="4" t="s">
        <v>508</v>
      </c>
      <c r="B16" s="35" t="str">
        <f>TEXT(G16,"#,##0.000")&amp;" GB/s"</f>
        <v>94.596 GB/s</v>
      </c>
      <c r="C16" s="35" t="str">
        <f>TEXT(H16,"#,##0.000")&amp;" GB/s"</f>
        <v>226.520 GB/s</v>
      </c>
      <c r="D16" s="4" t="s">
        <v>506</v>
      </c>
      <c r="G16" s="36">
        <f>'Prefill_8K'!$AE$19/(PrefillTargetMs/1000)/1E9</f>
        <v>94.59572948</v>
      </c>
      <c r="H16" s="36">
        <f>'Decode_1M'!$AE$19/(DecodeTargetMs/1000)/1E9</f>
        <v>226.5204808</v>
      </c>
    </row>
    <row r="17" spans="1:8">
      <c r="A17" s="4" t="s">
        <v>509</v>
      </c>
      <c r="B17" s="35" t="str">
        <f>TEXT(IF(ABS(G17)&gt;=1E15,G17/1E15,IF(ABS(G17)&gt;=1E12,G17/1E12,IF(ABS(G17)&gt;=1E9,G17/1E9,IF(ABS(G17)&gt;=1E6,G17/1E6,G17)))),"#,##0.000")&amp;IF((IF(ABS(G17)&gt;=1E15,"PFLOPs",IF(ABS(G17)&gt;=1E12,"TFLOPs",IF(ABS(G17)&gt;=1E9,"GFLOPs",IF(ABS(G17)&gt;=1E6,"MFLOPs","flops")))))="",""," "&amp;(IF(ABS(G17)&gt;=1E15,"PFLOPs",IF(ABS(G17)&gt;=1E12,"TFLOPs",IF(ABS(G17)&gt;=1E9,"GFLOPs",IF(ABS(G17)&gt;=1E6,"MFLOPs","flops"))))))</f>
        <v>228.384 TFLOPs</v>
      </c>
      <c r="C17" s="35" t="str">
        <f>TEXT(IF(ABS(H17)&gt;=1E15,H17/1E15,IF(ABS(H17)&gt;=1E12,H17/1E12,IF(ABS(H17)&gt;=1E9,H17/1E9,IF(ABS(H17)&gt;=1E6,H17/1E6,H17)))),"#,##0.000")&amp;IF((IF(ABS(H17)&gt;=1E15,"PFLOPs",IF(ABS(H17)&gt;=1E12,"TFLOPs",IF(ABS(H17)&gt;=1E9,"GFLOPs",IF(ABS(H17)&gt;=1E6,"MFLOPs","flops")))))="",""," "&amp;(IF(ABS(H17)&gt;=1E15,"PFLOPs",IF(ABS(H17)&gt;=1E12,"TFLOPs",IF(ABS(H17)&gt;=1E9,"GFLOPs",IF(ABS(H17)&gt;=1E6,"MFLOPs","flops"))))))</f>
        <v>140.354 GFLOPs</v>
      </c>
      <c r="D17" s="4" t="s">
        <v>510</v>
      </c>
      <c r="G17" s="36">
        <f>'Prefill_8K'!$AE$16</f>
        <v>228384427393024.0</v>
      </c>
      <c r="H17" s="36">
        <f>'Decode_1M'!$AE$16</f>
        <v>140354134102.0</v>
      </c>
    </row>
    <row r="18" spans="1:8">
      <c r="A18" s="4" t="s">
        <v>511</v>
      </c>
      <c r="B18" s="35" t="str">
        <f>TEXT(IF(ABS(G18)&gt;=1E12,G18/1E12,IF(ABS(G18)&gt;=1E9,G18/1E9,IF(ABS(G18)&gt;=1E6,G18/1E6,IF(ABS(G18)&gt;=1E3,G18/1E3,G18)))),"#,##0.000")&amp;IF((IF(ABS(G18)&gt;=1E12,"TB",IF(ABS(G18)&gt;=1E9,"GB",IF(ABS(G18)&gt;=1E6,"MB",IF(ABS(G18)&gt;=1E3,"KB","bytes")))))="",""," "&amp;(IF(ABS(G18)&gt;=1E12,"TB",IF(ABS(G18)&gt;=1E9,"GB",IF(ABS(G18)&gt;=1E6,"MB",IF(ABS(G18)&gt;=1E3,"KB","bytes"))))))</f>
        <v>0.000 B</v>
      </c>
      <c r="C18" s="35" t="str">
        <f>TEXT(IF(ABS(H18)&gt;=1E12,H18/1E12,IF(ABS(H18)&gt;=1E9,H18/1E9,IF(ABS(H18)&gt;=1E6,H18/1E6,IF(ABS(H18)&gt;=1E3,H18/1E3,H18)))),"#,##0.000")&amp;IF((IF(ABS(H18)&gt;=1E12,"TB",IF(ABS(H18)&gt;=1E9,"GB",IF(ABS(H18)&gt;=1E6,"MB",IF(ABS(H18)&gt;=1E3,"KB","bytes")))))="",""," "&amp;(IF(ABS(H18)&gt;=1E12,"TB",IF(ABS(H18)&gt;=1E9,"GB",IF(ABS(H18)&gt;=1E6,"MB",IF(ABS(H18)&gt;=1E3,"KB","bytes"))))))</f>
        <v>0.000 B</v>
      </c>
      <c r="D18" s="4" t="s">
        <v>512</v>
      </c>
      <c r="G18" s="36">
        <f>'Prefill_8K'!$AE$21</f>
        <v>0.0</v>
      </c>
      <c r="H18" s="36">
        <f>'Decode_1M'!$AE$21</f>
        <v>0.0</v>
      </c>
    </row>
    <row r="19" spans="1:8">
      <c r="A19" s="4" t="s">
        <v>513</v>
      </c>
      <c r="B19" s="35" t="str">
        <f>TEXT(G19,"#,##0.000")&amp;" GB/s"</f>
        <v>0.000 GB/s</v>
      </c>
      <c r="C19" s="35" t="str">
        <f>TEXT(H19,"#,##0.000")&amp;" GB/s"</f>
        <v>0.000 GB/s</v>
      </c>
      <c r="D19" s="4" t="s">
        <v>514</v>
      </c>
      <c r="G19" s="36">
        <f>'Prefill_8K'!$AE$21/(PrefillTargetMs/1000)/1E9</f>
        <v>0.0</v>
      </c>
      <c r="H19" s="36">
        <f>'Decode_1M'!$AE$21/(DecodeTargetMs/1000)/1E9</f>
        <v>0.0</v>
      </c>
    </row>
    <row r="20" spans="1:8">
      <c r="A20" s="4" t="s">
        <v>515</v>
      </c>
      <c r="B20" s="35" t="str">
        <f>TEXT(IF(ABS(G20)&gt;=1E12,G20/1E12,IF(ABS(G20)&gt;=1E9,G20/1E9,IF(ABS(G20)&gt;=1E6,G20/1E6,IF(ABS(G20)&gt;=1E3,G20/1E3,G20)))),"#,##0.000")&amp;IF((IF(ABS(G20)&gt;=1E12,"T",IF(ABS(G20)&gt;=1E9,"G",IF(ABS(G20)&gt;=1E6,"M",IF(ABS(G20)&gt;=1E3,"K","")))))="",""," "&amp;(IF(ABS(G20)&gt;=1E12,"T",IF(ABS(G20)&gt;=1E9,"G",IF(ABS(G20)&gt;=1E6,"M",IF(ABS(G20)&gt;=1E3,"K",""))))))</f>
        <v>5.086 G</v>
      </c>
      <c r="C20" s="35" t="str">
        <f>TEXT(IF(ABS(H20)&gt;=1E12,H20/1E12,IF(ABS(H20)&gt;=1E9,H20/1E9,IF(ABS(H20)&gt;=1E6,H20/1E6,IF(ABS(H20)&gt;=1E3,H20/1E3,H20)))),"#,##0.000")&amp;IF((IF(ABS(H20)&gt;=1E12,"T",IF(ABS(H20)&gt;=1E9,"G",IF(ABS(H20)&gt;=1E6,"M",IF(ABS(H20)&gt;=1E3,"K","")))))="",""," "&amp;(IF(ABS(H20)&gt;=1E12,"T",IF(ABS(H20)&gt;=1E9,"G",IF(ABS(H20)&gt;=1E6,"M",IF(ABS(H20)&gt;=1E3,"K",""))))))</f>
        <v>5.086 G</v>
      </c>
      <c r="D20" s="4" t="s">
        <v>516</v>
      </c>
      <c r="G20" s="36">
        <f>'Memory'!$P$18</f>
        <v>5086249088.0</v>
      </c>
      <c r="H20" s="36">
        <f>'Memory'!$P$18</f>
        <v>5086249088.0</v>
      </c>
    </row>
    <row r="21" spans="1:8">
      <c r="A21" s="4" t="s">
        <v>517</v>
      </c>
      <c r="B21" s="35" t="str">
        <f>TEXT(IF(ABS(G21)&gt;=1E12,G21/1E12,IF(ABS(G21)&gt;=1E9,G21/1E9,IF(ABS(G21)&gt;=1E6,G21/1E6,IF(ABS(G21)&gt;=1E3,G21/1E3,G21)))),"#,##0.000")&amp;IF((IF(ABS(G21)&gt;=1E12,"T",IF(ABS(G21)&gt;=1E9,"G",IF(ABS(G21)&gt;=1E6,"M",IF(ABS(G21)&gt;=1E3,"K","")))))="",""," "&amp;(IF(ABS(G21)&gt;=1E12,"T",IF(ABS(G21)&gt;=1E9,"G",IF(ABS(G21)&gt;=1E6,"M",IF(ABS(G21)&gt;=1E3,"K",""))))))</f>
        <v>278.155 G</v>
      </c>
      <c r="C21" s="35" t="str">
        <f>TEXT(IF(ABS(H21)&gt;=1E12,H21/1E12,IF(ABS(H21)&gt;=1E9,H21/1E9,IF(ABS(H21)&gt;=1E6,H21/1E6,IF(ABS(H21)&gt;=1E3,H21/1E3,H21)))),"#,##0.000")&amp;IF((IF(ABS(H21)&gt;=1E12,"T",IF(ABS(H21)&gt;=1E9,"G",IF(ABS(H21)&gt;=1E6,"M",IF(ABS(H21)&gt;=1E3,"K","")))))="",""," "&amp;(IF(ABS(H21)&gt;=1E12,"T",IF(ABS(H21)&gt;=1E9,"G",IF(ABS(H21)&gt;=1E6,"M",IF(ABS(H21)&gt;=1E3,"K",""))))))</f>
        <v>278.155 G</v>
      </c>
      <c r="D21" s="4" t="s">
        <v>518</v>
      </c>
      <c r="G21" s="36">
        <f>'Memory'!$P$19</f>
        <v>278154947072.0</v>
      </c>
      <c r="H21" s="36">
        <f>'Memory'!$P$19</f>
        <v>278154947072.0</v>
      </c>
    </row>
    <row r="22" spans="1:8">
      <c r="A22" s="4" t="s">
        <v>519</v>
      </c>
      <c r="B22" s="35" t="str">
        <f>TEXT(IF(ABS(G22)&gt;=1E12,G22/1E12,IF(ABS(G22)&gt;=1E9,G22/1E9,IF(ABS(G22)&gt;=1E6,G22/1E6,IF(ABS(G22)&gt;=1E3,G22/1E3,G22)))),"#,##0.000")&amp;IF((IF(ABS(G22)&gt;=1E12,"T",IF(ABS(G22)&gt;=1E9,"G",IF(ABS(G22)&gt;=1E6,"M",IF(ABS(G22)&gt;=1E3,"K","")))))="",""," "&amp;(IF(ABS(G22)&gt;=1E12,"T",IF(ABS(G22)&gt;=1E9,"G",IF(ABS(G22)&gt;=1E6,"M",IF(ABS(G22)&gt;=1E3,"K",""))))))</f>
        <v>1.093 G</v>
      </c>
      <c r="C22" s="35" t="str">
        <f>TEXT(IF(ABS(H22)&gt;=1E12,H22/1E12,IF(ABS(H22)&gt;=1E9,H22/1E9,IF(ABS(H22)&gt;=1E6,H22/1E6,IF(ABS(H22)&gt;=1E3,H22/1E3,H22)))),"#,##0.000")&amp;IF((IF(ABS(H22)&gt;=1E12,"T",IF(ABS(H22)&gt;=1E9,"G",IF(ABS(H22)&gt;=1E6,"M",IF(ABS(H22)&gt;=1E3,"K","")))))="",""," "&amp;(IF(ABS(H22)&gt;=1E12,"T",IF(ABS(H22)&gt;=1E9,"G",IF(ABS(H22)&gt;=1E6,"M",IF(ABS(H22)&gt;=1E3,"K",""))))))</f>
        <v>1.093 G</v>
      </c>
      <c r="D22" s="4" t="s">
        <v>520</v>
      </c>
      <c r="G22" s="36">
        <f>'Memory'!$P$20</f>
        <v>1093371351.0</v>
      </c>
      <c r="H22" s="36">
        <f>'Memory'!$P$20</f>
        <v>1093371351.0</v>
      </c>
    </row>
    <row r="23" spans="1:8">
      <c r="A23" s="37" t="s">
        <v>521</v>
      </c>
      <c r="B23" s="37" t="str">
        <f>TEXT(IF(ABS(G23)&gt;=1E12,G23/1E12,IF(ABS(G23)&gt;=1E9,G23/1E9,IF(ABS(G23)&gt;=1E6,G23/1E6,IF(ABS(G23)&gt;=1E3,G23/1E3,G23)))),"#,##0.000")&amp;IF((IF(ABS(G23)&gt;=1E12,"T",IF(ABS(G23)&gt;=1E9,"G",IF(ABS(G23)&gt;=1E6,"M",IF(ABS(G23)&gt;=1E3,"K","")))))="",""," "&amp;(IF(ABS(G23)&gt;=1E12,"T",IF(ABS(G23)&gt;=1E9,"G",IF(ABS(G23)&gt;=1E6,"M",IF(ABS(G23)&gt;=1E3,"K",""))))))</f>
        <v>284.335 G</v>
      </c>
      <c r="C23" s="37" t="str">
        <f>TEXT(IF(ABS(H23)&gt;=1E12,H23/1E12,IF(ABS(H23)&gt;=1E9,H23/1E9,IF(ABS(H23)&gt;=1E6,H23/1E6,IF(ABS(H23)&gt;=1E3,H23/1E3,H23)))),"#,##0.000")&amp;IF((IF(ABS(H23)&gt;=1E12,"T",IF(ABS(H23)&gt;=1E9,"G",IF(ABS(H23)&gt;=1E6,"M",IF(ABS(H23)&gt;=1E3,"K","")))))="",""," "&amp;(IF(ABS(H23)&gt;=1E12,"T",IF(ABS(H23)&gt;=1E9,"G",IF(ABS(H23)&gt;=1E6,"M",IF(ABS(H23)&gt;=1E3,"K",""))))))</f>
        <v>284.335 G</v>
      </c>
      <c r="D23" s="4" t="s">
        <v>522</v>
      </c>
      <c r="G23" s="36">
        <f>'Memory'!$P$21</f>
        <v>284334567511.0</v>
      </c>
      <c r="H23" s="36">
        <f>'Memory'!$P$21</f>
        <v>284334567511.0</v>
      </c>
    </row>
    <row r="24" spans="1:8">
      <c r="A24" s="4" t="s">
        <v>523</v>
      </c>
      <c r="B24" s="35" t="str">
        <f>TEXT(IF(ABS(G24)&gt;=1E12,G24/1E12,IF(ABS(G24)&gt;=1E9,G24/1E9,IF(ABS(G24)&gt;=1E6,G24/1E6,IF(ABS(G24)&gt;=1E3,G24/1E3,G24)))),"#,##0.000")&amp;IF((IF(ABS(G24)&gt;=1E12,"TB",IF(ABS(G24)&gt;=1E9,"GB",IF(ABS(G24)&gt;=1E6,"MB",IF(ABS(G24)&gt;=1E3,"KB","bytes")))))="",""," "&amp;(IF(ABS(G24)&gt;=1E12,"TB",IF(ABS(G24)&gt;=1E9,"GB",IF(ABS(G24)&gt;=1E6,"MB",IF(ABS(G24)&gt;=1E3,"KB","bytes"))))))</f>
        <v>7.451 GB</v>
      </c>
      <c r="C24" s="35" t="str">
        <f>TEXT(IF(ABS(H24)&gt;=1E12,H24/1E12,IF(ABS(H24)&gt;=1E9,H24/1E9,IF(ABS(H24)&gt;=1E6,H24/1E6,IF(ABS(H24)&gt;=1E3,H24/1E3,H24)))),"#,##0.000")&amp;IF((IF(ABS(H24)&gt;=1E12,"TB",IF(ABS(H24)&gt;=1E9,"GB",IF(ABS(H24)&gt;=1E6,"MB",IF(ABS(H24)&gt;=1E3,"KB","bytes")))))="",""," "&amp;(IF(ABS(H24)&gt;=1E12,"TB",IF(ABS(H24)&gt;=1E9,"GB",IF(ABS(H24)&gt;=1E6,"MB",IF(ABS(H24)&gt;=1E3,"KB","bytes"))))))</f>
        <v>7.451 GB</v>
      </c>
      <c r="D24" s="4" t="s">
        <v>524</v>
      </c>
      <c r="G24" s="36">
        <f>'Memory'!$R$18</f>
        <v>7451384960</v>
      </c>
      <c r="H24" s="36">
        <f>'Memory'!$R$18</f>
        <v>7451384960</v>
      </c>
    </row>
    <row r="25" spans="1:8">
      <c r="A25" s="4" t="s">
        <v>525</v>
      </c>
      <c r="B25" s="35" t="str">
        <f>TEXT(IF(ABS(G25)&gt;=1E12,G25/1E12,IF(ABS(G25)&gt;=1E9,G25/1E9,IF(ABS(G25)&gt;=1E6,G25/1E6,IF(ABS(G25)&gt;=1E3,G25/1E3,G25)))),"#,##0.000")&amp;IF((IF(ABS(G25)&gt;=1E12,"TB",IF(ABS(G25)&gt;=1E9,"GB",IF(ABS(G25)&gt;=1E6,"MB",IF(ABS(G25)&gt;=1E3,"KB","bytes")))))="",""," "&amp;(IF(ABS(G25)&gt;=1E12,"TB",IF(ABS(G25)&gt;=1E9,"GB",IF(ABS(G25)&gt;=1E6,"MB",IF(ABS(G25)&gt;=1E3,"KB","bytes"))))))</f>
        <v>148.351 GB</v>
      </c>
      <c r="C25" s="35" t="str">
        <f>TEXT(IF(ABS(H25)&gt;=1E12,H25/1E12,IF(ABS(H25)&gt;=1E9,H25/1E9,IF(ABS(H25)&gt;=1E6,H25/1E6,IF(ABS(H25)&gt;=1E3,H25/1E3,H25)))),"#,##0.000")&amp;IF((IF(ABS(H25)&gt;=1E12,"TB",IF(ABS(H25)&gt;=1E9,"GB",IF(ABS(H25)&gt;=1E6,"MB",IF(ABS(H25)&gt;=1E3,"KB","bytes")))))="",""," "&amp;(IF(ABS(H25)&gt;=1E12,"TB",IF(ABS(H25)&gt;=1E9,"GB",IF(ABS(H25)&gt;=1E6,"MB",IF(ABS(H25)&gt;=1E3,"KB","bytes"))))))</f>
        <v>148.351 GB</v>
      </c>
      <c r="D25" s="4" t="s">
        <v>526</v>
      </c>
      <c r="G25" s="36">
        <f>'Memory'!$R$19</f>
        <v>148351461888.0</v>
      </c>
      <c r="H25" s="36">
        <f>'Memory'!$R$19</f>
        <v>148351461888.0</v>
      </c>
    </row>
    <row r="26" spans="1:8">
      <c r="A26" s="4" t="s">
        <v>527</v>
      </c>
      <c r="B26" s="35" t="str">
        <f>TEXT(IF(ABS(G26)&gt;=1E12,G26/1E12,IF(ABS(G26)&gt;=1E9,G26/1E9,IF(ABS(G26)&gt;=1E6,G26/1E6,IF(ABS(G26)&gt;=1E3,G26/1E3,G26)))),"#,##0.000")&amp;IF((IF(ABS(G26)&gt;=1E12,"TB",IF(ABS(G26)&gt;=1E9,"GB",IF(ABS(G26)&gt;=1E6,"MB",IF(ABS(G26)&gt;=1E3,"KB","bytes")))))="",""," "&amp;(IF(ABS(G26)&gt;=1E12,"TB",IF(ABS(G26)&gt;=1E9,"GB",IF(ABS(G26)&gt;=1E6,"MB",IF(ABS(G26)&gt;=1E3,"KB","bytes"))))))</f>
        <v>3.314 GB</v>
      </c>
      <c r="C26" s="35" t="str">
        <f>TEXT(IF(ABS(H26)&gt;=1E12,H26/1E12,IF(ABS(H26)&gt;=1E9,H26/1E9,IF(ABS(H26)&gt;=1E6,H26/1E6,IF(ABS(H26)&gt;=1E3,H26/1E3,H26)))),"#,##0.000")&amp;IF((IF(ABS(H26)&gt;=1E12,"TB",IF(ABS(H26)&gt;=1E9,"GB",IF(ABS(H26)&gt;=1E6,"MB",IF(ABS(H26)&gt;=1E3,"KB","bytes")))))="",""," "&amp;(IF(ABS(H26)&gt;=1E12,"TB",IF(ABS(H26)&gt;=1E9,"GB",IF(ABS(H26)&gt;=1E6,"MB",IF(ABS(H26)&gt;=1E3,"KB","bytes"))))))</f>
        <v>3.314 GB</v>
      </c>
      <c r="D26" s="4" t="s">
        <v>520</v>
      </c>
      <c r="G26" s="36">
        <f>'Memory'!$R$20</f>
        <v>3314423644.0</v>
      </c>
      <c r="H26" s="36">
        <f>'Memory'!$R$20</f>
        <v>3314423644.0</v>
      </c>
    </row>
    <row r="27" spans="1:8">
      <c r="A27" s="37" t="s">
        <v>528</v>
      </c>
      <c r="B27" s="37" t="str">
        <f>TEXT(IF(ABS(G27)&gt;=1E12,G27/1E12,IF(ABS(G27)&gt;=1E9,G27/1E9,IF(ABS(G27)&gt;=1E6,G27/1E6,IF(ABS(G27)&gt;=1E3,G27/1E3,G27)))),"#,##0.000")&amp;IF((IF(ABS(G27)&gt;=1E12,"TB",IF(ABS(G27)&gt;=1E9,"GB",IF(ABS(G27)&gt;=1E6,"MB",IF(ABS(G27)&gt;=1E3,"KB","bytes")))))="",""," "&amp;(IF(ABS(G27)&gt;=1E12,"TB",IF(ABS(G27)&gt;=1E9,"GB",IF(ABS(G27)&gt;=1E6,"MB",IF(ABS(G27)&gt;=1E3,"KB","bytes"))))))</f>
        <v>159.117 GB</v>
      </c>
      <c r="C27" s="37" t="str">
        <f>TEXT(IF(ABS(H27)&gt;=1E12,H27/1E12,IF(ABS(H27)&gt;=1E9,H27/1E9,IF(ABS(H27)&gt;=1E6,H27/1E6,IF(ABS(H27)&gt;=1E3,H27/1E3,H27)))),"#,##0.000")&amp;IF((IF(ABS(H27)&gt;=1E12,"TB",IF(ABS(H27)&gt;=1E9,"GB",IF(ABS(H27)&gt;=1E6,"MB",IF(ABS(H27)&gt;=1E3,"KB","bytes")))))="",""," "&amp;(IF(ABS(H27)&gt;=1E12,"TB",IF(ABS(H27)&gt;=1E9,"GB",IF(ABS(H27)&gt;=1E6,"MB",IF(ABS(H27)&gt;=1E3,"KB","bytes"))))))</f>
        <v>159.117 GB</v>
      </c>
      <c r="D27" s="4" t="s">
        <v>529</v>
      </c>
      <c r="G27" s="36">
        <f>'Memory'!$R$21</f>
        <v>159117270492.0</v>
      </c>
      <c r="H27" s="36">
        <f>'Memory'!$R$21</f>
        <v>159117270492.0</v>
      </c>
    </row>
    <row r="28" spans="1:8">
      <c r="A28" s="4" t="s">
        <v>530</v>
      </c>
      <c r="B28" s="35" t="str">
        <f>TEXT(IF(ABS(G28)&gt;=1E12,G28/1E12,IF(ABS(G28)&gt;=1E9,G28/1E9,IF(ABS(G28)&gt;=1E6,G28/1E6,IF(ABS(G28)&gt;=1E3,G28/1E3,G28)))),"#,##0.000")&amp;IF((IF(ABS(G28)&gt;=1E12,"TB",IF(ABS(G28)&gt;=1E9,"GB",IF(ABS(G28)&gt;=1E6,"MB",IF(ABS(G28)&gt;=1E3,"KB","bytes")))))="",""," "&amp;(IF(ABS(G28)&gt;=1E12,"TB",IF(ABS(G28)&gt;=1E9,"GB",IF(ABS(G28)&gt;=1E6,"MB",IF(ABS(G28)&gt;=1E3,"KB","bytes"))))))</f>
        <v>50.987 MB</v>
      </c>
      <c r="C28" s="35" t="str">
        <f>TEXT(IF(ABS(H28)&gt;=1E12,H28/1E12,IF(ABS(H28)&gt;=1E9,H28/1E9,IF(ABS(H28)&gt;=1E6,H28/1E6,IF(ABS(H28)&gt;=1E3,H28/1E3,H28)))),"#,##0.000")&amp;IF((IF(ABS(H28)&gt;=1E12,"TB",IF(ABS(H28)&gt;=1E9,"GB",IF(ABS(H28)&gt;=1E6,"MB",IF(ABS(H28)&gt;=1E3,"KB","bytes")))))="",""," "&amp;(IF(ABS(H28)&gt;=1E12,"TB",IF(ABS(H28)&gt;=1E9,"GB",IF(ABS(H28)&gt;=1E6,"MB",IF(ABS(H28)&gt;=1E3,"KB","bytes"))))))</f>
        <v>5.811 GB</v>
      </c>
      <c r="D28" s="4" t="s">
        <v>531</v>
      </c>
      <c r="G28" s="36">
        <f>'Memory'!$P$26</f>
        <v>50987008</v>
      </c>
      <c r="H28" s="36">
        <f>'Memory'!$P$30</f>
        <v>5810552832</v>
      </c>
    </row>
    <row r="29" spans="1:8">
      <c r="A29" s="4" t="s">
        <v>532</v>
      </c>
      <c r="B29" s="35" t="str">
        <f>TEXT(IF(ABS(G29)&gt;=1E12,G29/1E12,IF(ABS(G29)&gt;=1E9,G29/1E9,IF(ABS(G29)&gt;=1E6,G29/1E6,IF(ABS(G29)&gt;=1E3,G29/1E3,G29)))),"#,##0.000")&amp;IF((IF(ABS(G29)&gt;=1E12,"TB",IF(ABS(G29)&gt;=1E9,"GB",IF(ABS(G29)&gt;=1E6,"MB",IF(ABS(G29)&gt;=1E3,"KB","bytes")))))="",""," "&amp;(IF(ABS(G29)&gt;=1E12,"TB",IF(ABS(G29)&gt;=1E9,"GB",IF(ABS(G29)&gt;=1E6,"MB",IF(ABS(G29)&gt;=1E3,"KB","bytes"))))))</f>
        <v>11.010 MB</v>
      </c>
      <c r="C29" s="35" t="str">
        <f>TEXT(IF(ABS(H29)&gt;=1E12,H29/1E12,IF(ABS(H29)&gt;=1E9,H29/1E9,IF(ABS(H29)&gt;=1E6,H29/1E6,IF(ABS(H29)&gt;=1E3,H29/1E3,H29)))),"#,##0.000")&amp;IF((IF(ABS(H29)&gt;=1E12,"TB",IF(ABS(H29)&gt;=1E9,"GB",IF(ABS(H29)&gt;=1E6,"MB",IF(ABS(H29)&gt;=1E3,"KB","bytes")))))="",""," "&amp;(IF(ABS(H29)&gt;=1E12,"TB",IF(ABS(H29)&gt;=1E9,"GB",IF(ABS(H29)&gt;=1E6,"MB",IF(ABS(H29)&gt;=1E3,"KB","bytes"))))))</f>
        <v>1.409 GB</v>
      </c>
      <c r="D29" s="4" t="s">
        <v>531</v>
      </c>
      <c r="G29" s="36">
        <f>'Memory'!$P$27</f>
        <v>11010048</v>
      </c>
      <c r="H29" s="36">
        <f>'Memory'!$P$31</f>
        <v>1409286144</v>
      </c>
    </row>
    <row r="30" spans="1:8">
      <c r="A30" s="4" t="s">
        <v>533</v>
      </c>
      <c r="B30" s="35" t="str">
        <f>TEXT(IF(ABS(G30)&gt;=1E12,G30/1E12,IF(ABS(G30)&gt;=1E9,G30/1E9,IF(ABS(G30)&gt;=1E6,G30/1E6,IF(ABS(G30)&gt;=1E3,G30/1E3,G30)))),"#,##0.000")&amp;IF((IF(ABS(G30)&gt;=1E12,"TB",IF(ABS(G30)&gt;=1E9,"GB",IF(ABS(G30)&gt;=1E6,"MB",IF(ABS(G30)&gt;=1E3,"KB","bytes")))))="",""," "&amp;(IF(ABS(G30)&gt;=1E12,"TB",IF(ABS(G30)&gt;=1E9,"GB",IF(ABS(G30)&gt;=1E6,"MB",IF(ABS(G30)&gt;=1E3,"KB","bytes"))))))</f>
        <v>12.206 MB</v>
      </c>
      <c r="C30" s="35" t="str">
        <f>TEXT(IF(ABS(H30)&gt;=1E12,H30/1E12,IF(ABS(H30)&gt;=1E9,H30/1E9,IF(ABS(H30)&gt;=1E6,H30/1E6,IF(ABS(H30)&gt;=1E3,H30/1E3,H30)))),"#,##0.000")&amp;IF((IF(ABS(H30)&gt;=1E12,"TB",IF(ABS(H30)&gt;=1E9,"GB",IF(ABS(H30)&gt;=1E6,"MB",IF(ABS(H30)&gt;=1E3,"KB","bytes")))))="",""," "&amp;(IF(ABS(H30)&gt;=1E12,"TB",IF(ABS(H30)&gt;=1E9,"GB",IF(ABS(H30)&gt;=1E6,"MB",IF(ABS(H30)&gt;=1E3,"KB","bytes"))))))</f>
        <v>12.206 MB</v>
      </c>
      <c r="D30" s="4" t="s">
        <v>531</v>
      </c>
      <c r="G30" s="36">
        <f>'Memory'!$P$28</f>
        <v>12206080</v>
      </c>
      <c r="H30" s="36">
        <f>'Memory'!$P$32</f>
        <v>12206080</v>
      </c>
    </row>
    <row r="31" spans="1:8">
      <c r="A31" s="4" t="s">
        <v>534</v>
      </c>
      <c r="B31" s="35" t="str">
        <f>TEXT(IF(ABS(G31)&gt;=1E12,G31/1E12,IF(ABS(G31)&gt;=1E9,G31/1E9,IF(ABS(G31)&gt;=1E6,G31/1E6,IF(ABS(G31)&gt;=1E3,G31/1E3,G31)))),"#,##0.000")&amp;IF((IF(ABS(G31)&gt;=1E12,"TB",IF(ABS(G31)&gt;=1E9,"GB",IF(ABS(G31)&gt;=1E6,"MB",IF(ABS(G31)&gt;=1E3,"KB","bytes")))))="",""," "&amp;(IF(ABS(G31)&gt;=1E12,"TB",IF(ABS(G31)&gt;=1E9,"GB",IF(ABS(G31)&gt;=1E6,"MB",IF(ABS(G31)&gt;=1E3,"KB","bytes"))))))</f>
        <v>7.232 GB</v>
      </c>
      <c r="C31" s="35" t="str">
        <f>TEXT(IF(ABS(H31)&gt;=1E12,H31/1E12,IF(ABS(H31)&gt;=1E9,H31/1E9,IF(ABS(H31)&gt;=1E6,H31/1E6,IF(ABS(H31)&gt;=1E3,H31/1E3,H31)))),"#,##0.000")&amp;IF((IF(ABS(H31)&gt;=1E12,"TB",IF(ABS(H31)&gt;=1E9,"GB",IF(ABS(H31)&gt;=1E6,"MB",IF(ABS(H31)&gt;=1E3,"KB","bytes")))))="",""," "&amp;(IF(ABS(H31)&gt;=1E12,"TB",IF(ABS(H31)&gt;=1E9,"GB",IF(ABS(H31)&gt;=1E6,"MB",IF(ABS(H31)&gt;=1E3,"KB","bytes"))))))</f>
        <v>7.232 GB</v>
      </c>
      <c r="D31" s="4" t="s">
        <v>531</v>
      </c>
      <c r="G31" s="36">
        <f>'Memory'!$P$29</f>
        <v>7232045056</v>
      </c>
      <c r="H31" s="36">
        <f>'Memory'!$P$33</f>
        <v>7232045056</v>
      </c>
    </row>
    <row r="32" spans="1:8">
      <c r="A32" s="37" t="s">
        <v>535</v>
      </c>
      <c r="B32" s="37" t="str">
        <f>TEXT(IF(ABS(G32)&gt;=1E12,G32/1E12,IF(ABS(G32)&gt;=1E9,G32/1E9,IF(ABS(G32)&gt;=1E6,G32/1E6,IF(ABS(G32)&gt;=1E3,G32/1E3,G32)))),"#,##0.000")&amp;IF((IF(ABS(G32)&gt;=1E12,"TB",IF(ABS(G32)&gt;=1E9,"GB",IF(ABS(G32)&gt;=1E6,"MB",IF(ABS(G32)&gt;=1E3,"KB","bytes")))))="",""," "&amp;(IF(ABS(G32)&gt;=1E12,"TB",IF(ABS(G32)&gt;=1E9,"GB",IF(ABS(G32)&gt;=1E6,"MB",IF(ABS(G32)&gt;=1E3,"KB","bytes"))))))</f>
        <v>166.349 GB</v>
      </c>
      <c r="C32" s="37" t="str">
        <f>TEXT(IF(ABS(H32)&gt;=1E12,H32/1E12,IF(ABS(H32)&gt;=1E9,H32/1E9,IF(ABS(H32)&gt;=1E6,H32/1E6,IF(ABS(H32)&gt;=1E3,H32/1E3,H32)))),"#,##0.000")&amp;IF((IF(ABS(H32)&gt;=1E12,"TB",IF(ABS(H32)&gt;=1E9,"GB",IF(ABS(H32)&gt;=1E6,"MB",IF(ABS(H32)&gt;=1E3,"KB","bytes")))))="",""," "&amp;(IF(ABS(H32)&gt;=1E12,"TB",IF(ABS(H32)&gt;=1E9,"GB",IF(ABS(H32)&gt;=1E6,"MB",IF(ABS(H32)&gt;=1E3,"KB","bytes"))))))</f>
        <v>166.349 GB</v>
      </c>
      <c r="D32" s="4" t="s">
        <v>536</v>
      </c>
      <c r="G32" s="36">
        <f>'Memory'!$R$21+'Memory'!$P$29</f>
        <v>166349315548.0</v>
      </c>
      <c r="H32" s="36">
        <f>'Memory'!$R$21+'Memory'!$P$33</f>
        <v>166349315548.0</v>
      </c>
    </row>
    <row r="34" spans="1:8">
      <c r="A34" s="27" t="s">
        <v>537</v>
      </c>
      <c r="B34" s="27"/>
      <c r="C34" s="27"/>
      <c r="D34" s="27"/>
    </row>
    <row r="35" spans="1:8">
      <c r="A35" s="3" t="s">
        <v>492</v>
      </c>
      <c r="B35" s="3" t="s">
        <v>493</v>
      </c>
      <c r="C35" s="3" t="s">
        <v>494</v>
      </c>
      <c r="D35" s="3" t="s">
        <v>304</v>
      </c>
    </row>
    <row r="36" spans="1:8">
      <c r="A36" s="4" t="s">
        <v>495</v>
      </c>
      <c r="B36" s="35" t="str">
        <f>TEXT(IF(ABS(G36)&gt;=1E15,G36/1E15,IF(ABS(G36)&gt;=1E12,G36/1E12,IF(ABS(G36)&gt;=1E9,G36/1E9,IF(ABS(G36)&gt;=1E6,G36/1E6,G36)))),"#,##0.000")&amp;IF((IF(ABS(G36)&gt;=1E15,"PFLOPs",IF(ABS(G36)&gt;=1E12,"TFLOPs",IF(ABS(G36)&gt;=1E9,"GFLOPs",IF(ABS(G36)&gt;=1E6,"MFLOPs","flops")))))="",""," "&amp;(IF(ABS(G36)&gt;=1E15,"PFLOPs",IF(ABS(G36)&gt;=1E12,"TFLOPs",IF(ABS(G36)&gt;=1E9,"GFLOPs",IF(ABS(G36)&gt;=1E6,"MFLOPs","flops"))))))</f>
        <v>23.172 TFLOPs</v>
      </c>
      <c r="C36" s="35" t="str">
        <f>TEXT(IF(ABS(H36)&gt;=1E15,H36/1E15,IF(ABS(H36)&gt;=1E12,H36/1E12,IF(ABS(H36)&gt;=1E9,H36/1E9,IF(ABS(H36)&gt;=1E6,H36/1E6,H36)))),"#,##0.000")&amp;IF((IF(ABS(H36)&gt;=1E15,"PFLOPs",IF(ABS(H36)&gt;=1E12,"TFLOPs",IF(ABS(H36)&gt;=1E9,"GFLOPs",IF(ABS(H36)&gt;=1E6,"MFLOPs","flops")))))="",""," "&amp;(IF(ABS(H36)&gt;=1E15,"PFLOPs",IF(ABS(H36)&gt;=1E12,"TFLOPs",IF(ABS(H36)&gt;=1E9,"GFLOPs",IF(ABS(H36)&gt;=1E6,"MFLOPs","flops"))))))</f>
        <v>19.452 GFLOPs</v>
      </c>
      <c r="D36" s="4" t="s">
        <v>496</v>
      </c>
      <c r="G36" s="36">
        <f>'Prefill_8K'!$AF$13</f>
        <v>23172382457856.0</v>
      </c>
      <c r="H36" s="36">
        <f>'Decode_1M'!$AF$13</f>
        <v>19452461056.0</v>
      </c>
    </row>
    <row r="37" spans="1:8">
      <c r="A37" s="4" t="s">
        <v>497</v>
      </c>
      <c r="B37" s="35" t="str">
        <f>TEXT(IF(ABS(G37)&gt;=1E15,G37/1E15,IF(ABS(G37)&gt;=1E12,G37/1E12,IF(ABS(G37)&gt;=1E9,G37/1E9,IF(ABS(G37)&gt;=1E6,G37/1E6,G37)))),"#,##0.000")&amp;IF((IF(ABS(G37)&gt;=1E15,"PFLOPs",IF(ABS(G37)&gt;=1E12,"TFLOPs",IF(ABS(G37)&gt;=1E9,"GFLOPs",IF(ABS(G37)&gt;=1E6,"MFLOPs","flops")))))="",""," "&amp;(IF(ABS(G37)&gt;=1E15,"PFLOPs",IF(ABS(G37)&gt;=1E12,"TFLOPs",IF(ABS(G37)&gt;=1E9,"GFLOPs",IF(ABS(G37)&gt;=1E6,"MFLOPs","flops"))))))</f>
        <v>31.766 TFLOPs</v>
      </c>
      <c r="C37" s="35" t="str">
        <f>TEXT(IF(ABS(H37)&gt;=1E15,H37/1E15,IF(ABS(H37)&gt;=1E12,H37/1E12,IF(ABS(H37)&gt;=1E9,H37/1E9,IF(ABS(H37)&gt;=1E6,H37/1E6,H37)))),"#,##0.000")&amp;IF((IF(ABS(H37)&gt;=1E15,"PFLOPs",IF(ABS(H37)&gt;=1E12,"TFLOPs",IF(ABS(H37)&gt;=1E9,"GFLOPs",IF(ABS(H37)&gt;=1E6,"MFLOPs","flops")))))="",""," "&amp;(IF(ABS(H37)&gt;=1E15,"PFLOPs",IF(ABS(H37)&gt;=1E12,"TFLOPs",IF(ABS(H37)&gt;=1E9,"GFLOPs",IF(ABS(H37)&gt;=1E6,"MFLOPs","flops"))))))</f>
        <v>3.878 GFLOPs</v>
      </c>
      <c r="D37" s="4" t="s">
        <v>496</v>
      </c>
      <c r="G37" s="36">
        <f>'Prefill_8K'!$AF$14</f>
        <v>31765578121216.0</v>
      </c>
      <c r="H37" s="36">
        <f>'Decode_1M'!$AF$14</f>
        <v>3877634048.0</v>
      </c>
    </row>
    <row r="38" spans="1:8">
      <c r="A38" s="4" t="s">
        <v>498</v>
      </c>
      <c r="B38" s="35" t="str">
        <f>TEXT(IF(ABS(G38)&gt;=1E15,G38/1E15,IF(ABS(G38)&gt;=1E12,G38/1E12,IF(ABS(G38)&gt;=1E9,G38/1E9,IF(ABS(G38)&gt;=1E6,G38/1E6,G38)))),"#,##0.000")&amp;IF((IF(ABS(G38)&gt;=1E15,"PFLOPs",IF(ABS(G38)&gt;=1E12,"TFLOPs",IF(ABS(G38)&gt;=1E9,"GFLOPs",IF(ABS(G38)&gt;=1E6,"MFLOPs","flops")))))="",""," "&amp;(IF(ABS(G38)&gt;=1E15,"PFLOPs",IF(ABS(G38)&gt;=1E12,"TFLOPs",IF(ABS(G38)&gt;=1E9,"GFLOPs",IF(ABS(G38)&gt;=1E6,"MFLOPs","flops"))))))</f>
        <v>701.354 GFLOPs</v>
      </c>
      <c r="C38" s="35" t="str">
        <f>TEXT(IF(ABS(H38)&gt;=1E15,H38/1E15,IF(ABS(H38)&gt;=1E12,H38/1E12,IF(ABS(H38)&gt;=1E9,H38/1E9,IF(ABS(H38)&gt;=1E6,H38/1E6,H38)))),"#,##0.000")&amp;IF((IF(ABS(H38)&gt;=1E15,"PFLOPs",IF(ABS(H38)&gt;=1E12,"TFLOPs",IF(ABS(H38)&gt;=1E9,"GFLOPs",IF(ABS(H38)&gt;=1E6,"MFLOPs","flops")))))="",""," "&amp;(IF(ABS(H38)&gt;=1E15,"PFLOPs",IF(ABS(H38)&gt;=1E12,"TFLOPs",IF(ABS(H38)&gt;=1E9,"GFLOPs",IF(ABS(H38)&gt;=1E6,"MFLOPs","flops"))))))</f>
        <v>217.981 MFLOPs</v>
      </c>
      <c r="D38" s="4" t="s">
        <v>496</v>
      </c>
      <c r="G38" s="36">
        <f>'Prefill_8K'!$AF$15</f>
        <v>701353607168.0</v>
      </c>
      <c r="H38" s="36">
        <f>'Decode_1M'!$AF$15</f>
        <v>217981014.0</v>
      </c>
    </row>
    <row r="39" spans="1:8">
      <c r="A39" s="37" t="s">
        <v>499</v>
      </c>
      <c r="B39" s="37" t="str">
        <f>TEXT(IF(ABS(G39)&gt;=1E15,G39/1E15,IF(ABS(G39)&gt;=1E12,G39/1E12,IF(ABS(G39)&gt;=1E9,G39/1E9,IF(ABS(G39)&gt;=1E6,G39/1E6,G39)))),"#,##0.000")&amp;IF((IF(ABS(G39)&gt;=1E15,"PFLOPs",IF(ABS(G39)&gt;=1E12,"TFLOPs",IF(ABS(G39)&gt;=1E9,"GFLOPs",IF(ABS(G39)&gt;=1E6,"MFLOPs","flops")))))="",""," "&amp;(IF(ABS(G39)&gt;=1E15,"PFLOPs",IF(ABS(G39)&gt;=1E12,"TFLOPs",IF(ABS(G39)&gt;=1E9,"GFLOPs",IF(ABS(G39)&gt;=1E6,"MFLOPs","flops"))))))</f>
        <v>55.639 TFLOPs</v>
      </c>
      <c r="C39" s="37" t="str">
        <f>TEXT(IF(ABS(H39)&gt;=1E15,H39/1E15,IF(ABS(H39)&gt;=1E12,H39/1E12,IF(ABS(H39)&gt;=1E9,H39/1E9,IF(ABS(H39)&gt;=1E6,H39/1E6,H39)))),"#,##0.000")&amp;IF((IF(ABS(H39)&gt;=1E15,"PFLOPs",IF(ABS(H39)&gt;=1E12,"TFLOPs",IF(ABS(H39)&gt;=1E9,"GFLOPs",IF(ABS(H39)&gt;=1E6,"MFLOPs","flops")))))="",""," "&amp;(IF(ABS(H39)&gt;=1E15,"PFLOPs",IF(ABS(H39)&gt;=1E12,"TFLOPs",IF(ABS(H39)&gt;=1E9,"GFLOPs",IF(ABS(H39)&gt;=1E6,"MFLOPs","flops"))))))</f>
        <v>23.548 GFLOPs</v>
      </c>
      <c r="D39" s="4" t="s">
        <v>496</v>
      </c>
      <c r="G39" s="36">
        <f>'Prefill_8K'!$AF$16</f>
        <v>55639314186240.0</v>
      </c>
      <c r="H39" s="36">
        <f>'Decode_1M'!$AF$16</f>
        <v>23548076118.0</v>
      </c>
    </row>
    <row r="40" spans="1:8">
      <c r="A40" s="4" t="s">
        <v>500</v>
      </c>
      <c r="B40" s="35" t="str">
        <f>TEXT(IF(ABS(G40)&gt;=1E12,G40/1E12,IF(ABS(G40)&gt;=1E9,G40/1E9,IF(ABS(G40)&gt;=1E6,G40/1E6,IF(ABS(G40)&gt;=1E3,G40/1E3,G40)))),"#,##0.000")&amp;IF((IF(ABS(G40)&gt;=1E12,"TB",IF(ABS(G40)&gt;=1E9,"GB",IF(ABS(G40)&gt;=1E6,"MB",IF(ABS(G40)&gt;=1E3,"KB","bytes")))))="",""," "&amp;(IF(ABS(G40)&gt;=1E12,"TB",IF(ABS(G40)&gt;=1E9,"GB",IF(ABS(G40)&gt;=1E6,"MB",IF(ABS(G40)&gt;=1E3,"KB","bytes"))))))</f>
        <v>231.532 GB</v>
      </c>
      <c r="C40" s="35" t="str">
        <f>TEXT(IF(ABS(H40)&gt;=1E12,H40/1E12,IF(ABS(H40)&gt;=1E9,H40/1E9,IF(ABS(H40)&gt;=1E6,H40/1E6,IF(ABS(H40)&gt;=1E3,H40/1E3,H40)))),"#,##0.000")&amp;IF((IF(ABS(H40)&gt;=1E12,"TB",IF(ABS(H40)&gt;=1E9,"GB",IF(ABS(H40)&gt;=1E6,"MB",IF(ABS(H40)&gt;=1E3,"KB","bytes")))))="",""," "&amp;(IF(ABS(H40)&gt;=1E12,"TB",IF(ABS(H40)&gt;=1E9,"GB",IF(ABS(H40)&gt;=1E6,"MB",IF(ABS(H40)&gt;=1E3,"KB","bytes"))))))</f>
        <v>4.035 GB</v>
      </c>
      <c r="D40" s="4" t="s">
        <v>501</v>
      </c>
      <c r="G40" s="36">
        <f>'Prefill_8K'!$AF$17</f>
        <v>231531806144.0</v>
      </c>
      <c r="H40" s="36">
        <f>'Decode_1M'!$AF$17</f>
        <v>4035232528.0</v>
      </c>
    </row>
    <row r="41" spans="1:8">
      <c r="A41" s="4" t="s">
        <v>502</v>
      </c>
      <c r="B41" s="35" t="str">
        <f>TEXT(IF(ABS(G41)&gt;=1E12,G41/1E12,IF(ABS(G41)&gt;=1E9,G41/1E9,IF(ABS(G41)&gt;=1E6,G41/1E6,IF(ABS(G41)&gt;=1E3,G41/1E3,G41)))),"#,##0.000")&amp;IF((IF(ABS(G41)&gt;=1E12,"TB",IF(ABS(G41)&gt;=1E9,"GB",IF(ABS(G41)&gt;=1E6,"MB",IF(ABS(G41)&gt;=1E3,"KB","bytes")))))="",""," "&amp;(IF(ABS(G41)&gt;=1E12,"TB",IF(ABS(G41)&gt;=1E9,"GB",IF(ABS(G41)&gt;=1E6,"MB",IF(ABS(G41)&gt;=1E3,"KB","bytes"))))))</f>
        <v>32.915 GB</v>
      </c>
      <c r="C41" s="35" t="str">
        <f>TEXT(IF(ABS(H41)&gt;=1E12,H41/1E12,IF(ABS(H41)&gt;=1E9,H41/1E9,IF(ABS(H41)&gt;=1E6,H41/1E6,IF(ABS(H41)&gt;=1E3,H41/1E3,H41)))),"#,##0.000")&amp;IF((IF(ABS(H41)&gt;=1E12,"TB",IF(ABS(H41)&gt;=1E9,"GB",IF(ABS(H41)&gt;=1E6,"MB",IF(ABS(H41)&gt;=1E3,"KB","bytes")))))="",""," "&amp;(IF(ABS(H41)&gt;=1E12,"TB",IF(ABS(H41)&gt;=1E9,"GB",IF(ABS(H41)&gt;=1E6,"MB",IF(ABS(H41)&gt;=1E3,"KB","bytes"))))))</f>
        <v>1.605 GB</v>
      </c>
      <c r="D41" s="4" t="s">
        <v>501</v>
      </c>
      <c r="G41" s="36">
        <f>'Prefill_8K'!$AF$18</f>
        <v>32915497472.0</v>
      </c>
      <c r="H41" s="36">
        <f>'Decode_1M'!$AF$18</f>
        <v>1605205576.0</v>
      </c>
    </row>
    <row r="42" spans="1:8">
      <c r="A42" s="4" t="s">
        <v>503</v>
      </c>
      <c r="B42" s="35" t="str">
        <f>TEXT(IF(ABS(G42)&gt;=1E12,G42/1E12,IF(ABS(G42)&gt;=1E9,G42/1E9,IF(ABS(G42)&gt;=1E6,G42/1E6,IF(ABS(G42)&gt;=1E3,G42/1E3,G42)))),"#,##0.000")&amp;IF((IF(ABS(G42)&gt;=1E12,"TB",IF(ABS(G42)&gt;=1E9,"GB",IF(ABS(G42)&gt;=1E6,"MB",IF(ABS(G42)&gt;=1E3,"KB","bytes")))))="",""," "&amp;(IF(ABS(G42)&gt;=1E12,"TB",IF(ABS(G42)&gt;=1E9,"GB",IF(ABS(G42)&gt;=1E6,"MB",IF(ABS(G42)&gt;=1E3,"KB","bytes"))))))</f>
        <v>92.742 GB</v>
      </c>
      <c r="C42" s="35" t="str">
        <f>TEXT(IF(ABS(H42)&gt;=1E12,H42/1E12,IF(ABS(H42)&gt;=1E9,H42/1E9,IF(ABS(H42)&gt;=1E6,H42/1E6,IF(ABS(H42)&gt;=1E3,H42/1E3,H42)))),"#,##0.000")&amp;IF((IF(ABS(H42)&gt;=1E12,"TB",IF(ABS(H42)&gt;=1E9,"GB",IF(ABS(H42)&gt;=1E6,"MB",IF(ABS(H42)&gt;=1E3,"KB","bytes")))))="",""," "&amp;(IF(ABS(H42)&gt;=1E12,"TB",IF(ABS(H42)&gt;=1E9,"GB",IF(ABS(H42)&gt;=1E6,"MB",IF(ABS(H42)&gt;=1E3,"KB","bytes"))))))</f>
        <v>411.394 MB</v>
      </c>
      <c r="D42" s="4" t="s">
        <v>501</v>
      </c>
      <c r="G42" s="36">
        <f>'Prefill_8K'!$AF$19</f>
        <v>92741918920.0</v>
      </c>
      <c r="H42" s="36">
        <f>'Decode_1M'!$AF$19</f>
        <v>411394248.0</v>
      </c>
    </row>
    <row r="43" spans="1:8">
      <c r="A43" s="37" t="s">
        <v>504</v>
      </c>
      <c r="B43" s="37" t="str">
        <f>TEXT(IF(ABS(G43)&gt;=1E12,G43/1E12,IF(ABS(G43)&gt;=1E9,G43/1E9,IF(ABS(G43)&gt;=1E6,G43/1E6,IF(ABS(G43)&gt;=1E3,G43/1E3,G43)))),"#,##0.000")&amp;IF((IF(ABS(G43)&gt;=1E12,"TB",IF(ABS(G43)&gt;=1E9,"GB",IF(ABS(G43)&gt;=1E6,"MB",IF(ABS(G43)&gt;=1E3,"KB","bytes")))))="",""," "&amp;(IF(ABS(G43)&gt;=1E12,"TB",IF(ABS(G43)&gt;=1E9,"GB",IF(ABS(G43)&gt;=1E6,"MB",IF(ABS(G43)&gt;=1E3,"KB","bytes"))))))</f>
        <v>357.189 GB</v>
      </c>
      <c r="C43" s="37" t="str">
        <f>TEXT(IF(ABS(H43)&gt;=1E12,H43/1E12,IF(ABS(H43)&gt;=1E9,H43/1E9,IF(ABS(H43)&gt;=1E6,H43/1E6,IF(ABS(H43)&gt;=1E3,H43/1E3,H43)))),"#,##0.000")&amp;IF((IF(ABS(H43)&gt;=1E12,"TB",IF(ABS(H43)&gt;=1E9,"GB",IF(ABS(H43)&gt;=1E6,"MB",IF(ABS(H43)&gt;=1E3,"KB","bytes")))))="",""," "&amp;(IF(ABS(H43)&gt;=1E12,"TB",IF(ABS(H43)&gt;=1E9,"GB",IF(ABS(H43)&gt;=1E6,"MB",IF(ABS(H43)&gt;=1E3,"KB","bytes"))))))</f>
        <v>6.052 GB</v>
      </c>
      <c r="D43" s="4" t="s">
        <v>501</v>
      </c>
      <c r="G43" s="36">
        <f>'Prefill_8K'!$AF$20</f>
        <v>357189222536.0</v>
      </c>
      <c r="H43" s="36">
        <f>'Decode_1M'!$AF$20</f>
        <v>6051832352.0</v>
      </c>
    </row>
    <row r="44" spans="1:8">
      <c r="A44" s="4" t="s">
        <v>505</v>
      </c>
      <c r="B44" s="35" t="str">
        <f>TEXT(G44,"#,##0.000")&amp;" GB/s"</f>
        <v>231.532 GB/s</v>
      </c>
      <c r="C44" s="35" t="str">
        <f>TEXT(H44,"#,##0.000")&amp;" GB/s"</f>
        <v>403.523 GB/s</v>
      </c>
      <c r="D44" s="4" t="s">
        <v>506</v>
      </c>
      <c r="G44" s="36">
        <f>'Prefill_8K'!$AF$17/(PrefillTargetMs/1000)/1E9</f>
        <v>231.531806144</v>
      </c>
      <c r="H44" s="36">
        <f>'Decode_1M'!$AF$17/(DecodeTargetMs/1000)/1E9</f>
        <v>403.5232528</v>
      </c>
    </row>
    <row r="45" spans="1:8">
      <c r="A45" s="4" t="s">
        <v>507</v>
      </c>
      <c r="B45" s="35" t="str">
        <f>TEXT(G45,"#,##0.000")&amp;" GB/s"</f>
        <v>32.915 GB/s</v>
      </c>
      <c r="C45" s="35" t="str">
        <f>TEXT(H45,"#,##0.000")&amp;" GB/s"</f>
        <v>160.521 GB/s</v>
      </c>
      <c r="D45" s="4" t="s">
        <v>506</v>
      </c>
      <c r="G45" s="36">
        <f>'Prefill_8K'!$AF$18/(PrefillTargetMs/1000)/1E9</f>
        <v>32.915497472</v>
      </c>
      <c r="H45" s="36">
        <f>'Decode_1M'!$AF$18/(DecodeTargetMs/1000)/1E9</f>
        <v>160.5205576</v>
      </c>
    </row>
    <row r="46" spans="1:8">
      <c r="A46" s="4" t="s">
        <v>508</v>
      </c>
      <c r="B46" s="35" t="str">
        <f>TEXT(G46,"#,##0.000")&amp;" GB/s"</f>
        <v>92.742 GB/s</v>
      </c>
      <c r="C46" s="35" t="str">
        <f>TEXT(H46,"#,##0.000")&amp;" GB/s"</f>
        <v>41.139 GB/s</v>
      </c>
      <c r="D46" s="4" t="s">
        <v>506</v>
      </c>
      <c r="G46" s="36">
        <f>'Prefill_8K'!$AF$19/(PrefillTargetMs/1000)/1E9</f>
        <v>92.74191892</v>
      </c>
      <c r="H46" s="36">
        <f>'Decode_1M'!$AF$19/(DecodeTargetMs/1000)/1E9</f>
        <v>41.1394248</v>
      </c>
    </row>
    <row r="47" spans="1:8">
      <c r="A47" s="4" t="s">
        <v>509</v>
      </c>
      <c r="B47" s="35" t="str">
        <f>TEXT(IF(ABS(G47)&gt;=1E15,G47/1E15,IF(ABS(G47)&gt;=1E12,G47/1E12,IF(ABS(G47)&gt;=1E9,G47/1E9,IF(ABS(G47)&gt;=1E6,G47/1E6,G47)))),"#,##0.000")&amp;IF((IF(ABS(G47)&gt;=1E15,"PFLOPs",IF(ABS(G47)&gt;=1E12,"TFLOPs",IF(ABS(G47)&gt;=1E9,"GFLOPs",IF(ABS(G47)&gt;=1E6,"MFLOPs","flops")))))="",""," "&amp;(IF(ABS(G47)&gt;=1E15,"PFLOPs",IF(ABS(G47)&gt;=1E12,"TFLOPs",IF(ABS(G47)&gt;=1E9,"GFLOPs",IF(ABS(G47)&gt;=1E6,"MFLOPs","flops"))))))</f>
        <v>55.639 TFLOPs</v>
      </c>
      <c r="C47" s="35" t="str">
        <f>TEXT(IF(ABS(H47)&gt;=1E15,H47/1E15,IF(ABS(H47)&gt;=1E12,H47/1E12,IF(ABS(H47)&gt;=1E9,H47/1E9,IF(ABS(H47)&gt;=1E6,H47/1E6,H47)))),"#,##0.000")&amp;IF((IF(ABS(H47)&gt;=1E15,"PFLOPs",IF(ABS(H47)&gt;=1E12,"TFLOPs",IF(ABS(H47)&gt;=1E9,"GFLOPs",IF(ABS(H47)&gt;=1E6,"MFLOPs","flops")))))="",""," "&amp;(IF(ABS(H47)&gt;=1E15,"PFLOPs",IF(ABS(H47)&gt;=1E12,"TFLOPs",IF(ABS(H47)&gt;=1E9,"GFLOPs",IF(ABS(H47)&gt;=1E6,"MFLOPs","flops"))))))</f>
        <v>23.548 GFLOPs</v>
      </c>
      <c r="D47" s="4" t="s">
        <v>510</v>
      </c>
      <c r="G47" s="36">
        <f>'Prefill_8K'!$AF$16</f>
        <v>55639314186240.0</v>
      </c>
      <c r="H47" s="36">
        <f>'Decode_1M'!$AF$16</f>
        <v>23548076118.0</v>
      </c>
    </row>
    <row r="48" spans="1:8">
      <c r="A48" s="4" t="s">
        <v>511</v>
      </c>
      <c r="B48" s="35" t="str">
        <f>TEXT(IF(ABS(G48)&gt;=1E12,G48/1E12,IF(ABS(G48)&gt;=1E9,G48/1E9,IF(ABS(G48)&gt;=1E6,G48/1E6,IF(ABS(G48)&gt;=1E3,G48/1E3,G48)))),"#,##0.000")&amp;IF((IF(ABS(G48)&gt;=1E12,"TB",IF(ABS(G48)&gt;=1E9,"GB",IF(ABS(G48)&gt;=1E6,"MB",IF(ABS(G48)&gt;=1E3,"KB","bytes")))))="",""," "&amp;(IF(ABS(G48)&gt;=1E12,"TB",IF(ABS(G48)&gt;=1E9,"GB",IF(ABS(G48)&gt;=1E6,"MB",IF(ABS(G48)&gt;=1E3,"KB","bytes"))))))</f>
        <v>40.635 GB</v>
      </c>
      <c r="C48" s="35" t="str">
        <f>TEXT(IF(ABS(H48)&gt;=1E12,H48/1E12,IF(ABS(H48)&gt;=1E9,H48/1E9,IF(ABS(H48)&gt;=1E6,H48/1E6,IF(ABS(H48)&gt;=1E3,H48/1E3,H48)))),"#,##0.000")&amp;IF((IF(ABS(H48)&gt;=1E12,"TB",IF(ABS(H48)&gt;=1E9,"GB",IF(ABS(H48)&gt;=1E6,"MB",IF(ABS(H48)&gt;=1E3,"KB","bytes")))))="",""," "&amp;(IF(ABS(H48)&gt;=1E12,"TB",IF(ABS(H48)&gt;=1E9,"GB",IF(ABS(H48)&gt;=1E6,"MB",IF(ABS(H48)&gt;=1E3,"KB","bytes"))))))</f>
        <v>5.865 MB</v>
      </c>
      <c r="D48" s="4" t="s">
        <v>512</v>
      </c>
      <c r="G48" s="36">
        <f>'Prefill_8K'!$AF$21</f>
        <v>40635322112.0</v>
      </c>
      <c r="H48" s="36">
        <f>'Decode_1M'!$AF$21</f>
        <v>5865216.0</v>
      </c>
    </row>
    <row r="49" spans="1:8">
      <c r="A49" s="4" t="s">
        <v>513</v>
      </c>
      <c r="B49" s="35" t="str">
        <f>TEXT(G49,"#,##0.000")&amp;" GB/s"</f>
        <v>40.635 GB/s</v>
      </c>
      <c r="C49" s="35" t="str">
        <f>TEXT(H49,"#,##0.000")&amp;" GB/s"</f>
        <v>0.587 GB/s</v>
      </c>
      <c r="D49" s="4" t="s">
        <v>514</v>
      </c>
      <c r="G49" s="36">
        <f>'Prefill_8K'!$AF$21/(PrefillTargetMs/1000)/1E9</f>
        <v>40.635322112</v>
      </c>
      <c r="H49" s="36">
        <f>'Decode_1M'!$AF$21/(DecodeTargetMs/1000)/1E9</f>
        <v>0.5865216</v>
      </c>
    </row>
    <row r="50" spans="1:8">
      <c r="A50" s="4" t="s">
        <v>515</v>
      </c>
      <c r="B50" s="35" t="str">
        <f>TEXT(IF(ABS(G50)&gt;=1E12,G50/1E12,IF(ABS(G50)&gt;=1E9,G50/1E9,IF(ABS(G50)&gt;=1E6,G50/1E6,IF(ABS(G50)&gt;=1E3,G50/1E3,G50)))),"#,##0.000")&amp;IF((IF(ABS(G50)&gt;=1E12,"T",IF(ABS(G50)&gt;=1E9,"G",IF(ABS(G50)&gt;=1E6,"M",IF(ABS(G50)&gt;=1E3,"K","")))))="",""," "&amp;(IF(ABS(G50)&gt;=1E12,"T",IF(ABS(G50)&gt;=1E9,"G",IF(ABS(G50)&gt;=1E6,"M",IF(ABS(G50)&gt;=1E3,"K",""))))))</f>
        <v>1.140 G</v>
      </c>
      <c r="C50" s="35" t="str">
        <f>TEXT(IF(ABS(H50)&gt;=1E12,H50/1E12,IF(ABS(H50)&gt;=1E9,H50/1E9,IF(ABS(H50)&gt;=1E6,H50/1E6,IF(ABS(H50)&gt;=1E3,H50/1E3,H50)))),"#,##0.000")&amp;IF((IF(ABS(H50)&gt;=1E12,"T",IF(ABS(H50)&gt;=1E9,"G",IF(ABS(H50)&gt;=1E6,"M",IF(ABS(H50)&gt;=1E3,"K","")))))="",""," "&amp;(IF(ABS(H50)&gt;=1E12,"T",IF(ABS(H50)&gt;=1E9,"G",IF(ABS(H50)&gt;=1E6,"M",IF(ABS(H50)&gt;=1E3,"K",""))))))</f>
        <v>1.140 G</v>
      </c>
      <c r="D50" s="4" t="s">
        <v>516</v>
      </c>
      <c r="G50" s="36">
        <f>'Memory'!$Q$18</f>
        <v>1139835008.0</v>
      </c>
      <c r="H50" s="36">
        <f>'Memory'!$Q$18</f>
        <v>1139835008.0</v>
      </c>
    </row>
    <row r="51" spans="1:8">
      <c r="A51" s="4" t="s">
        <v>517</v>
      </c>
      <c r="B51" s="35" t="str">
        <f>TEXT(IF(ABS(G51)&gt;=1E12,G51/1E12,IF(ABS(G51)&gt;=1E9,G51/1E9,IF(ABS(G51)&gt;=1E6,G51/1E6,IF(ABS(G51)&gt;=1E3,G51/1E3,G51)))),"#,##0.000")&amp;IF((IF(ABS(G51)&gt;=1E12,"T",IF(ABS(G51)&gt;=1E9,"G",IF(ABS(G51)&gt;=1E6,"M",IF(ABS(G51)&gt;=1E3,"K","")))))="",""," "&amp;(IF(ABS(G51)&gt;=1E12,"T",IF(ABS(G51)&gt;=1E9,"G",IF(ABS(G51)&gt;=1E6,"M",IF(ABS(G51)&gt;=1E3,"K",""))))))</f>
        <v>35.758 G</v>
      </c>
      <c r="C51" s="35" t="str">
        <f>TEXT(IF(ABS(H51)&gt;=1E12,H51/1E12,IF(ABS(H51)&gt;=1E9,H51/1E9,IF(ABS(H51)&gt;=1E6,H51/1E6,IF(ABS(H51)&gt;=1E3,H51/1E3,H51)))),"#,##0.000")&amp;IF((IF(ABS(H51)&gt;=1E12,"T",IF(ABS(H51)&gt;=1E9,"G",IF(ABS(H51)&gt;=1E6,"M",IF(ABS(H51)&gt;=1E3,"K","")))))="",""," "&amp;(IF(ABS(H51)&gt;=1E12,"T",IF(ABS(H51)&gt;=1E9,"G",IF(ABS(H51)&gt;=1E6,"M",IF(ABS(H51)&gt;=1E3,"K",""))))))</f>
        <v>35.758 G</v>
      </c>
      <c r="D51" s="4" t="s">
        <v>518</v>
      </c>
      <c r="G51" s="36">
        <f>'Memory'!$Q$19</f>
        <v>35757730304.0</v>
      </c>
      <c r="H51" s="36">
        <f>'Memory'!$Q$19</f>
        <v>35757730304.0</v>
      </c>
    </row>
    <row r="52" spans="1:8">
      <c r="A52" s="4" t="s">
        <v>519</v>
      </c>
      <c r="B52" s="35" t="str">
        <f>TEXT(IF(ABS(G52)&gt;=1E12,G52/1E12,IF(ABS(G52)&gt;=1E9,G52/1E9,IF(ABS(G52)&gt;=1E6,G52/1E6,IF(ABS(G52)&gt;=1E3,G52/1E3,G52)))),"#,##0.000")&amp;IF((IF(ABS(G52)&gt;=1E12,"T",IF(ABS(G52)&gt;=1E9,"G",IF(ABS(G52)&gt;=1E6,"M",IF(ABS(G52)&gt;=1E3,"K","")))))="",""," "&amp;(IF(ABS(G52)&gt;=1E12,"T",IF(ABS(G52)&gt;=1E9,"G",IF(ABS(G52)&gt;=1E6,"M",IF(ABS(G52)&gt;=1E3,"K",""))))))</f>
        <v>166.690 M</v>
      </c>
      <c r="C52" s="35" t="str">
        <f>TEXT(IF(ABS(H52)&gt;=1E12,H52/1E12,IF(ABS(H52)&gt;=1E9,H52/1E9,IF(ABS(H52)&gt;=1E6,H52/1E6,IF(ABS(H52)&gt;=1E3,H52/1E3,H52)))),"#,##0.000")&amp;IF((IF(ABS(H52)&gt;=1E12,"T",IF(ABS(H52)&gt;=1E9,"G",IF(ABS(H52)&gt;=1E6,"M",IF(ABS(H52)&gt;=1E3,"K","")))))="",""," "&amp;(IF(ABS(H52)&gt;=1E12,"T",IF(ABS(H52)&gt;=1E9,"G",IF(ABS(H52)&gt;=1E6,"M",IF(ABS(H52)&gt;=1E3,"K",""))))))</f>
        <v>166.690 M</v>
      </c>
      <c r="D52" s="4" t="s">
        <v>520</v>
      </c>
      <c r="G52" s="36">
        <f>'Memory'!$Q$20</f>
        <v>166689903.0</v>
      </c>
      <c r="H52" s="36">
        <f>'Memory'!$Q$20</f>
        <v>166689903.0</v>
      </c>
    </row>
    <row r="53" spans="1:8">
      <c r="A53" s="37" t="s">
        <v>521</v>
      </c>
      <c r="B53" s="37" t="str">
        <f>TEXT(IF(ABS(G53)&gt;=1E12,G53/1E12,IF(ABS(G53)&gt;=1E9,G53/1E9,IF(ABS(G53)&gt;=1E6,G53/1E6,IF(ABS(G53)&gt;=1E3,G53/1E3,G53)))),"#,##0.000")&amp;IF((IF(ABS(G53)&gt;=1E12,"T",IF(ABS(G53)&gt;=1E9,"G",IF(ABS(G53)&gt;=1E6,"M",IF(ABS(G53)&gt;=1E3,"K","")))))="",""," "&amp;(IF(ABS(G53)&gt;=1E12,"T",IF(ABS(G53)&gt;=1E9,"G",IF(ABS(G53)&gt;=1E6,"M",IF(ABS(G53)&gt;=1E3,"K",""))))))</f>
        <v>37.064 G</v>
      </c>
      <c r="C53" s="37" t="str">
        <f>TEXT(IF(ABS(H53)&gt;=1E12,H53/1E12,IF(ABS(H53)&gt;=1E9,H53/1E9,IF(ABS(H53)&gt;=1E6,H53/1E6,IF(ABS(H53)&gt;=1E3,H53/1E3,H53)))),"#,##0.000")&amp;IF((IF(ABS(H53)&gt;=1E12,"T",IF(ABS(H53)&gt;=1E9,"G",IF(ABS(H53)&gt;=1E6,"M",IF(ABS(H53)&gt;=1E3,"K","")))))="",""," "&amp;(IF(ABS(H53)&gt;=1E12,"T",IF(ABS(H53)&gt;=1E9,"G",IF(ABS(H53)&gt;=1E6,"M",IF(ABS(H53)&gt;=1E3,"K",""))))))</f>
        <v>37.064 G</v>
      </c>
      <c r="D53" s="4" t="s">
        <v>522</v>
      </c>
      <c r="G53" s="36">
        <f>'Memory'!$Q$21</f>
        <v>37064255215.0</v>
      </c>
      <c r="H53" s="36">
        <f>'Memory'!$Q$21</f>
        <v>37064255215.0</v>
      </c>
    </row>
    <row r="54" spans="1:8">
      <c r="A54" s="4" t="s">
        <v>523</v>
      </c>
      <c r="B54" s="35" t="str">
        <f>TEXT(IF(ABS(G54)&gt;=1E12,G54/1E12,IF(ABS(G54)&gt;=1E9,G54/1E9,IF(ABS(G54)&gt;=1E6,G54/1E6,IF(ABS(G54)&gt;=1E3,G54/1E3,G54)))),"#,##0.000")&amp;IF((IF(ABS(G54)&gt;=1E12,"TB",IF(ABS(G54)&gt;=1E9,"GB",IF(ABS(G54)&gt;=1E6,"MB",IF(ABS(G54)&gt;=1E3,"KB","bytes")))))="",""," "&amp;(IF(ABS(G54)&gt;=1E12,"TB",IF(ABS(G54)&gt;=1E9,"GB",IF(ABS(G54)&gt;=1E6,"MB",IF(ABS(G54)&gt;=1E3,"KB","bytes"))))))</f>
        <v>2.238 GB</v>
      </c>
      <c r="C54" s="35" t="str">
        <f>TEXT(IF(ABS(H54)&gt;=1E12,H54/1E12,IF(ABS(H54)&gt;=1E9,H54/1E9,IF(ABS(H54)&gt;=1E6,H54/1E6,IF(ABS(H54)&gt;=1E3,H54/1E3,H54)))),"#,##0.000")&amp;IF((IF(ABS(H54)&gt;=1E12,"TB",IF(ABS(H54)&gt;=1E9,"GB",IF(ABS(H54)&gt;=1E6,"MB",IF(ABS(H54)&gt;=1E3,"KB","bytes")))))="",""," "&amp;(IF(ABS(H54)&gt;=1E12,"TB",IF(ABS(H54)&gt;=1E9,"GB",IF(ABS(H54)&gt;=1E6,"MB",IF(ABS(H54)&gt;=1E3,"KB","bytes"))))))</f>
        <v>2.238 GB</v>
      </c>
      <c r="D54" s="4" t="s">
        <v>524</v>
      </c>
      <c r="G54" s="36">
        <f>'Memory'!$S$18</f>
        <v>2237504960</v>
      </c>
      <c r="H54" s="36">
        <f>'Memory'!$S$18</f>
        <v>2237504960</v>
      </c>
    </row>
    <row r="55" spans="1:8">
      <c r="A55" s="4" t="s">
        <v>525</v>
      </c>
      <c r="B55" s="35" t="str">
        <f>TEXT(IF(ABS(G55)&gt;=1E12,G55/1E12,IF(ABS(G55)&gt;=1E9,G55/1E9,IF(ABS(G55)&gt;=1E6,G55/1E6,IF(ABS(G55)&gt;=1E3,G55/1E3,G55)))),"#,##0.000")&amp;IF((IF(ABS(G55)&gt;=1E12,"TB",IF(ABS(G55)&gt;=1E9,"GB",IF(ABS(G55)&gt;=1E6,"MB",IF(ABS(G55)&gt;=1E3,"KB","bytes")))))="",""," "&amp;(IF(ABS(G55)&gt;=1E12,"TB",IF(ABS(G55)&gt;=1E9,"GB",IF(ABS(G55)&gt;=1E6,"MB",IF(ABS(G55)&gt;=1E3,"KB","bytes"))))))</f>
        <v>19.578 GB</v>
      </c>
      <c r="C55" s="35" t="str">
        <f>TEXT(IF(ABS(H55)&gt;=1E12,H55/1E12,IF(ABS(H55)&gt;=1E9,H55/1E9,IF(ABS(H55)&gt;=1E6,H55/1E6,IF(ABS(H55)&gt;=1E3,H55/1E3,H55)))),"#,##0.000")&amp;IF((IF(ABS(H55)&gt;=1E12,"TB",IF(ABS(H55)&gt;=1E9,"GB",IF(ABS(H55)&gt;=1E6,"MB",IF(ABS(H55)&gt;=1E3,"KB","bytes")))))="",""," "&amp;(IF(ABS(H55)&gt;=1E12,"TB",IF(ABS(H55)&gt;=1E9,"GB",IF(ABS(H55)&gt;=1E6,"MB",IF(ABS(H55)&gt;=1E3,"KB","bytes"))))))</f>
        <v>19.578 GB</v>
      </c>
      <c r="D55" s="4" t="s">
        <v>526</v>
      </c>
      <c r="G55" s="36">
        <f>'Memory'!$S$19</f>
        <v>19577940480.0</v>
      </c>
      <c r="H55" s="36">
        <f>'Memory'!$S$19</f>
        <v>19577940480.0</v>
      </c>
    </row>
    <row r="56" spans="1:8">
      <c r="A56" s="4" t="s">
        <v>527</v>
      </c>
      <c r="B56" s="35" t="str">
        <f>TEXT(IF(ABS(G56)&gt;=1E12,G56/1E12,IF(ABS(G56)&gt;=1E9,G56/1E9,IF(ABS(G56)&gt;=1E6,G56/1E6,IF(ABS(G56)&gt;=1E3,G56/1E3,G56)))),"#,##0.000")&amp;IF((IF(ABS(G56)&gt;=1E12,"TB",IF(ABS(G56)&gt;=1E9,"GB",IF(ABS(G56)&gt;=1E6,"MB",IF(ABS(G56)&gt;=1E3,"KB","bytes")))))="",""," "&amp;(IF(ABS(G56)&gt;=1E12,"TB",IF(ABS(G56)&gt;=1E9,"GB",IF(ABS(G56)&gt;=1E6,"MB",IF(ABS(G56)&gt;=1E3,"KB","bytes"))))))</f>
        <v>534.377 MB</v>
      </c>
      <c r="C56" s="35" t="str">
        <f>TEXT(IF(ABS(H56)&gt;=1E12,H56/1E12,IF(ABS(H56)&gt;=1E9,H56/1E9,IF(ABS(H56)&gt;=1E6,H56/1E6,IF(ABS(H56)&gt;=1E3,H56/1E3,H56)))),"#,##0.000")&amp;IF((IF(ABS(H56)&gt;=1E12,"TB",IF(ABS(H56)&gt;=1E9,"GB",IF(ABS(H56)&gt;=1E6,"MB",IF(ABS(H56)&gt;=1E3,"KB","bytes")))))="",""," "&amp;(IF(ABS(H56)&gt;=1E12,"TB",IF(ABS(H56)&gt;=1E9,"GB",IF(ABS(H56)&gt;=1E6,"MB",IF(ABS(H56)&gt;=1E3,"KB","bytes"))))))</f>
        <v>534.377 MB</v>
      </c>
      <c r="D56" s="4" t="s">
        <v>520</v>
      </c>
      <c r="G56" s="36">
        <f>'Memory'!$S$20</f>
        <v>534376892.0</v>
      </c>
      <c r="H56" s="36">
        <f>'Memory'!$S$20</f>
        <v>534376892.0</v>
      </c>
    </row>
    <row r="57" spans="1:8">
      <c r="A57" s="37" t="s">
        <v>528</v>
      </c>
      <c r="B57" s="37" t="str">
        <f>TEXT(IF(ABS(G57)&gt;=1E12,G57/1E12,IF(ABS(G57)&gt;=1E9,G57/1E9,IF(ABS(G57)&gt;=1E6,G57/1E6,IF(ABS(G57)&gt;=1E3,G57/1E3,G57)))),"#,##0.000")&amp;IF((IF(ABS(G57)&gt;=1E12,"TB",IF(ABS(G57)&gt;=1E9,"GB",IF(ABS(G57)&gt;=1E6,"MB",IF(ABS(G57)&gt;=1E3,"KB","bytes")))))="",""," "&amp;(IF(ABS(G57)&gt;=1E12,"TB",IF(ABS(G57)&gt;=1E9,"GB",IF(ABS(G57)&gt;=1E6,"MB",IF(ABS(G57)&gt;=1E3,"KB","bytes"))))))</f>
        <v>22.350 GB</v>
      </c>
      <c r="C57" s="37" t="str">
        <f>TEXT(IF(ABS(H57)&gt;=1E12,H57/1E12,IF(ABS(H57)&gt;=1E9,H57/1E9,IF(ABS(H57)&gt;=1E6,H57/1E6,IF(ABS(H57)&gt;=1E3,H57/1E3,H57)))),"#,##0.000")&amp;IF((IF(ABS(H57)&gt;=1E12,"TB",IF(ABS(H57)&gt;=1E9,"GB",IF(ABS(H57)&gt;=1E6,"MB",IF(ABS(H57)&gt;=1E3,"KB","bytes")))))="",""," "&amp;(IF(ABS(H57)&gt;=1E12,"TB",IF(ABS(H57)&gt;=1E9,"GB",IF(ABS(H57)&gt;=1E6,"MB",IF(ABS(H57)&gt;=1E3,"KB","bytes"))))))</f>
        <v>22.350 GB</v>
      </c>
      <c r="D57" s="4" t="s">
        <v>529</v>
      </c>
      <c r="G57" s="36">
        <f>'Memory'!$S$21</f>
        <v>22349822332.0</v>
      </c>
      <c r="H57" s="36">
        <f>'Memory'!$S$21</f>
        <v>22349822332.0</v>
      </c>
    </row>
    <row r="58" spans="1:8">
      <c r="A58" s="4" t="s">
        <v>530</v>
      </c>
      <c r="B58" s="35" t="str">
        <f>TEXT(IF(ABS(G58)&gt;=1E12,G58/1E12,IF(ABS(G58)&gt;=1E9,G58/1E9,IF(ABS(G58)&gt;=1E6,G58/1E6,IF(ABS(G58)&gt;=1E3,G58/1E3,G58)))),"#,##0.000")&amp;IF((IF(ABS(G58)&gt;=1E12,"TB",IF(ABS(G58)&gt;=1E9,"GB",IF(ABS(G58)&gt;=1E6,"MB",IF(ABS(G58)&gt;=1E3,"KB","bytes")))))="",""," "&amp;(IF(ABS(G58)&gt;=1E12,"TB",IF(ABS(G58)&gt;=1E9,"GB",IF(ABS(G58)&gt;=1E6,"MB",IF(ABS(G58)&gt;=1E3,"KB","bytes"))))))</f>
        <v>50.987 MB</v>
      </c>
      <c r="C58" s="35" t="str">
        <f>TEXT(IF(ABS(H58)&gt;=1E12,H58/1E12,IF(ABS(H58)&gt;=1E9,H58/1E9,IF(ABS(H58)&gt;=1E6,H58/1E6,IF(ABS(H58)&gt;=1E3,H58/1E3,H58)))),"#,##0.000")&amp;IF((IF(ABS(H58)&gt;=1E12,"TB",IF(ABS(H58)&gt;=1E9,"GB",IF(ABS(H58)&gt;=1E6,"MB",IF(ABS(H58)&gt;=1E3,"KB","bytes")))))="",""," "&amp;(IF(ABS(H58)&gt;=1E12,"TB",IF(ABS(H58)&gt;=1E9,"GB",IF(ABS(H58)&gt;=1E6,"MB",IF(ABS(H58)&gt;=1E3,"KB","bytes"))))))</f>
        <v>5.811 GB</v>
      </c>
      <c r="D58" s="4" t="s">
        <v>531</v>
      </c>
      <c r="G58" s="36">
        <f>'Memory'!$Q$26</f>
        <v>50987008</v>
      </c>
      <c r="H58" s="36">
        <f>'Memory'!$Q$30</f>
        <v>5810552832</v>
      </c>
    </row>
    <row r="59" spans="1:8">
      <c r="A59" s="4" t="s">
        <v>532</v>
      </c>
      <c r="B59" s="35" t="str">
        <f>TEXT(IF(ABS(G59)&gt;=1E12,G59/1E12,IF(ABS(G59)&gt;=1E9,G59/1E9,IF(ABS(G59)&gt;=1E6,G59/1E6,IF(ABS(G59)&gt;=1E3,G59/1E3,G59)))),"#,##0.000")&amp;IF((IF(ABS(G59)&gt;=1E12,"TB",IF(ABS(G59)&gt;=1E9,"GB",IF(ABS(G59)&gt;=1E6,"MB",IF(ABS(G59)&gt;=1E3,"KB","bytes")))))="",""," "&amp;(IF(ABS(G59)&gt;=1E12,"TB",IF(ABS(G59)&gt;=1E9,"GB",IF(ABS(G59)&gt;=1E6,"MB",IF(ABS(G59)&gt;=1E3,"KB","bytes"))))))</f>
        <v>11.010 MB</v>
      </c>
      <c r="C59" s="35" t="str">
        <f>TEXT(IF(ABS(H59)&gt;=1E12,H59/1E12,IF(ABS(H59)&gt;=1E9,H59/1E9,IF(ABS(H59)&gt;=1E6,H59/1E6,IF(ABS(H59)&gt;=1E3,H59/1E3,H59)))),"#,##0.000")&amp;IF((IF(ABS(H59)&gt;=1E12,"TB",IF(ABS(H59)&gt;=1E9,"GB",IF(ABS(H59)&gt;=1E6,"MB",IF(ABS(H59)&gt;=1E3,"KB","bytes")))))="",""," "&amp;(IF(ABS(H59)&gt;=1E12,"TB",IF(ABS(H59)&gt;=1E9,"GB",IF(ABS(H59)&gt;=1E6,"MB",IF(ABS(H59)&gt;=1E3,"KB","bytes"))))))</f>
        <v>1.409 GB</v>
      </c>
      <c r="D59" s="4" t="s">
        <v>531</v>
      </c>
      <c r="G59" s="36">
        <f>'Memory'!$Q$27</f>
        <v>11010048</v>
      </c>
      <c r="H59" s="36">
        <f>'Memory'!$Q$31</f>
        <v>1409286144</v>
      </c>
    </row>
    <row r="60" spans="1:8">
      <c r="A60" s="4" t="s">
        <v>533</v>
      </c>
      <c r="B60" s="35" t="str">
        <f>TEXT(IF(ABS(G60)&gt;=1E12,G60/1E12,IF(ABS(G60)&gt;=1E9,G60/1E9,IF(ABS(G60)&gt;=1E6,G60/1E6,IF(ABS(G60)&gt;=1E3,G60/1E3,G60)))),"#,##0.000")&amp;IF((IF(ABS(G60)&gt;=1E12,"TB",IF(ABS(G60)&gt;=1E9,"GB",IF(ABS(G60)&gt;=1E6,"MB",IF(ABS(G60)&gt;=1E3,"KB","bytes")))))="",""," "&amp;(IF(ABS(G60)&gt;=1E12,"TB",IF(ABS(G60)&gt;=1E9,"GB",IF(ABS(G60)&gt;=1E6,"MB",IF(ABS(G60)&gt;=1E3,"KB","bytes"))))))</f>
        <v>12.206 MB</v>
      </c>
      <c r="C60" s="35" t="str">
        <f>TEXT(IF(ABS(H60)&gt;=1E12,H60/1E12,IF(ABS(H60)&gt;=1E9,H60/1E9,IF(ABS(H60)&gt;=1E6,H60/1E6,IF(ABS(H60)&gt;=1E3,H60/1E3,H60)))),"#,##0.000")&amp;IF((IF(ABS(H60)&gt;=1E12,"TB",IF(ABS(H60)&gt;=1E9,"GB",IF(ABS(H60)&gt;=1E6,"MB",IF(ABS(H60)&gt;=1E3,"KB","bytes")))))="",""," "&amp;(IF(ABS(H60)&gt;=1E12,"TB",IF(ABS(H60)&gt;=1E9,"GB",IF(ABS(H60)&gt;=1E6,"MB",IF(ABS(H60)&gt;=1E3,"KB","bytes"))))))</f>
        <v>12.206 MB</v>
      </c>
      <c r="D60" s="4" t="s">
        <v>531</v>
      </c>
      <c r="G60" s="36">
        <f>'Memory'!$Q$28</f>
        <v>12206080</v>
      </c>
      <c r="H60" s="36">
        <f>'Memory'!$Q$32</f>
        <v>12206080</v>
      </c>
    </row>
    <row r="61" spans="1:8">
      <c r="A61" s="4" t="s">
        <v>534</v>
      </c>
      <c r="B61" s="35" t="str">
        <f>TEXT(IF(ABS(G61)&gt;=1E12,G61/1E12,IF(ABS(G61)&gt;=1E9,G61/1E9,IF(ABS(G61)&gt;=1E6,G61/1E6,IF(ABS(G61)&gt;=1E3,G61/1E3,G61)))),"#,##0.000")&amp;IF((IF(ABS(G61)&gt;=1E12,"TB",IF(ABS(G61)&gt;=1E9,"GB",IF(ABS(G61)&gt;=1E6,"MB",IF(ABS(G61)&gt;=1E3,"KB","bytes")))))="",""," "&amp;(IF(ABS(G61)&gt;=1E12,"TB",IF(ABS(G61)&gt;=1E9,"GB",IF(ABS(G61)&gt;=1E6,"MB",IF(ABS(G61)&gt;=1E3,"KB","bytes"))))))</f>
        <v>7.232 GB</v>
      </c>
      <c r="C61" s="35" t="str">
        <f>TEXT(IF(ABS(H61)&gt;=1E12,H61/1E12,IF(ABS(H61)&gt;=1E9,H61/1E9,IF(ABS(H61)&gt;=1E6,H61/1E6,IF(ABS(H61)&gt;=1E3,H61/1E3,H61)))),"#,##0.000")&amp;IF((IF(ABS(H61)&gt;=1E12,"TB",IF(ABS(H61)&gt;=1E9,"GB",IF(ABS(H61)&gt;=1E6,"MB",IF(ABS(H61)&gt;=1E3,"KB","bytes")))))="",""," "&amp;(IF(ABS(H61)&gt;=1E12,"TB",IF(ABS(H61)&gt;=1E9,"GB",IF(ABS(H61)&gt;=1E6,"MB",IF(ABS(H61)&gt;=1E3,"KB","bytes"))))))</f>
        <v>7.232 GB</v>
      </c>
      <c r="D61" s="4" t="s">
        <v>531</v>
      </c>
      <c r="G61" s="36">
        <f>'Memory'!$Q$29</f>
        <v>7232045056</v>
      </c>
      <c r="H61" s="36">
        <f>'Memory'!$Q$33</f>
        <v>7232045056</v>
      </c>
    </row>
    <row r="62" spans="1:8">
      <c r="A62" s="37" t="s">
        <v>535</v>
      </c>
      <c r="B62" s="37" t="str">
        <f>TEXT(IF(ABS(G62)&gt;=1E12,G62/1E12,IF(ABS(G62)&gt;=1E9,G62/1E9,IF(ABS(G62)&gt;=1E6,G62/1E6,IF(ABS(G62)&gt;=1E3,G62/1E3,G62)))),"#,##0.000")&amp;IF((IF(ABS(G62)&gt;=1E12,"TB",IF(ABS(G62)&gt;=1E9,"GB",IF(ABS(G62)&gt;=1E6,"MB",IF(ABS(G62)&gt;=1E3,"KB","bytes")))))="",""," "&amp;(IF(ABS(G62)&gt;=1E12,"TB",IF(ABS(G62)&gt;=1E9,"GB",IF(ABS(G62)&gt;=1E6,"MB",IF(ABS(G62)&gt;=1E3,"KB","bytes"))))))</f>
        <v>29.582 GB</v>
      </c>
      <c r="C62" s="37" t="str">
        <f>TEXT(IF(ABS(H62)&gt;=1E12,H62/1E12,IF(ABS(H62)&gt;=1E9,H62/1E9,IF(ABS(H62)&gt;=1E6,H62/1E6,IF(ABS(H62)&gt;=1E3,H62/1E3,H62)))),"#,##0.000")&amp;IF((IF(ABS(H62)&gt;=1E12,"TB",IF(ABS(H62)&gt;=1E9,"GB",IF(ABS(H62)&gt;=1E6,"MB",IF(ABS(H62)&gt;=1E3,"KB","bytes")))))="",""," "&amp;(IF(ABS(H62)&gt;=1E12,"TB",IF(ABS(H62)&gt;=1E9,"GB",IF(ABS(H62)&gt;=1E6,"MB",IF(ABS(H62)&gt;=1E3,"KB","bytes"))))))</f>
        <v>29.582 GB</v>
      </c>
      <c r="D62" s="4" t="s">
        <v>536</v>
      </c>
      <c r="G62" s="36">
        <f>'Memory'!$S$21+'Memory'!$Q$29</f>
        <v>29581867388.0</v>
      </c>
      <c r="H62" s="36">
        <f>'Memory'!$S$21+'Memory'!$Q$33</f>
        <v>29581867388.0</v>
      </c>
    </row>
  </sheetData>
  <mergeCells count="2">
    <mergeCell ref="A4:D4"/>
    <mergeCell ref="A34:D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73</vt:i4>
      </vt:variant>
    </vt:vector>
  </HeadingPairs>
  <TitlesOfParts>
    <vt:vector size="82" baseType="lpstr">
      <vt:lpstr>Parameters</vt:lpstr>
      <vt:lpstr>Layer_Config</vt:lpstr>
      <vt:lpstr>Prefill_8K</vt:lpstr>
      <vt:lpstr>Decode_1M</vt:lpstr>
      <vt:lpstr>Memory</vt:lpstr>
      <vt:lpstr>dtype</vt:lpstr>
      <vt:lpstr>Comparison</vt:lpstr>
      <vt:lpstr>Methodology</vt:lpstr>
      <vt:lpstr>Summary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2026-08-28T02:05:16Z</dcterms:created>
  <dcterms:modified xsi:type="dcterms:W3CDTF">2026-08-28T02:05:16Z</dcterms:modified>
</cp:coreProperties>
</file>