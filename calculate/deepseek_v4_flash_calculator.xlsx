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5"/>
  </bookViews>
  <sheets>
    <sheet name="Parameters" sheetId="1" r:id="rId1"/>
    <sheet name="Prefill_8K" sheetId="2" r:id="rId2"/>
    <sheet name="Decode_1M" sheetId="3" r:id="rId3"/>
    <sheet name="dtype" sheetId="4" r:id="rId4"/>
    <sheet name="Comparison" sheetId="5" r:id="rId5"/>
    <sheet name="Summary" sheetId="6" r:id="rId6"/>
    <sheet name="Layer_Config" sheetId="7" r:id="rId7"/>
    <sheet name="Methodology" sheetId="8" r:id="rId8"/>
  </sheets>
  <definedNames>
    <definedName name="_xlnm._FilterDatabase" localSheetId="6" hidden="1">Layer_Config!$A$3:$F$67</definedName>
    <definedName name="_xlnm._FilterDatabase" localSheetId="0" hidden="1">Parameters!$A$3:$E$60</definedName>
    <definedName name="ActivatedExperts">'Parameters'!$D$21</definedName>
    <definedName name="ActiveHashLayers">'Parameters'!$D$48</definedName>
    <definedName name="BF16Bytes">'Parameters'!$D$33</definedName>
    <definedName name="DC_ExpertActiveProbability">'Decode_1M'!$B$9</definedName>
    <definedName name="DC_IndexPairs">'Decode_1M'!$B$8</definedName>
    <definedName name="DC_LongPairs">'Decode_1M'!$B$7</definedName>
    <definedName name="DC_RawPairs">'Decode_1M'!$B$5</definedName>
    <definedName name="DC_Rows">'Decode_1M'!$B$4</definedName>
    <definedName name="DC_ShortPairs">'Decode_1M'!$B$6</definedName>
    <definedName name="DecodeBatch">'Parameters'!$D$8</definedName>
    <definedName name="DecodeContext">'Parameters'!$D$10</definedName>
    <definedName name="DecodeTokens">'Parameters'!$D$9</definedName>
    <definedName name="ExpertInter">'Parameters'!$D$23</definedName>
    <definedName name="FP32Bytes">'Parameters'!$D$34</definedName>
    <definedName name="FP4Block">'Parameters'!$D$41</definedName>
    <definedName name="FP4Bytes">'Parameters'!$D$36</definedName>
    <definedName name="FP8Block">'Parameters'!$D$40</definedName>
    <definedName name="FP8Bytes">'Parameters'!$D$35</definedName>
    <definedName name="HashLayers">'Parameters'!$D$32</definedName>
    <definedName name="HCIters">'Parameters'!$D$31</definedName>
    <definedName name="HCSlots">'Parameters'!$D$30</definedName>
    <definedName name="HeadDim">'Parameters'!$D$15</definedName>
    <definedName name="HiddenSize">'Parameters'!$D$12</definedName>
    <definedName name="IndexHeadDim">'Parameters'!$D$28</definedName>
    <definedName name="IndexHeads">'Parameters'!$D$27</definedName>
    <definedName name="IndexTopK">'Parameters'!$D$29</definedName>
    <definedName name="INT32Bytes">'Parameters'!$D$38</definedName>
    <definedName name="INT64Bytes">'Parameters'!$D$39</definedName>
    <definedName name="KernelMinHeads">'Parameters'!$D$42</definedName>
    <definedName name="LongLayers">'Parameters'!$D$47</definedName>
    <definedName name="LongRatio">'Parameters'!$D$26</definedName>
    <definedName name="MaxContext">'Parameters'!$D$11</definedName>
    <definedName name="NumHeads">'Parameters'!$D$14</definedName>
    <definedName name="OGroups">'Parameters'!$D$18</definedName>
    <definedName name="OLoraRank">'Parameters'!$D$19</definedName>
    <definedName name="PeakTFLOPs">'Parameters'!$D$43</definedName>
    <definedName name="PF_ExpertActiveProbability">'Prefill_8K'!$B$9</definedName>
    <definedName name="PF_IndexPairs">'Prefill_8K'!$B$8</definedName>
    <definedName name="PF_LongPairs">'Prefill_8K'!$B$7</definedName>
    <definedName name="PF_RawPairs">'Prefill_8K'!$B$5</definedName>
    <definedName name="PF_Rows">'Prefill_8K'!$B$4</definedName>
    <definedName name="PF_ShortPairs">'Prefill_8K'!$B$6</definedName>
    <definedName name="PrefillBatch">'Parameters'!$D$6</definedName>
    <definedName name="PrefillSequence">'Parameters'!$D$7</definedName>
    <definedName name="QLoraRank">'Parameters'!$D$17</definedName>
    <definedName name="RopeDim">'Parameters'!$D$16</definedName>
    <definedName name="RoutedExperts">'Parameters'!$D$20</definedName>
    <definedName name="ScaleBytes">'Parameters'!$D$37</definedName>
    <definedName name="SharedExperts">'Parameters'!$D$22</definedName>
    <definedName name="ShortLayers">'Parameters'!$D$46</definedName>
    <definedName name="ShortRatio">'Parameters'!$D$25</definedName>
    <definedName name="TotalLayers">'Parameters'!$D$44</definedName>
    <definedName name="TP1KernelLocalHeads">'Parameters'!$D$50</definedName>
    <definedName name="TP1LocalExperts">'Parameters'!$D$52</definedName>
    <definedName name="TP1LocalHeads">'Parameters'!$D$49</definedName>
    <definedName name="TP1LocalIndexHeads">'Parameters'!$D$51</definedName>
    <definedName name="TP1LocalOGroups">'Parameters'!$D$53</definedName>
    <definedName name="TP1LocalVocab">'Parameters'!$D$54</definedName>
    <definedName name="TP1Size">'Parameters'!$D$4</definedName>
    <definedName name="TP8KernelLocalHeads">'Parameters'!$D$56</definedName>
    <definedName name="TP8LocalExperts">'Parameters'!$D$58</definedName>
    <definedName name="TP8LocalHeads">'Parameters'!$D$55</definedName>
    <definedName name="TP8LocalIndexHeads">'Parameters'!$D$57</definedName>
    <definedName name="TP8LocalOGroups">'Parameters'!$D$59</definedName>
    <definedName name="TP8LocalVocab">'Parameters'!$D$60</definedName>
    <definedName name="TP8Size">'Parameters'!$D$5</definedName>
    <definedName name="VocabSize">'Parameters'!$D$13</definedName>
    <definedName name="WindowLayers">'Parameters'!$D$45</definedName>
    <definedName name="WindowSize">'Parameters'!$D$24</definedName>
  </definedNames>
  <calcPr calcId="124519" fullCalcOnLoad="1"/>
</workbook>
</file>

<file path=xl/sharedStrings.xml><?xml version="1.0" encoding="utf-8"?>
<sst xmlns="http://schemas.openxmlformats.org/spreadsheetml/2006/main" count="1419" uniqueCount="533">
  <si>
    <t>DeepSeek V4 Flash - Editable Architecture Parameters</t>
  </si>
  <si>
    <t>蓝色单元格为可编辑输入，绿色单元格为 Excel 派生公式。</t>
  </si>
  <si>
    <t>Category</t>
  </si>
  <si>
    <t>Parameter</t>
  </si>
  <si>
    <t>Excel name</t>
  </si>
  <si>
    <t>Value</t>
  </si>
  <si>
    <t>Description</t>
  </si>
  <si>
    <t>Parallel</t>
  </si>
  <si>
    <t>TP1 comparison size</t>
  </si>
  <si>
    <t>TP1Size</t>
  </si>
  <si>
    <t>第一组张量并行配置。</t>
  </si>
  <si>
    <t>TP8 comparison size</t>
  </si>
  <si>
    <t>TP8Size</t>
  </si>
  <si>
    <t>第二组张量并行配置，可编辑。</t>
  </si>
  <si>
    <t>Scenario</t>
  </si>
  <si>
    <t>Prefill batch size</t>
  </si>
  <si>
    <t>PrefillBatch</t>
  </si>
  <si>
    <t>可编辑的预填充批大小。</t>
  </si>
  <si>
    <t>Prefill sequence length</t>
  </si>
  <si>
    <t>PrefillSequence</t>
  </si>
  <si>
    <t>一次预填充处理的提示词令牌数。</t>
  </si>
  <si>
    <t>Decode batch size</t>
  </si>
  <si>
    <t>DecodeBatch</t>
  </si>
  <si>
    <t>可编辑的解码批大小。</t>
  </si>
  <si>
    <t>Decode tokens per step</t>
  </si>
  <si>
    <t>DecodeTokens</t>
  </si>
  <si>
    <t>通常为 1；公式按解码上下文长度建模每个令牌。</t>
  </si>
  <si>
    <t>Decode context</t>
  </si>
  <si>
    <t>DecodeContext</t>
  </si>
  <si>
    <t>解码阶段可见的有效上下文长度。</t>
  </si>
  <si>
    <t>Maximum allocated context</t>
  </si>
  <si>
    <t>MaxContext</t>
  </si>
  <si>
    <t>KV 缓存的预分配容量。</t>
  </si>
  <si>
    <t>Model</t>
  </si>
  <si>
    <t>Hidden size</t>
  </si>
  <si>
    <t>HiddenSize</t>
  </si>
  <si>
    <t>Transformer 残差宽度。</t>
  </si>
  <si>
    <t>Vocabulary size</t>
  </si>
  <si>
    <t>VocabSize</t>
  </si>
  <si>
    <t>Embedding 与 LM Head 使用的词表大小。</t>
  </si>
  <si>
    <t>Attention</t>
  </si>
  <si>
    <t>Query heads</t>
  </si>
  <si>
    <t>NumHeads</t>
  </si>
  <si>
    <t>全局 Query 头数量。</t>
  </si>
  <si>
    <t>Head dimension</t>
  </si>
  <si>
    <t>HeadDim</t>
  </si>
  <si>
    <t>共享潜在 KV 宽度及每个 Query 头的宽度。</t>
  </si>
  <si>
    <t>RoPE dimension</t>
  </si>
  <si>
    <t>RopeDim</t>
  </si>
  <si>
    <t>HeadDim 中用于旋转位置编码的维度。</t>
  </si>
  <si>
    <t>Q LoRA rank</t>
  </si>
  <si>
    <t>QLoraRank</t>
  </si>
  <si>
    <t>Q 投影的低秩中间宽度。</t>
  </si>
  <si>
    <t>Output groups</t>
  </si>
  <si>
    <t>OGroups</t>
  </si>
  <si>
    <t>分组低秩输出投影的分组数量。</t>
  </si>
  <si>
    <t>Output LoRA rank</t>
  </si>
  <si>
    <t>OLoraRank</t>
  </si>
  <si>
    <t>每个输出分组的低秩宽度。</t>
  </si>
  <si>
    <t>MoE</t>
  </si>
  <si>
    <t>Routed experts</t>
  </si>
  <si>
    <t>RoutedExperts</t>
  </si>
  <si>
    <t>每个专家块的全局路由专家数量。</t>
  </si>
  <si>
    <t>Activated experts</t>
  </si>
  <si>
    <t>ActivatedExperts</t>
  </si>
  <si>
    <t>每个令牌选取的 Top-K 路由专家数量。</t>
  </si>
  <si>
    <t>Shared experts</t>
  </si>
  <si>
    <t>SharedExperts</t>
  </si>
  <si>
    <t>每个专家块复制的共享专家数量。</t>
  </si>
  <si>
    <t>Expert intermediate size</t>
  </si>
  <si>
    <t>ExpertInter</t>
  </si>
  <si>
    <t>SwiGLU 专家的中间维度。</t>
  </si>
  <si>
    <t>Cache</t>
  </si>
  <si>
    <t>Raw sliding window</t>
  </si>
  <si>
    <t>WindowSize</t>
  </si>
  <si>
    <t>每层保留的原始 KV 位置数量。</t>
  </si>
  <si>
    <t>Short compression ratio</t>
  </si>
  <si>
    <t>ShortRatio</t>
  </si>
  <si>
    <t>默认的 ratio-4 模式。</t>
  </si>
  <si>
    <t>Long compression ratio</t>
  </si>
  <si>
    <t>LongRatio</t>
  </si>
  <si>
    <t>默认的 ratio-128 模式。</t>
  </si>
  <si>
    <t>Indexer</t>
  </si>
  <si>
    <t>Indexer heads</t>
  </si>
  <si>
    <t>IndexHeads</t>
  </si>
  <si>
    <t>全局 ratio-4 Indexer 头数量。</t>
  </si>
  <si>
    <t>Indexer head dimension</t>
  </si>
  <si>
    <t>IndexHeadDim</t>
  </si>
  <si>
    <t>Indexer Q/K 的维度。</t>
  </si>
  <si>
    <t>Indexer Top-K</t>
  </si>
  <si>
    <t>IndexTopK</t>
  </si>
  <si>
    <t>ratio-4 注意力保留的压缩条目数量。</t>
  </si>
  <si>
    <t>HC</t>
  </si>
  <si>
    <t>HC slots</t>
  </si>
  <si>
    <t>HCSlots</t>
  </si>
  <si>
    <t>Hyper-Connection 残差流数量。</t>
  </si>
  <si>
    <t>Sinkhorn iterations</t>
  </si>
  <si>
    <t>HCIters</t>
  </si>
  <si>
    <t>HC 组合归一化的迭代次数。</t>
  </si>
  <si>
    <t>Routing</t>
  </si>
  <si>
    <t>Hash-routed layers</t>
  </si>
  <si>
    <t>HashLayers</t>
  </si>
  <si>
    <t>使用令牌编号到专家编号的路由起始层数量。</t>
  </si>
  <si>
    <t>DType</t>
  </si>
  <si>
    <t>BF16 bytes</t>
  </si>
  <si>
    <t>BF16Bytes</t>
  </si>
  <si>
    <t>每个 BF16 元素占用的存储字节数。</t>
  </si>
  <si>
    <t>FP32 bytes</t>
  </si>
  <si>
    <t>FP32Bytes</t>
  </si>
  <si>
    <t>每个 FP32 元素占用的存储字节数。</t>
  </si>
  <si>
    <t>FP8 bytes</t>
  </si>
  <si>
    <t>FP8Bytes</t>
  </si>
  <si>
    <t>每个 FP8 元素占用的存储字节数。</t>
  </si>
  <si>
    <t>FP4 bytes</t>
  </si>
  <si>
    <t>FP4Bytes</t>
  </si>
  <si>
    <t>每个 FP4 元素的逻辑打包字节数。</t>
  </si>
  <si>
    <t>Scale bytes</t>
  </si>
  <si>
    <t>ScaleBytes</t>
  </si>
  <si>
    <t>E8M0 Scale 的存储字节数。</t>
  </si>
  <si>
    <t>INT32 bytes</t>
  </si>
  <si>
    <t>INT32Bytes</t>
  </si>
  <si>
    <t>每个 INT32 元素占用的存储字节数。</t>
  </si>
  <si>
    <t>INT64 bytes</t>
  </si>
  <si>
    <t>INT64Bytes</t>
  </si>
  <si>
    <t>每个 INT64 元素占用的存储字节数。</t>
  </si>
  <si>
    <t>Quantization</t>
  </si>
  <si>
    <t>FP8 scale block</t>
  </si>
  <si>
    <t>FP8Block</t>
  </si>
  <si>
    <t>二维 FP8 权重 Scale 的分块大小。</t>
  </si>
  <si>
    <t>FP4 scale block</t>
  </si>
  <si>
    <t>FP4Block</t>
  </si>
  <si>
    <t>沿 K 维度的 FP4 专家 Scale 分块大小。</t>
  </si>
  <si>
    <t>Kernel</t>
  </si>
  <si>
    <t>Minimum sparse-attention heads</t>
  </si>
  <si>
    <t>KernelMinHeads</t>
  </si>
  <si>
    <t>当本地头数不足时，内核补齐到该头数。</t>
  </si>
  <si>
    <t>Hardware</t>
  </si>
  <si>
    <t>Peak compute</t>
  </si>
  <si>
    <t>PeakTFLOPs</t>
  </si>
  <si>
    <t>可编辑的示例硬件峰值算力。</t>
  </si>
  <si>
    <t>Derived</t>
  </si>
  <si>
    <t>Active layers</t>
  </si>
  <si>
    <t>TotalLayers</t>
  </si>
  <si>
    <t>Layer_Config 中启用的层数。</t>
  </si>
  <si>
    <t>Window-only layers</t>
  </si>
  <si>
    <t>WindowLayers</t>
  </si>
  <si>
    <t>启用的窗口模式层数。</t>
  </si>
  <si>
    <t>Short-compression layers</t>
  </si>
  <si>
    <t>ShortLayers</t>
  </si>
  <si>
    <t>启用的 ratio-4/短压缩层数。</t>
  </si>
  <si>
    <t>Long-compression layers</t>
  </si>
  <si>
    <t>LongLayers</t>
  </si>
  <si>
    <t>启用的 ratio-128/长压缩层数。</t>
  </si>
  <si>
    <t>Active hash layers</t>
  </si>
  <si>
    <t>ActiveHashLayers</t>
  </si>
  <si>
    <t>层 ID 小于 HashLayers 且已启用的层数。</t>
  </si>
  <si>
    <t>TP1 local Q heads</t>
  </si>
  <si>
    <t>TP1LocalHeads</t>
  </si>
  <si>
    <t>单个 TP1 Rank 上的 Q 头数。</t>
  </si>
  <si>
    <t>TP1 kernel local heads</t>
  </si>
  <si>
    <t>TP1KernelLocalHeads</t>
  </si>
  <si>
    <t>补齐后的稀疏内核本地头数。</t>
  </si>
  <si>
    <t>TP1 local index heads</t>
  </si>
  <si>
    <t>TP1LocalIndexHeads</t>
  </si>
  <si>
    <t>单个 TP1 Rank 上的 Indexer 头数。</t>
  </si>
  <si>
    <t>TP1 local experts</t>
  </si>
  <si>
    <t>TP1LocalExperts</t>
  </si>
  <si>
    <t>单个 TP1 Rank 上的路由专家数。</t>
  </si>
  <si>
    <t>TP1 local output groups</t>
  </si>
  <si>
    <t>TP1LocalOGroups</t>
  </si>
  <si>
    <t>单个 TP1 Rank 上的输出分组数。</t>
  </si>
  <si>
    <t>TP1 local vocabulary</t>
  </si>
  <si>
    <t>TP1LocalVocab</t>
  </si>
  <si>
    <t>单个 TP1 Rank 上的词表行数。</t>
  </si>
  <si>
    <t>TP8 local Q heads</t>
  </si>
  <si>
    <t>TP8LocalHeads</t>
  </si>
  <si>
    <t>单个 TP8 Rank 上的 Q 头数。</t>
  </si>
  <si>
    <t>TP8 kernel local heads</t>
  </si>
  <si>
    <t>TP8KernelLocalHeads</t>
  </si>
  <si>
    <t>TP8 local index heads</t>
  </si>
  <si>
    <t>TP8LocalIndexHeads</t>
  </si>
  <si>
    <t>单个 TP8 Rank 上的 Indexer 头数。</t>
  </si>
  <si>
    <t>TP8 local experts</t>
  </si>
  <si>
    <t>TP8LocalExperts</t>
  </si>
  <si>
    <t>单个 TP8 Rank 上的路由专家数。</t>
  </si>
  <si>
    <t>TP8 local output groups</t>
  </si>
  <si>
    <t>TP8LocalOGroups</t>
  </si>
  <si>
    <t>单个 TP8 Rank 上的输出分组数。</t>
  </si>
  <si>
    <t>TP8 local vocabulary</t>
  </si>
  <si>
    <t>TP8LocalVocab</t>
  </si>
  <si>
    <t>单个 TP8 Rank 上的词表行数。</t>
  </si>
  <si>
    <t>8K Prefill - TP1 vs TP8 inference resources</t>
  </si>
  <si>
    <t>容量为单 Rank 资源；分类容量是静态参数，整网容量另含 MaxContext 预分配 KV/State。可见通信列为每 Rank 原始集合通信数据量。</t>
  </si>
  <si>
    <t>Helper metric</t>
  </si>
  <si>
    <t>Unit</t>
  </si>
  <si>
    <t>令牌行数</t>
  </si>
  <si>
    <t>令牌行</t>
  </si>
  <si>
    <t>当前场景需要处理的令牌总数；预填充为批大小乘序列长度，解码为批大小乘每步令牌数。</t>
  </si>
  <si>
    <t>因果原始窗口对数</t>
  </si>
  <si>
    <t>对数/序列</t>
  </si>
  <si>
    <t>因果原始窗口路径中可参与注意力计算的令牌对数量，按每个序列统计。</t>
  </si>
  <si>
    <t>封顶短压缩对数</t>
  </si>
  <si>
    <t>短压缩路径的候选令牌对数量；按短压缩比例折叠，并受 Top-K 候选上限约束。</t>
  </si>
  <si>
    <t>长压缩对数</t>
  </si>
  <si>
    <t>长压缩路径按长压缩比例折叠后的候选令牌对数量。</t>
  </si>
  <si>
    <t>Indexer 扫描对数</t>
  </si>
  <si>
    <t>ratio-4 Indexer 评分时需要扫描的压缩条目数量，作为索引器计算量输入。</t>
  </si>
  <si>
    <t>专家激活概率</t>
  </si>
  <si>
    <t>概率</t>
  </si>
  <si>
    <t>在当前场景令牌数下，单个路由专家至少被激活一次的概率，用于估算路由专家参数读取量。</t>
  </si>
  <si>
    <t>整网与主要模块汇总</t>
  </si>
  <si>
    <t>类别</t>
  </si>
  <si>
    <t>TP1 容量</t>
  </si>
  <si>
    <t>TP1 算力</t>
  </si>
  <si>
    <t>TP1 通信量</t>
  </si>
  <si>
    <t>TP8 容量/rank</t>
  </si>
  <si>
    <t>TP8 算力/rank</t>
  </si>
  <si>
    <t>TP8 通信量/rank</t>
  </si>
  <si>
    <t>参数类型</t>
  </si>
  <si>
    <t>激活类型</t>
  </si>
  <si>
    <t>说明</t>
  </si>
  <si>
    <t>整网</t>
  </si>
  <si>
    <t>全推理路径；容量含 MaxContext KV/State；整网容量 = 静态参数 + 预分配 KV/State。</t>
  </si>
  <si>
    <t>FP8 / FP4 / BF16 / FP32</t>
  </si>
  <si>
    <t>BF16 / FP32 / INT32</t>
  </si>
  <si>
    <t>Window + short/long + Indexer；分类容量为 Attention 静态参数；缓存明细在下表。</t>
  </si>
  <si>
    <t>FP8 / BF16 / FP32</t>
  </si>
  <si>
    <t>BF16 / FP32</t>
  </si>
  <si>
    <t>All active layers；路由专家、共享专家和 Router。</t>
  </si>
  <si>
    <t>FP4 / FP8 / BF16 / FP32 / INT32</t>
  </si>
  <si>
    <t>Embedding</t>
  </si>
  <si>
    <t>Input embedding；词表维度按 TP 分片。</t>
  </si>
  <si>
    <t>BF16</t>
  </si>
  <si>
    <t>BF16 hidden / residual</t>
  </si>
  <si>
    <t>LM Head</t>
  </si>
  <si>
    <t>Model tail；词表维度按 TP 分片；Prefill 只计算最后一个 token 的 logits。</t>
  </si>
  <si>
    <t>FP32</t>
  </si>
  <si>
    <t>FP32 logits</t>
  </si>
  <si>
    <t>Norm</t>
  </si>
  <si>
    <t>Block norms + final norm；含注意力 Sink 向量的参数容量。</t>
  </si>
  <si>
    <t>BF16 -&gt; FP32 -&gt; BF16</t>
  </si>
  <si>
    <t>Block HC + tail HC head；含 block HC 和模型尾部 HC head。</t>
  </si>
  <si>
    <t>FP32 mixing + BF16 hidden/residual</t>
  </si>
  <si>
    <t>residual</t>
  </si>
  <si>
    <t>HC state workspace；临时 workspace 不重复计入驻留容量。</t>
  </si>
  <si>
    <t>N/A</t>
  </si>
  <si>
    <t>BF16 residual / HC state</t>
  </si>
  <si>
    <t>典型层与模块明细</t>
  </si>
  <si>
    <t>典型层/模块</t>
  </si>
  <si>
    <t>层范围</t>
  </si>
  <si>
    <t>Input embedding</t>
  </si>
  <si>
    <t>BF16 embedding weights</t>
  </si>
  <si>
    <t>按令牌读取本地词表分片并生成 BF16 hidden；Embedding 后的集合通信已计入本行。</t>
  </si>
  <si>
    <t>Q/K/O projections</t>
  </si>
  <si>
    <t>All active layers</t>
  </si>
  <si>
    <t>FP8 E4M3 + E8M0 scales; wo_a BF16</t>
  </si>
  <si>
    <t>BF16 input/output; FP8 GEMM activations</t>
  </si>
  <si>
    <t>Wq_a 和 Wkv 在每个 TP Rank 上复制；Wq_b/Wo_a/Wo_b 按 TP 分片。</t>
  </si>
  <si>
    <t>Window sparse attention</t>
  </si>
  <si>
    <t>Window layers</t>
  </si>
  <si>
    <t>BF16 Q/K/V; BF16 window KV</t>
  </si>
  <si>
    <t>KV 在各头之间共享；每个 Rank 的内核头数包含最小头数补齐。</t>
  </si>
  <si>
    <t>Short-compression sparse attention</t>
  </si>
  <si>
    <t>Ratio-4 short-compression layers</t>
  </si>
  <si>
    <t>BF16 Q/K; BF16 compressed KV</t>
  </si>
  <si>
    <t>Long-compression sparse attention</t>
  </si>
  <si>
    <t>Ratio-128 long-compression layers</t>
  </si>
  <si>
    <t>Ratio-4 Indexer projections</t>
  </si>
  <si>
    <t>FP8/BF16 Indexer projection weights</t>
  </si>
  <si>
    <t>BF16 projected features; FP32 scoring</t>
  </si>
  <si>
    <t>Indexer Q 和令牌权重投影；仅 ratio-4 层使用。</t>
  </si>
  <si>
    <t>Ratio-4 Indexer score scan</t>
  </si>
  <si>
    <t>BF16 compressed entries; FP32 scores</t>
  </si>
  <si>
    <t>在选取 Top-K 前扫描所有已完成的 ratio-4 索引条目。</t>
  </si>
  <si>
    <t>Short-compression KV compressor</t>
  </si>
  <si>
    <t>FP32 Compressor parameters</t>
  </si>
  <si>
    <t>FP32 compression; BF16 KV output</t>
  </si>
  <si>
    <t>每个 TP Rank 都复制；ratio-4 使用重叠的 2 倍投影。</t>
  </si>
  <si>
    <t>Long-compression KV compressor</t>
  </si>
  <si>
    <t>每个 TP Rank 都复制；ratio-128 使用非重叠压缩。</t>
  </si>
  <si>
    <t>Indexer compressor projections</t>
  </si>
  <si>
    <t>FP32 Indexer Compressor parameters</t>
  </si>
  <si>
    <t>FP32 compression; BF16 Indexer KV</t>
  </si>
  <si>
    <t>复制的辅助 Compressor，用于构建 Indexer 缓存。</t>
  </si>
  <si>
    <t>Attention collectives</t>
  </si>
  <si>
    <t>Each Transformer block</t>
  </si>
  <si>
    <t>BF16/FP32 collective payload</t>
  </si>
  <si>
    <t>每个 Transformer block 的 Attention 隐藏状态集合通信；TP=1 时为零。</t>
  </si>
  <si>
    <t>Prefill effective main KV</t>
  </si>
  <si>
    <t>Scenario cache/state</t>
  </si>
  <si>
    <t>BF16 main KV cache</t>
  </si>
  <si>
    <t>预填充阶段已生成的主注意力 KV。</t>
  </si>
  <si>
    <t>Prefill effective Indexer KV</t>
  </si>
  <si>
    <t>BF16 Indexer KV cache</t>
  </si>
  <si>
    <t>预填充阶段已生成的 ratio-4 Indexer KV。</t>
  </si>
  <si>
    <t>Prefill compressor states</t>
  </si>
  <si>
    <t>FP32 compressor state</t>
  </si>
  <si>
    <t>预填充阶段的 Compressor 与 Indexer 状态。</t>
  </si>
  <si>
    <t>Prefill preallocated KV + states</t>
  </si>
  <si>
    <t>BF16 KV + FP32 state</t>
  </si>
  <si>
    <t>按 MaxContext 为预填充阶段预分配；不与有效容量相加。</t>
  </si>
  <si>
    <t>Router score projection</t>
  </si>
  <si>
    <t>BF16 gate + FP32 bias + INT32 Token-ID lookup table</t>
  </si>
  <si>
    <t>BF16 hidden; FP32 scores; INT32 indices</t>
  </si>
  <si>
    <t>即使是哈希路由层，源码仍会计算 Gate 分数。</t>
  </si>
  <si>
    <t>Top-K routed experts</t>
  </si>
  <si>
    <t>FP4 E2M1 + E8M0 scales</t>
  </si>
  <si>
    <t>BF16 input/output; FP32 SwiGLU</t>
  </si>
  <si>
    <t>每个 Rank 的均衡期望分配；参数读取使用专家至少被触发一次的概率。</t>
  </si>
  <si>
    <t>Shared expert</t>
  </si>
  <si>
    <t>FP8 E4M3 + E8M0 scales</t>
  </si>
  <si>
    <t>共享专家在每个 TP Rank 上复制，并独立计算。</t>
  </si>
  <si>
    <t>MoE collectives</t>
  </si>
  <si>
    <t>每个 Transformer block 的 MoE 隐藏状态集合通信；TP=1 时为零。</t>
  </si>
  <si>
    <t>Hyper-Connections</t>
  </si>
  <si>
    <t>All active layers + model tail HC head</t>
  </si>
  <si>
    <t>FP32 HC parameters</t>
  </si>
  <si>
    <t>FP32 mixing; BF16 hidden and residual state</t>
  </si>
  <si>
    <t>HC 计算为近似值；尾部 HC head 与 block HC 都在此计入，sigmoid/exp/Sinkhorn 仅做定性跟踪。</t>
  </si>
  <si>
    <t>All active layers + final norm</t>
  </si>
  <si>
    <t>FP32 normalization parameters</t>
  </si>
  <si>
    <t>BF16 input/output; FP32 normalization</t>
  </si>
  <si>
    <t>RMSNorm 在 FP32 中计算，输出回到 BF16；注意力 Sink 向量的参数容量随 Norm 组件计入。</t>
  </si>
  <si>
    <t>HC state workspace</t>
  </si>
  <si>
    <t>临时 BF16 residual/HC state 不重复计入静态参数容量；驻留容量口径在场景汇总中单独说明。</t>
  </si>
  <si>
    <t>Tail</t>
  </si>
  <si>
    <t>FP32 LM Head parameters</t>
  </si>
  <si>
    <t>推理路径仅根据最后一个隐藏令牌计算 logits；词表 AllGather 集合通信已计入本行。</t>
  </si>
  <si>
    <t>1M-context Decode - TP1 vs TP8 inference resources</t>
  </si>
  <si>
    <t>原始窗口候选数</t>
  </si>
  <si>
    <t>解码时原始滑动窗口可见的候选条目数量，受窗口大小和当前上下文长度限制。</t>
  </si>
  <si>
    <t>短压缩 Top-K 候选数</t>
  </si>
  <si>
    <t>解码时短压缩路径最终保留的 Top-K 候选数量，取 Top-K 与已生成压缩条目数的较小值。</t>
  </si>
  <si>
    <t>长压缩候选数</t>
  </si>
  <si>
    <t>解码时长压缩路径按长压缩比例生成的候选条目数量。</t>
  </si>
  <si>
    <t>Indexer 扫描候选数</t>
  </si>
  <si>
    <t>解码时 ratio-4 Indexer 需要扫描的压缩条目数量，用于估算索引器评分计算量。</t>
  </si>
  <si>
    <t>Decode effective main KV</t>
  </si>
  <si>
    <t>解码阶段的主注意力 KV。</t>
  </si>
  <si>
    <t>Decode effective Indexer KV</t>
  </si>
  <si>
    <t>解码阶段已生成的 ratio-4 Indexer KV。</t>
  </si>
  <si>
    <t>Decode compressor states</t>
  </si>
  <si>
    <t>解码阶段的 Compressor 与 Indexer 状态。</t>
  </si>
  <si>
    <t>Decode preallocated KV + states</t>
  </si>
  <si>
    <t>按 MaxContext 为解码阶段预分配；不与有效容量相加。</t>
  </si>
  <si>
    <t>Inference-Path Data Types (dtype) Overview</t>
  </si>
  <si>
    <t>集中记录各算子模块的参数存储、激活类型和逐层注意力/路由模式。</t>
  </si>
  <si>
    <t>Data types (dtype): module-level storage and compute types</t>
  </si>
  <si>
    <t>Scope</t>
  </si>
  <si>
    <t>Module/tensor</t>
  </si>
  <si>
    <t>Checkpoint/parameter storage</t>
  </si>
  <si>
    <t>Activation/intermediate computation</t>
  </si>
  <si>
    <t>Notes</t>
  </si>
  <si>
    <t>Global config</t>
  </si>
  <si>
    <t>torch_dtype / main activations</t>
  </si>
  <si>
    <t>config.json 的 torch_dtype=bfloat16；隐藏状态与残差主路径使用 BF16。</t>
  </si>
  <si>
    <t>Standard quantized linear layers</t>
  </si>
  <si>
    <t>FP8 E4M3 + FP8 E8M0 scale factors</t>
  </si>
  <si>
    <t>Dynamic FP8 activation quantization</t>
  </si>
  <si>
    <t>quantization_config：quant_method=fp8，fmt=e4m3，scale_fmt=ue8m0。</t>
  </si>
  <si>
    <t>All layers 0-42</t>
  </si>
  <si>
    <t>Main attention projections wq_a/wq_b/wkv/wo_b</t>
  </si>
  <si>
    <t>FP8 GEMM; BF16 input dynamically quantized</t>
  </si>
  <si>
    <t>大多数注意力线性权重。</t>
  </si>
  <si>
    <t>Attention output projection wo_a</t>
  </si>
  <si>
    <t>BF16 tensor product (einsum)</t>
  </si>
  <si>
    <t>检查点中为 FP8，转换后在推理实现中按 BF16 使用。</t>
  </si>
  <si>
    <t>RMSNorm weights and normalization</t>
  </si>
  <si>
    <t>BF16 weights; FP32 implementation parameters</t>
  </si>
  <si>
    <t>FP32 compute, output cast to BF16</t>
  </si>
  <si>
    <t>Norm 计算先转 FP32 以提高稳定性。</t>
  </si>
  <si>
    <t>Ratio-4 / ratio-128 layers</t>
  </si>
  <si>
    <t>Main Compressor wkv/wgate/ape</t>
  </si>
  <si>
    <t>Checkpoint mainly BF16; FP32 implementation parameters</t>
  </si>
  <si>
    <t>FP32 compression/softmax</t>
  </si>
  <si>
    <t>Compressor 参数在推理实现中提升到 FP32。</t>
  </si>
  <si>
    <t>Ratio-4 layers</t>
  </si>
  <si>
    <t>Indexer projections and scoring</t>
  </si>
  <si>
    <t>wq_b FP8; weights_proj BF16</t>
  </si>
  <si>
    <t>QAT/FP4 simulated QKV; FP32 scoring</t>
  </si>
  <si>
    <t>仅 ratio-4 层启用 Indexer。</t>
  </si>
  <si>
    <t>Routed experts w1/w2/w3</t>
  </si>
  <si>
    <t>FP4 E2M1 packed + FP8 E8M0 scale factors</t>
  </si>
  <si>
    <t>FP4 GEMM; SwiGLU FP32; output cast to BF16</t>
  </si>
  <si>
    <t>专家数据类型为 fp4；每个令牌激活 6 个路由专家。</t>
  </si>
  <si>
    <t>Shared experts w1/w2/w3</t>
  </si>
  <si>
    <t>FP8 GEMM; SwiGLU FP32</t>
  </si>
  <si>
    <t>每层 1 个共享专家，跨 TP Rank 复制。</t>
  </si>
  <si>
    <t>Router scores/routing weights</t>
  </si>
  <si>
    <t>FP32 bias; INT32 Token-ID lookup table</t>
  </si>
  <si>
    <t>sqrt(softplus) 评分、Top-K 和归一化在 FP32 中完成；前 3 层使用 Token-ID 查表路由。</t>
  </si>
  <si>
    <t>Layers 0-2</t>
  </si>
  <si>
    <t>Token-ID routing table</t>
  </si>
  <si>
    <t>INT32</t>
  </si>
  <si>
    <t>INT32 indexing</t>
  </si>
  <si>
    <t>前 3 层使用令牌编号到专家编号的预计算路由。</t>
  </si>
  <si>
    <t>mHC parameters / attention sinks</t>
  </si>
  <si>
    <t>HC 混合、Sinkhorn 与 Sink 参数使用 FP32。</t>
  </si>
  <si>
    <t>KV cache</t>
  </si>
  <si>
    <t>BF16; partial non-RoPE dimensions simulated with FP8</t>
  </si>
  <si>
    <t>当前推理实现中的 KV 缓存为 BF16。</t>
  </si>
  <si>
    <t>Model tail</t>
  </si>
  <si>
    <t>Final normalization / HC head</t>
  </si>
  <si>
    <t>FP32 inference parameters</t>
  </si>
  <si>
    <t>最终 HC 归约与 RMSNorm。</t>
  </si>
  <si>
    <t>LM head / Logits</t>
  </si>
  <si>
    <t>Checkpoint BF16; FP32 implementation parameters</t>
  </si>
  <si>
    <t>FP32 linear layer and Logits</t>
  </si>
  <si>
    <t>词表并行；Logits 以 FP32 计算。</t>
  </si>
  <si>
    <t>43-layer dtype, attention, and routing modes</t>
  </si>
  <si>
    <t>Layer ID</t>
  </si>
  <si>
    <t>Attention mode</t>
  </si>
  <si>
    <t>Compression ratio</t>
  </si>
  <si>
    <t>Routing mode</t>
  </si>
  <si>
    <t>Hidden state / residual</t>
  </si>
  <si>
    <t>Main attention projections</t>
  </si>
  <si>
    <t>Normalization / HC / Router computation</t>
  </si>
  <si>
    <t>Window</t>
  </si>
  <si>
    <t>Token-ID lookup routing (INT32)</t>
  </si>
  <si>
    <t>FP8 E4M3; wo_a BF16</t>
  </si>
  <si>
    <t>FP4 E2M1</t>
  </si>
  <si>
    <t>FP8 E4M3</t>
  </si>
  <si>
    <t>Short-compression sparse</t>
  </si>
  <si>
    <t>Long-compression</t>
  </si>
  <si>
    <t>Score routing (FP32)</t>
  </si>
  <si>
    <t>TP1 / TP8 Inference Resource Comparison Charts</t>
  </si>
  <si>
    <t>内存容量、参数量、计算量与通信量集中在一张资源表；隐藏列仅保留公式和图表缩放源。</t>
  </si>
  <si>
    <t>Resource</t>
  </si>
  <si>
    <t>Prefill TP1</t>
  </si>
  <si>
    <t>Prefill TP8/rank</t>
  </si>
  <si>
    <t>Decode TP1</t>
  </si>
  <si>
    <t>Decode TP8/rank</t>
  </si>
  <si>
    <t>Attention FLOPs</t>
  </si>
  <si>
    <t>单次预填充或解码步骤的每 Rank 逻辑 FLOPs。</t>
  </si>
  <si>
    <t>MoE FLOPs</t>
  </si>
  <si>
    <t>其他推理 FLOPs</t>
  </si>
  <si>
    <t>总推理 FLOPs</t>
  </si>
  <si>
    <t>通信量</t>
  </si>
  <si>
    <t>Ring 集合通信每 Rank 发送加接收；TP1 为 0。</t>
  </si>
  <si>
    <t>注意力逻辑参数量</t>
  </si>
  <si>
    <t>注意力投影、Compressor、Indexer。</t>
  </si>
  <si>
    <t>混合专家逻辑参数量</t>
  </si>
  <si>
    <t>路由/共享专家与 Router。</t>
  </si>
  <si>
    <t>其他逻辑参数量</t>
  </si>
  <si>
    <t>Embedding、LM Head、HC 与 Norm。</t>
  </si>
  <si>
    <t>总逻辑参数量</t>
  </si>
  <si>
    <t>不包含 MTP。</t>
  </si>
  <si>
    <t>注意力参数容量</t>
  </si>
  <si>
    <t>按推理 dtype 与量化 Scale 计算。</t>
  </si>
  <si>
    <t>混合专家参数容量</t>
  </si>
  <si>
    <t>路由专家 FP4、共享专家 FP8、Router 复制。</t>
  </si>
  <si>
    <t>其他参数容量</t>
  </si>
  <si>
    <t>总参数容量</t>
  </si>
  <si>
    <t>每 Rank 静态参数驻留。</t>
  </si>
  <si>
    <t>Effective main KV cache</t>
  </si>
  <si>
    <t>KV 与 Compressor 状态在当前实现中每个 TP Rank 复制。</t>
  </si>
  <si>
    <t>Effective Indexer KV cache</t>
  </si>
  <si>
    <t>Compressor 状态</t>
  </si>
  <si>
    <t>Preallocated KV + state</t>
  </si>
  <si>
    <t>Total capacity per inference / rank</t>
  </si>
  <si>
    <t>参数 + 按 MaxContext 预分配的 KV/状态；不含临时工作区。</t>
  </si>
  <si>
    <t>一次推理所需计算量</t>
  </si>
  <si>
    <t>单次推理调用的单 Rank 总 FLOPs。</t>
  </si>
  <si>
    <t>Mode</t>
  </si>
  <si>
    <t>TP1</t>
  </si>
  <si>
    <t>TP8/rank</t>
  </si>
  <si>
    <t>Definition</t>
  </si>
  <si>
    <t>Prefill</t>
  </si>
  <si>
    <t>Static parameters + Prefill MaxContext KV/State</t>
  </si>
  <si>
    <t>Decode</t>
  </si>
  <si>
    <t>Static parameters + Decode MaxContext KV/State</t>
  </si>
  <si>
    <t>One-inference TFLOPs</t>
  </si>
  <si>
    <t>Prefill TP8</t>
  </si>
  <si>
    <t>Decode TP8</t>
  </si>
  <si>
    <t>TP1 TFLOPs</t>
  </si>
  <si>
    <t>TP8 TFLOPs</t>
  </si>
  <si>
    <t>Other</t>
  </si>
  <si>
    <t>TP1 GFLOPs</t>
  </si>
  <si>
    <t>TP8 GFLOPs</t>
  </si>
  <si>
    <t>TP1 GB</t>
  </si>
  <si>
    <t>TP8 GB</t>
  </si>
  <si>
    <t>具体内容（Static parameter capacity per rank）：Attention、MoE、Embedding、LM Head、Norm、HC 等静态模型参数及量化 Scale；不含 KV Cache、Compressor State、临时激活和集合通信缓冲区。Prefill/Decode 两图的静态参数数据相同。</t>
  </si>
  <si>
    <t>Capacity GB</t>
  </si>
  <si>
    <t>具体内容（Total capacity per inference / rank）：当前模式单 Rank 的静态参数容量 + 按 MaxContext 预分配的 KV Cache + Compressor State；不含临时激活、residual/HC workspace 和集合通信传输量。</t>
  </si>
  <si>
    <t>Per-Rank Inference Hardware Resource Summary</t>
  </si>
  <si>
    <t>TP1 与 TP8 分区独立展示；所有值均为单个 Rank，不进行跨 Rank 或跨 TP 求和。</t>
  </si>
  <si>
    <t>TP1 (configured size=1) per-rank resources</t>
  </si>
  <si>
    <t>Prefill/rank</t>
  </si>
  <si>
    <t>Decode/rank</t>
  </si>
  <si>
    <t>单次推理调用的单 Rank 计算量。</t>
  </si>
  <si>
    <t>Ring 集合通信单 Rank 发送加接收；TP1 为 0。</t>
  </si>
  <si>
    <t>投影、Compressor、Indexer。</t>
  </si>
  <si>
    <t>Embedding、LM Head、HC、Norm。</t>
  </si>
  <si>
    <t>不含 MTP。</t>
  </si>
  <si>
    <t>按推理 dtype 与 Scale 计算。</t>
  </si>
  <si>
    <t>路由专家 FP4，共享专家 FP8。</t>
  </si>
  <si>
    <t>单 Rank 静态参数驻留。</t>
  </si>
  <si>
    <t>KV/状态在当前实现中每个 TP Rank 复制。</t>
  </si>
  <si>
    <t>参数 + 预分配 KV/状态；不含临时工作区。</t>
  </si>
  <si>
    <t>TP8 (configured size=8) per-rank resources</t>
  </si>
  <si>
    <t>Per-Layer Attention and Routing Configuration</t>
  </si>
  <si>
    <t>可编辑启用状态和模式；压缩比例与路由行为会自动更新。</t>
  </si>
  <si>
    <t>Active</t>
  </si>
  <si>
    <t>Attention behavior</t>
  </si>
  <si>
    <t>Routing behavior</t>
  </si>
  <si>
    <t>window</t>
  </si>
  <si>
    <t>short</t>
  </si>
  <si>
    <t>long</t>
  </si>
  <si>
    <t>Methodology and Limits</t>
  </si>
  <si>
    <t>Topic</t>
  </si>
  <si>
    <t>仅统计 43 层主推理路径；不含 MTP、反向传播、梯度、优化器状态和训练激活。Layer_Config 最多可维护 64 层。</t>
  </si>
  <si>
    <t>FLOPs</t>
  </si>
  <si>
    <t>矩阵乘加按 2 FLOPs 计。注意力与 MoE 主要 GEMM 使用显式公式；HC 与逐元素运算为近似估计。</t>
  </si>
  <si>
    <t>Prefill attention</t>
  </si>
  <si>
    <t>使用因果候选对数量，不直接使用 S×S；原始窗口、压缩 KV 和 Indexer 扫描分别统计。</t>
  </si>
  <si>
    <t>Decode attention</t>
  </si>
  <si>
    <t>每个解码令牌在解码上下文长度下建模；ratio-4 主注意力取 Top-K，但 Indexer 需要扫描全部已完成压缩项。</t>
  </si>
  <si>
    <t>每个令牌执行 Top-K 路由专家和共享专家；专家命中概率用于估算逻辑访问需求。</t>
  </si>
  <si>
    <t>Memory</t>
  </si>
  <si>
    <t>按推理运行 dtype 估算：路由专家 FP4、多数投影 FP8、Wo_a BF16、Compressor FP32、LM Head FP32，并计入量化 Scale。</t>
  </si>
  <si>
    <t>Scenario tables</t>
  </si>
  <si>
    <t>Prefill_8K 和 Decode_1M 各含两张表：整网资源汇总与典型层/模块明细；两张表共享 TP1/TP8 的容量、算力、通信量、参数类型和激活类型列。</t>
  </si>
  <si>
    <t>Resource categories</t>
  </si>
  <si>
    <t>汇总分类为 Attention、MoE、Embedding、LM Head、Norm、HC、residual；residual 是 BF16/HC state 工作区，不重复计入驻留容量。</t>
  </si>
  <si>
    <t>有效容量表示已填充项；预分配容量使用 MaxContext。当前实现的 KV 和 Compressor 状态在每个 TP Rank 上完整复制。</t>
  </si>
  <si>
    <t>TP</t>
  </si>
  <si>
    <t>Wq_a、Wkv、Compressor、Router、HC、共享专家复制；Q/O 部分投影、路由专家、Embedding 和 LM Head 按 TP 分片。</t>
  </si>
  <si>
    <t>Communication</t>
  </si>
  <si>
    <t>Ring 公式给出每 Rank 发送加接收的集合通信数据量。TP1 为 0。</t>
  </si>
  <si>
    <t>Units</t>
  </si>
  <si>
    <t>FLOPs 使用 M/G/T/P 十进制单位；容量与流量使用 KB/MB/GB/TB，1 GB=10^9 字节；场景页容量明细保留原始公式。</t>
  </si>
  <si>
    <t>Formula maintenance</t>
  </si>
  <si>
    <t>蓝色单元格为输入；结果由 Excel 公式计算并在打开时完整重算。隐藏列保留原始未缩放值，便于审计。</t>
  </si>
</sst>
</file>

<file path=xl/styles.xml><?xml version="1.0" encoding="utf-8"?>
<styleSheet xmlns="http://schemas.openxmlformats.org/spreadsheetml/2006/main">
  <numFmts count="25">
    <numFmt numFmtId="164" formatCode="0.######## &quot;Rank&quot;"/>
    <numFmt numFmtId="165" formatCode="0.######## &quot;序列&quot;"/>
    <numFmt numFmtId="166" formatCode="0.######## &quot;令牌&quot;"/>
    <numFmt numFmtId="167" formatCode="0.######## &quot;元素&quot;"/>
    <numFmt numFmtId="168" formatCode="0.######## &quot;头&quot;"/>
    <numFmt numFmtId="169" formatCode="0.######## &quot;组&quot;"/>
    <numFmt numFmtId="170" formatCode="0.######## &quot;专家&quot;"/>
    <numFmt numFmtId="171" formatCode="0.######## &quot;专家/令牌&quot;"/>
    <numFmt numFmtId="172" formatCode="0.######## &quot;令牌/条目&quot;"/>
    <numFmt numFmtId="173" formatCode="0.######## &quot;条目&quot;"/>
    <numFmt numFmtId="174" formatCode="0.######## &quot;流&quot;"/>
    <numFmt numFmtId="175" formatCode="0.######## &quot;迭代&quot;"/>
    <numFmt numFmtId="176" formatCode="0.######## &quot;层&quot;"/>
    <numFmt numFmtId="177" formatCode="0.######## &quot;字节&quot;"/>
    <numFmt numFmtId="178" formatCode="0.######## &quot;TFLOP/s&quot;"/>
    <numFmt numFmtId="179" formatCode="0.######## &quot;头/Rank&quot;"/>
    <numFmt numFmtId="180" formatCode="0.######## &quot;专家/Rank&quot;"/>
    <numFmt numFmtId="181" formatCode="0.######## &quot;组/Rank&quot;"/>
    <numFmt numFmtId="182" formatCode="0.######## &quot;令牌/Rank&quot;"/>
    <numFmt numFmtId="183" formatCode="0.######## &quot;令牌行&quot;"/>
    <numFmt numFmtId="184" formatCode="0.######## &quot;对数/序列&quot;"/>
    <numFmt numFmtId="185" formatCode="0.######## &quot;概率&quot;"/>
    <numFmt numFmtId="186" formatCode="#,##0.000"/>
    <numFmt numFmtId="187" formatCode="#,##0"/>
    <numFmt numFmtId="188" formatCode="0.########"/>
  </numFmts>
  <fonts count="5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34495E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21618C"/>
        <bgColor indexed="64"/>
      </patternFill>
    </fill>
    <fill>
      <patternFill patternType="solid">
        <fgColor rgb="FFD6EA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164" fontId="0" fillId="3" borderId="1" xfId="0" applyNumberFormat="1" applyFill="1" applyBorder="1"/>
    <xf numFmtId="165" fontId="0" fillId="3" borderId="1" xfId="0" applyNumberFormat="1" applyFill="1" applyBorder="1"/>
    <xf numFmtId="166" fontId="0" fillId="3" borderId="1" xfId="0" applyNumberFormat="1" applyFill="1" applyBorder="1"/>
    <xf numFmtId="167" fontId="0" fillId="3" borderId="1" xfId="0" applyNumberFormat="1" applyFill="1" applyBorder="1"/>
    <xf numFmtId="168" fontId="0" fillId="3" borderId="1" xfId="0" applyNumberFormat="1" applyFill="1" applyBorder="1"/>
    <xf numFmtId="169" fontId="0" fillId="3" borderId="1" xfId="0" applyNumberFormat="1" applyFill="1" applyBorder="1"/>
    <xf numFmtId="170" fontId="0" fillId="3" borderId="1" xfId="0" applyNumberFormat="1" applyFill="1" applyBorder="1"/>
    <xf numFmtId="171" fontId="0" fillId="3" borderId="1" xfId="0" applyNumberFormat="1" applyFill="1" applyBorder="1"/>
    <xf numFmtId="172" fontId="0" fillId="3" borderId="1" xfId="0" applyNumberFormat="1" applyFill="1" applyBorder="1"/>
    <xf numFmtId="173" fontId="0" fillId="3" borderId="1" xfId="0" applyNumberFormat="1" applyFill="1" applyBorder="1"/>
    <xf numFmtId="174" fontId="0" fillId="3" borderId="1" xfId="0" applyNumberFormat="1" applyFill="1" applyBorder="1"/>
    <xf numFmtId="175" fontId="0" fillId="3" borderId="1" xfId="0" applyNumberFormat="1" applyFill="1" applyBorder="1"/>
    <xf numFmtId="176" fontId="0" fillId="3" borderId="1" xfId="0" applyNumberFormat="1" applyFill="1" applyBorder="1"/>
    <xf numFmtId="177" fontId="0" fillId="3" borderId="1" xfId="0" applyNumberFormat="1" applyFill="1" applyBorder="1"/>
    <xf numFmtId="178" fontId="0" fillId="3" borderId="1" xfId="0" applyNumberFormat="1" applyFill="1" applyBorder="1"/>
    <xf numFmtId="176" fontId="0" fillId="4" borderId="1" xfId="0" applyNumberFormat="1" applyFill="1" applyBorder="1"/>
    <xf numFmtId="179" fontId="0" fillId="4" borderId="1" xfId="0" applyNumberFormat="1" applyFill="1" applyBorder="1"/>
    <xf numFmtId="180" fontId="0" fillId="4" borderId="1" xfId="0" applyNumberFormat="1" applyFill="1" applyBorder="1"/>
    <xf numFmtId="181" fontId="0" fillId="4" borderId="1" xfId="0" applyNumberFormat="1" applyFill="1" applyBorder="1"/>
    <xf numFmtId="182" fontId="0" fillId="4" borderId="1" xfId="0" applyNumberFormat="1" applyFill="1" applyBorder="1"/>
    <xf numFmtId="183" fontId="0" fillId="4" borderId="1" xfId="0" applyNumberFormat="1" applyFill="1" applyBorder="1"/>
    <xf numFmtId="184" fontId="0" fillId="4" borderId="1" xfId="0" applyNumberFormat="1" applyFill="1" applyBorder="1"/>
    <xf numFmtId="185" fontId="0" fillId="4" borderId="1" xfId="0" applyNumberFormat="1" applyFill="1" applyBorder="1"/>
    <xf numFmtId="0" fontId="3" fillId="5" borderId="1" xfId="0" applyFont="1" applyFill="1" applyBorder="1"/>
    <xf numFmtId="186" fontId="4" fillId="6" borderId="1" xfId="0" applyNumberFormat="1" applyFont="1" applyFill="1" applyBorder="1"/>
    <xf numFmtId="186" fontId="0" fillId="0" borderId="1" xfId="0" applyNumberFormat="1" applyBorder="1"/>
    <xf numFmtId="186" fontId="0" fillId="0" borderId="1" xfId="0" applyNumberFormat="1" applyBorder="1" applyAlignment="1">
      <alignment horizontal="right"/>
    </xf>
    <xf numFmtId="187" fontId="0" fillId="0" borderId="1" xfId="0" applyNumberFormat="1" applyBorder="1"/>
    <xf numFmtId="188" fontId="0" fillId="3" borderId="1" xfId="0" applyNumberFormat="1" applyFill="1" applyBorder="1"/>
    <xf numFmtId="188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Total compute per inference /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One-inference TFLOPs</c:v>
          </c:tx>
          <c:dLbls>
            <c:numFmt formatCode="0.0&quot; TFLOPs&quot;" sourceLinked="0"/>
            <c:showVal val="1"/>
          </c:dLbls>
          <c:cat>
            <c:strRef>
              <c:f>Comparison!$S$27:$S$30</c:f>
              <c:strCache>
                <c:ptCount val="4"/>
                <c:pt idx="0">
                  <c:v>Prefill TP1</c:v>
                </c:pt>
                <c:pt idx="1">
                  <c:v>Prefill TP8</c:v>
                </c:pt>
                <c:pt idx="2">
                  <c:v>Decode TP1</c:v>
                </c:pt>
                <c:pt idx="3">
                  <c:v>Decode TP8</c:v>
                </c:pt>
              </c:strCache>
            </c:strRef>
          </c:cat>
          <c:val>
            <c:numRef>
              <c:f>Comparison!$T$27:$T$30</c:f>
              <c:numCache>
                <c:formatCode>General</c:formatCode>
                <c:ptCount val="4"/>
                <c:pt idx="0">
                  <c:v>228.39768211456</c:v>
                </c:pt>
                <c:pt idx="1">
                  <c:v>55.652568907776</c:v>
                </c:pt>
                <c:pt idx="2">
                  <c:v>0.14035575211</c:v>
                </c:pt>
                <c:pt idx="3">
                  <c:v>0.023549694126</c:v>
                </c:pt>
              </c:numCache>
            </c:numRef>
          </c:val>
        </c:ser>
        <c:gapWidth val="30"/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TFLOPs</a:t>
                </a:r>
              </a:p>
            </c:rich>
          </c:tx>
          <c:layout/>
        </c:title>
        <c:numFmt formatCode="0.0&quot; TFLOPs&quot;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compute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TFLOPs</c:v>
          </c:tx>
          <c:dLbls>
            <c:numFmt formatCode="0.0&quot; TFLOPs&quot;" sourceLinked="0"/>
            <c:showVal val="1"/>
          </c:dLbls>
          <c:cat>
            <c:strRef>
              <c:f>Comparison!$S$34:$S$36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Comparison!$T$34:$T$36</c:f>
              <c:numCache>
                <c:formatCode>General</c:formatCode>
                <c:ptCount val="3"/>
                <c:pt idx="0">
                  <c:v>102.836037746688</c:v>
                </c:pt>
                <c:pt idx="1">
                  <c:v>124.846109360128</c:v>
                </c:pt>
                <c:pt idx="2">
                  <c:v>0.715535007744</c:v>
                </c:pt>
              </c:numCache>
            </c:numRef>
          </c:val>
        </c:ser>
        <c:ser>
          <c:idx val="1"/>
          <c:order val="1"/>
          <c:tx>
            <c:v>TP8 TFLOPs</c:v>
          </c:tx>
          <c:dLbls>
            <c:numFmt formatCode="0.0&quot; TFLOPs&quot;" sourceLinked="0"/>
            <c:showVal val="1"/>
          </c:dLbls>
          <c:cat>
            <c:strRef>
              <c:f>Comparison!$S$34:$S$36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Comparison!$U$34:$U$36</c:f>
              <c:numCache>
                <c:formatCode>General</c:formatCode>
                <c:ptCount val="3"/>
                <c:pt idx="0">
                  <c:v>23.172382457856</c:v>
                </c:pt>
                <c:pt idx="1">
                  <c:v>31.765578121216</c:v>
                </c:pt>
                <c:pt idx="2">
                  <c:v>0.714608328704</c:v>
                </c:pt>
              </c:numCache>
            </c:numRef>
          </c:val>
        </c:ser>
        <c:gapWidth val="30"/>
        <c:axId val="50020001"/>
        <c:axId val="50020002"/>
      </c:barChart>
      <c:catAx>
        <c:axId val="50020001"/>
        <c:scaling>
          <c:orientation val="minMax"/>
        </c:scaling>
        <c:axPos val="b"/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TFLOPs</a:t>
                </a:r>
              </a:p>
            </c:rich>
          </c:tx>
          <c:layout/>
        </c:title>
        <c:numFmt formatCode="0.0&quot; TFLOPs&quot;" sourceLinked="0"/>
        <c:tickLblPos val="nextTo"/>
        <c:crossAx val="5002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compute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GFLOPs</c:v>
          </c:tx>
          <c:dLbls>
            <c:numFmt formatCode="0.0&quot; GFLOPs&quot;" sourceLinked="0"/>
            <c:showVal val="1"/>
          </c:dLbls>
          <c:cat>
            <c:strRef>
              <c:f>Comparison!$S$41:$S$43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Comparison!$T$41:$T$43</c:f>
              <c:numCache>
                <c:formatCode>General</c:formatCode>
                <c:ptCount val="3"/>
                <c:pt idx="0">
                  <c:v>123.969470464</c:v>
                </c:pt>
                <c:pt idx="1">
                  <c:v>15.240003584</c:v>
                </c:pt>
                <c:pt idx="2">
                  <c:v>1.146278062</c:v>
                </c:pt>
              </c:numCache>
            </c:numRef>
          </c:val>
        </c:ser>
        <c:ser>
          <c:idx val="1"/>
          <c:order val="1"/>
          <c:tx>
            <c:v>TP8 GFLOPs</c:v>
          </c:tx>
          <c:dLbls>
            <c:numFmt formatCode="0.0&quot; GFLOPs&quot;" sourceLinked="0"/>
            <c:showVal val="1"/>
          </c:dLbls>
          <c:cat>
            <c:strRef>
              <c:f>Comparison!$S$41:$S$43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Comparison!$U$41:$U$43</c:f>
              <c:numCache>
                <c:formatCode>General</c:formatCode>
                <c:ptCount val="3"/>
                <c:pt idx="0">
                  <c:v>19.452461056</c:v>
                </c:pt>
                <c:pt idx="1">
                  <c:v>3.877634048</c:v>
                </c:pt>
                <c:pt idx="2">
                  <c:v>0.219599022</c:v>
                </c:pt>
              </c:numCache>
            </c:numRef>
          </c:val>
        </c:ser>
        <c:gapWidth val="30"/>
        <c:axId val="50030001"/>
        <c:axId val="50030002"/>
      </c:barChart>
      <c:catAx>
        <c:axId val="50030001"/>
        <c:scaling>
          <c:orientation val="minMax"/>
        </c:scaling>
        <c:axPos val="b"/>
        <c:tickLblPos val="low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GFLOPs</a:t>
                </a:r>
              </a:p>
            </c:rich>
          </c:tx>
          <c:layout/>
        </c:title>
        <c:numFmt formatCode="0.0&quot; GFLOPs&quot;" sourceLinked="0"/>
        <c:tickLblPos val="nextTo"/>
        <c:crossAx val="5003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static parameter capacity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GB</c:v>
          </c:tx>
          <c:dLbls>
            <c:numFmt formatCode="0.0&quot; GB&quot;" sourceLinked="0"/>
            <c:showVal val="1"/>
          </c:dLbls>
          <c:cat>
            <c:strRef>
              <c:f>Comparison!$S$48:$S$50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Comparison!$T$48:$T$50</c:f>
              <c:numCache>
                <c:formatCode>General</c:formatCode>
                <c:ptCount val="3"/>
                <c:pt idx="0">
                  <c:v>7.45138496</c:v>
                </c:pt>
                <c:pt idx="1">
                  <c:v>148.351461888</c:v>
                </c:pt>
                <c:pt idx="2">
                  <c:v>3.314423644</c:v>
                </c:pt>
              </c:numCache>
            </c:numRef>
          </c:val>
        </c:ser>
        <c:ser>
          <c:idx val="1"/>
          <c:order val="1"/>
          <c:tx>
            <c:v>TP8 GB</c:v>
          </c:tx>
          <c:dLbls>
            <c:numFmt formatCode="0.0&quot; GB&quot;" sourceLinked="0"/>
            <c:showVal val="1"/>
          </c:dLbls>
          <c:cat>
            <c:strRef>
              <c:f>Comparison!$S$48:$S$50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Comparison!$U$48:$U$50</c:f>
              <c:numCache>
                <c:formatCode>General</c:formatCode>
                <c:ptCount val="3"/>
                <c:pt idx="0">
                  <c:v>2.23750496</c:v>
                </c:pt>
                <c:pt idx="1">
                  <c:v>19.57794048</c:v>
                </c:pt>
                <c:pt idx="2">
                  <c:v>0.534376892</c:v>
                </c:pt>
              </c:numCache>
            </c:numRef>
          </c:val>
        </c:ser>
        <c:gapWidth val="30"/>
        <c:axId val="50040001"/>
        <c:axId val="50040002"/>
      </c:barChart>
      <c:catAx>
        <c:axId val="50040001"/>
        <c:scaling>
          <c:orientation val="minMax"/>
        </c:scaling>
        <c:axPos val="b"/>
        <c:tickLblPos val="low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4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static parameter capacity per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GB</c:v>
          </c:tx>
          <c:dLbls>
            <c:numFmt formatCode="0.0&quot; GB&quot;" sourceLinked="0"/>
            <c:showVal val="1"/>
          </c:dLbls>
          <c:cat>
            <c:strRef>
              <c:f>Comparison!$S$55:$S$57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Comparison!$T$55:$T$57</c:f>
              <c:numCache>
                <c:formatCode>General</c:formatCode>
                <c:ptCount val="3"/>
                <c:pt idx="0">
                  <c:v>7.45138496</c:v>
                </c:pt>
                <c:pt idx="1">
                  <c:v>148.351461888</c:v>
                </c:pt>
                <c:pt idx="2">
                  <c:v>3.314423644</c:v>
                </c:pt>
              </c:numCache>
            </c:numRef>
          </c:val>
        </c:ser>
        <c:ser>
          <c:idx val="1"/>
          <c:order val="1"/>
          <c:tx>
            <c:v>TP8 GB</c:v>
          </c:tx>
          <c:dLbls>
            <c:numFmt formatCode="0.0&quot; GB&quot;" sourceLinked="0"/>
            <c:showVal val="1"/>
          </c:dLbls>
          <c:cat>
            <c:strRef>
              <c:f>Comparison!$S$55:$S$57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Comparison!$U$55:$U$57</c:f>
              <c:numCache>
                <c:formatCode>General</c:formatCode>
                <c:ptCount val="3"/>
                <c:pt idx="0">
                  <c:v>2.23750496</c:v>
                </c:pt>
                <c:pt idx="1">
                  <c:v>19.57794048</c:v>
                </c:pt>
                <c:pt idx="2">
                  <c:v>0.534376892</c:v>
                </c:pt>
              </c:numCache>
            </c:numRef>
          </c:val>
        </c:ser>
        <c:gapWidth val="30"/>
        <c:axId val="50050001"/>
        <c:axId val="50050002"/>
      </c:barChart>
      <c:catAx>
        <c:axId val="50050001"/>
        <c:scaling>
          <c:orientation val="minMax"/>
        </c:scaling>
        <c:axPos val="b"/>
        <c:tickLblPos val="low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5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total capacity per inference
/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Capacity GB</c:v>
          </c:tx>
          <c:dLbls>
            <c:numFmt formatCode="0.0&quot; GB&quot;" sourceLinked="0"/>
            <c:showVal val="1"/>
          </c:dLbls>
          <c:cat>
            <c:strRef>
              <c:f>Comparison!$S$62:$S$63</c:f>
              <c:strCache>
                <c:ptCount val="2"/>
                <c:pt idx="0">
                  <c:v>TP1</c:v>
                </c:pt>
                <c:pt idx="1">
                  <c:v>TP8/rank</c:v>
                </c:pt>
              </c:strCache>
            </c:strRef>
          </c:cat>
          <c:val>
            <c:numRef>
              <c:f>Comparison!$T$62:$T$63</c:f>
              <c:numCache>
                <c:formatCode>General</c:formatCode>
                <c:ptCount val="2"/>
                <c:pt idx="0">
                  <c:v>166.349315548</c:v>
                </c:pt>
                <c:pt idx="1">
                  <c:v>29.581867388</c:v>
                </c:pt>
              </c:numCache>
            </c:numRef>
          </c:val>
        </c:ser>
        <c:gapWidth val="30"/>
        <c:axId val="50060001"/>
        <c:axId val="50060002"/>
      </c:barChart>
      <c:catAx>
        <c:axId val="50060001"/>
        <c:scaling>
          <c:orientation val="minMax"/>
        </c:scaling>
        <c:axPos val="b"/>
        <c:tickLblPos val="low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6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total capacity per inference
/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Capacity GB</c:v>
          </c:tx>
          <c:dLbls>
            <c:numFmt formatCode="0.0&quot; GB&quot;" sourceLinked="0"/>
            <c:showVal val="1"/>
          </c:dLbls>
          <c:cat>
            <c:strRef>
              <c:f>Comparison!$S$69:$S$70</c:f>
              <c:strCache>
                <c:ptCount val="2"/>
                <c:pt idx="0">
                  <c:v>TP1</c:v>
                </c:pt>
                <c:pt idx="1">
                  <c:v>TP8/rank</c:v>
                </c:pt>
              </c:strCache>
            </c:strRef>
          </c:cat>
          <c:val>
            <c:numRef>
              <c:f>Comparison!$T$69:$T$70</c:f>
              <c:numCache>
                <c:formatCode>General</c:formatCode>
                <c:ptCount val="2"/>
                <c:pt idx="0">
                  <c:v>166.349315548</c:v>
                </c:pt>
                <c:pt idx="1">
                  <c:v>29.581867388</c:v>
                </c:pt>
              </c:numCache>
            </c:numRef>
          </c:val>
        </c:ser>
        <c:gapWidth val="30"/>
        <c:axId val="50070001"/>
        <c:axId val="50070002"/>
      </c:barChart>
      <c:catAx>
        <c:axId val="50070001"/>
        <c:scaling>
          <c:orientation val="minMax"/>
        </c:scaling>
        <c:axPos val="b"/>
        <c:tickLblPos val="low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7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0</xdr:rowOff>
    </xdr:from>
    <xdr:to>
      <xdr:col>3</xdr:col>
      <xdr:colOff>1038225</xdr:colOff>
      <xdr:row>41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49</xdr:row>
      <xdr:rowOff>0</xdr:rowOff>
    </xdr:from>
    <xdr:to>
      <xdr:col>3</xdr:col>
      <xdr:colOff>1038225</xdr:colOff>
      <xdr:row>65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238125</xdr:colOff>
      <xdr:row>49</xdr:row>
      <xdr:rowOff>0</xdr:rowOff>
    </xdr:from>
    <xdr:to>
      <xdr:col>5</xdr:col>
      <xdr:colOff>4705350</xdr:colOff>
      <xdr:row>65</xdr:row>
      <xdr:rowOff>104775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3</xdr:col>
      <xdr:colOff>1038225</xdr:colOff>
      <xdr:row>89</xdr:row>
      <xdr:rowOff>104775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238125</xdr:colOff>
      <xdr:row>73</xdr:row>
      <xdr:rowOff>0</xdr:rowOff>
    </xdr:from>
    <xdr:to>
      <xdr:col>5</xdr:col>
      <xdr:colOff>4705350</xdr:colOff>
      <xdr:row>89</xdr:row>
      <xdr:rowOff>104775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97</xdr:row>
      <xdr:rowOff>0</xdr:rowOff>
    </xdr:from>
    <xdr:to>
      <xdr:col>3</xdr:col>
      <xdr:colOff>1038225</xdr:colOff>
      <xdr:row>113</xdr:row>
      <xdr:rowOff>104775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238125</xdr:colOff>
      <xdr:row>97</xdr:row>
      <xdr:rowOff>0</xdr:rowOff>
    </xdr:from>
    <xdr:to>
      <xdr:col>5</xdr:col>
      <xdr:colOff>4705350</xdr:colOff>
      <xdr:row>113</xdr:row>
      <xdr:rowOff>104775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F_Resource_Summary" displayName="PF_Resource_Summary" ref="A12:J20" totalsRowShown="0">
  <autoFilter ref="A12:J20"/>
  <tableColumns count="10">
    <tableColumn id="1" name="类别"/>
    <tableColumn id="2" name="TP1 容量"/>
    <tableColumn id="3" name="TP1 算力"/>
    <tableColumn id="4" name="TP1 通信量"/>
    <tableColumn id="5" name="TP8 容量/rank"/>
    <tableColumn id="6" name="TP8 算力/rank"/>
    <tableColumn id="7" name="TP8 通信量/rank"/>
    <tableColumn id="8" name="参数类型"/>
    <tableColumn id="9" name="激活类型"/>
    <tableColumn id="10" name="说明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F_Typical_Layer_Detail" displayName="PF_Typical_Layer_Detail" ref="A23:L46" totalsRowShown="0">
  <autoFilter ref="A23:L46"/>
  <tableColumns count="12">
    <tableColumn id="1" name="类别"/>
    <tableColumn id="2" name="典型层/模块"/>
    <tableColumn id="3" name="层范围"/>
    <tableColumn id="4" name="TP1 容量"/>
    <tableColumn id="5" name="TP1 算力"/>
    <tableColumn id="6" name="TP1 通信量"/>
    <tableColumn id="7" name="TP8 容量/rank"/>
    <tableColumn id="8" name="TP8 算力/rank"/>
    <tableColumn id="9" name="TP8 通信量/rank"/>
    <tableColumn id="10" name="参数类型"/>
    <tableColumn id="11" name="激活类型"/>
    <tableColumn id="12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C_Resource_Summary" displayName="DC_Resource_Summary" ref="A12:J20" totalsRowShown="0">
  <autoFilter ref="A12:J20"/>
  <tableColumns count="10">
    <tableColumn id="1" name="类别"/>
    <tableColumn id="2" name="TP1 容量"/>
    <tableColumn id="3" name="TP1 算力"/>
    <tableColumn id="4" name="TP1 通信量"/>
    <tableColumn id="5" name="TP8 容量/rank"/>
    <tableColumn id="6" name="TP8 算力/rank"/>
    <tableColumn id="7" name="TP8 通信量/rank"/>
    <tableColumn id="8" name="参数类型"/>
    <tableColumn id="9" name="激活类型"/>
    <tableColumn id="10" name="说明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C_Typical_Layer_Detail" displayName="DC_Typical_Layer_Detail" ref="A23:L46" totalsRowShown="0">
  <autoFilter ref="A23:L46"/>
  <tableColumns count="12">
    <tableColumn id="1" name="类别"/>
    <tableColumn id="2" name="典型层/模块"/>
    <tableColumn id="3" name="层范围"/>
    <tableColumn id="4" name="TP1 容量"/>
    <tableColumn id="5" name="TP1 算力"/>
    <tableColumn id="6" name="TP1 通信量"/>
    <tableColumn id="7" name="TP8 容量/rank"/>
    <tableColumn id="8" name="TP8 算力/rank"/>
    <tableColumn id="9" name="TP8 通信量/rank"/>
    <tableColumn id="10" name="参数类型"/>
    <tableColumn id="11" name="激活类型"/>
    <tableColumn id="12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Type_Module" displayName="DType_Module" ref="A5:E20" totalsRowShown="0">
  <autoFilter ref="A5:E20"/>
  <tableColumns count="5">
    <tableColumn id="1" name="Scope"/>
    <tableColumn id="2" name="Module/tensor"/>
    <tableColumn id="3" name="Checkpoint/parameter storage"/>
    <tableColumn id="4" name="Activation/intermediate computation"/>
    <tableColumn id="5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Type_Layer" displayName="DType_Layer" ref="A23:I66" totalsRowShown="0">
  <autoFilter ref="A23:I66"/>
  <tableColumns count="9">
    <tableColumn id="1" name="Layer ID"/>
    <tableColumn id="2" name="Attention mode"/>
    <tableColumn id="3" name="Compression ratio"/>
    <tableColumn id="4" name="Routing mode"/>
    <tableColumn id="5" name="Hidden state / residual"/>
    <tableColumn id="6" name="Main attention projections"/>
    <tableColumn id="7" name="Routed experts"/>
    <tableColumn id="8" name="Shared experts"/>
    <tableColumn id="9" name="Normalization / HC / Router computation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id="7" name="Comparison_Resource_Overview" displayName="Comparison_Resource_Overview" ref="A4:F23" totalsRowShown="0">
  <autoFilter ref="A4:F23"/>
  <tableColumns count="6">
    <tableColumn id="1" name="Resource"/>
    <tableColumn id="2" name="Prefill TP1"/>
    <tableColumn id="3" name="Prefill TP8/rank"/>
    <tableColumn id="4" name="Decode TP1"/>
    <tableColumn id="5" name="Decode TP8/rank"/>
    <tableColumn id="6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ison_Total_Capacity" displayName="Comparison_Total_Capacity" ref="K27:N29" totalsRowShown="0">
  <autoFilter ref="K27:N29"/>
  <tableColumns count="4">
    <tableColumn id="1" name="Mode"/>
    <tableColumn id="2" name="TP1"/>
    <tableColumn id="3" name="TP8/rank"/>
    <tableColumn id="4" name="Defini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Relationship Id="rId2" Type="http://schemas.openxmlformats.org/officeDocument/2006/relationships/table" Target="../tables/table4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Relationship Id="rId2" Type="http://schemas.openxmlformats.org/officeDocument/2006/relationships/table" Target="../tables/table6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7.xml"/><Relationship Id="rId3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60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2" width="29.7109375" customWidth="1"/>
    <col min="3" max="3" width="25.7109375" customWidth="1"/>
    <col min="4" max="4" width="18.7109375" customWidth="1"/>
    <col min="5" max="5" width="58.7109375" customWidth="1"/>
  </cols>
  <sheetData>
    <row r="1" spans="1:5">
      <c r="A1" s="1" t="s">
        <v>0</v>
      </c>
    </row>
    <row r="2" spans="1:5">
      <c r="A2" s="2" t="s">
        <v>1</v>
      </c>
    </row>
    <row r="3" spans="1: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</row>
    <row r="4" spans="1:5">
      <c r="A4" s="4" t="s">
        <v>7</v>
      </c>
      <c r="B4" s="4" t="s">
        <v>8</v>
      </c>
      <c r="C4" s="4" t="s">
        <v>9</v>
      </c>
      <c r="D4" s="5">
        <v>1</v>
      </c>
      <c r="E4" s="4" t="s">
        <v>10</v>
      </c>
    </row>
    <row r="5" spans="1:5">
      <c r="A5" s="4" t="s">
        <v>7</v>
      </c>
      <c r="B5" s="4" t="s">
        <v>11</v>
      </c>
      <c r="C5" s="4" t="s">
        <v>12</v>
      </c>
      <c r="D5" s="5">
        <v>8</v>
      </c>
      <c r="E5" s="4" t="s">
        <v>13</v>
      </c>
    </row>
    <row r="6" spans="1:5">
      <c r="A6" s="4" t="s">
        <v>14</v>
      </c>
      <c r="B6" s="4" t="s">
        <v>15</v>
      </c>
      <c r="C6" s="4" t="s">
        <v>16</v>
      </c>
      <c r="D6" s="6">
        <v>1</v>
      </c>
      <c r="E6" s="4" t="s">
        <v>17</v>
      </c>
    </row>
    <row r="7" spans="1:5">
      <c r="A7" s="4" t="s">
        <v>14</v>
      </c>
      <c r="B7" s="4" t="s">
        <v>18</v>
      </c>
      <c r="C7" s="4" t="s">
        <v>19</v>
      </c>
      <c r="D7" s="7">
        <v>8192</v>
      </c>
      <c r="E7" s="4" t="s">
        <v>20</v>
      </c>
    </row>
    <row r="8" spans="1:5">
      <c r="A8" s="4" t="s">
        <v>14</v>
      </c>
      <c r="B8" s="4" t="s">
        <v>21</v>
      </c>
      <c r="C8" s="4" t="s">
        <v>22</v>
      </c>
      <c r="D8" s="6">
        <v>1</v>
      </c>
      <c r="E8" s="4" t="s">
        <v>23</v>
      </c>
    </row>
    <row r="9" spans="1:5">
      <c r="A9" s="4" t="s">
        <v>14</v>
      </c>
      <c r="B9" s="4" t="s">
        <v>24</v>
      </c>
      <c r="C9" s="4" t="s">
        <v>25</v>
      </c>
      <c r="D9" s="7">
        <v>1</v>
      </c>
      <c r="E9" s="4" t="s">
        <v>26</v>
      </c>
    </row>
    <row r="10" spans="1:5">
      <c r="A10" s="4" t="s">
        <v>14</v>
      </c>
      <c r="B10" s="4" t="s">
        <v>27</v>
      </c>
      <c r="C10" s="4" t="s">
        <v>28</v>
      </c>
      <c r="D10" s="7">
        <v>1048576</v>
      </c>
      <c r="E10" s="4" t="s">
        <v>29</v>
      </c>
    </row>
    <row r="11" spans="1:5">
      <c r="A11" s="4" t="s">
        <v>14</v>
      </c>
      <c r="B11" s="4" t="s">
        <v>30</v>
      </c>
      <c r="C11" s="4" t="s">
        <v>31</v>
      </c>
      <c r="D11" s="7">
        <v>1048576</v>
      </c>
      <c r="E11" s="4" t="s">
        <v>32</v>
      </c>
    </row>
    <row r="12" spans="1:5">
      <c r="A12" s="4" t="s">
        <v>33</v>
      </c>
      <c r="B12" s="4" t="s">
        <v>34</v>
      </c>
      <c r="C12" s="4" t="s">
        <v>35</v>
      </c>
      <c r="D12" s="8">
        <v>4096</v>
      </c>
      <c r="E12" s="4" t="s">
        <v>36</v>
      </c>
    </row>
    <row r="13" spans="1:5">
      <c r="A13" s="4" t="s">
        <v>33</v>
      </c>
      <c r="B13" s="4" t="s">
        <v>37</v>
      </c>
      <c r="C13" s="4" t="s">
        <v>38</v>
      </c>
      <c r="D13" s="7">
        <v>129280</v>
      </c>
      <c r="E13" s="4" t="s">
        <v>39</v>
      </c>
    </row>
    <row r="14" spans="1:5">
      <c r="A14" s="4" t="s">
        <v>40</v>
      </c>
      <c r="B14" s="4" t="s">
        <v>41</v>
      </c>
      <c r="C14" s="4" t="s">
        <v>42</v>
      </c>
      <c r="D14" s="9">
        <v>64</v>
      </c>
      <c r="E14" s="4" t="s">
        <v>43</v>
      </c>
    </row>
    <row r="15" spans="1:5">
      <c r="A15" s="4" t="s">
        <v>40</v>
      </c>
      <c r="B15" s="4" t="s">
        <v>44</v>
      </c>
      <c r="C15" s="4" t="s">
        <v>45</v>
      </c>
      <c r="D15" s="8">
        <v>512</v>
      </c>
      <c r="E15" s="4" t="s">
        <v>46</v>
      </c>
    </row>
    <row r="16" spans="1:5">
      <c r="A16" s="4" t="s">
        <v>40</v>
      </c>
      <c r="B16" s="4" t="s">
        <v>47</v>
      </c>
      <c r="C16" s="4" t="s">
        <v>48</v>
      </c>
      <c r="D16" s="8">
        <v>64</v>
      </c>
      <c r="E16" s="4" t="s">
        <v>49</v>
      </c>
    </row>
    <row r="17" spans="1:5">
      <c r="A17" s="4" t="s">
        <v>40</v>
      </c>
      <c r="B17" s="4" t="s">
        <v>50</v>
      </c>
      <c r="C17" s="4" t="s">
        <v>51</v>
      </c>
      <c r="D17" s="8">
        <v>1024</v>
      </c>
      <c r="E17" s="4" t="s">
        <v>52</v>
      </c>
    </row>
    <row r="18" spans="1:5">
      <c r="A18" s="4" t="s">
        <v>40</v>
      </c>
      <c r="B18" s="4" t="s">
        <v>53</v>
      </c>
      <c r="C18" s="4" t="s">
        <v>54</v>
      </c>
      <c r="D18" s="10">
        <v>8</v>
      </c>
      <c r="E18" s="4" t="s">
        <v>55</v>
      </c>
    </row>
    <row r="19" spans="1:5">
      <c r="A19" s="4" t="s">
        <v>40</v>
      </c>
      <c r="B19" s="4" t="s">
        <v>56</v>
      </c>
      <c r="C19" s="4" t="s">
        <v>57</v>
      </c>
      <c r="D19" s="8">
        <v>1024</v>
      </c>
      <c r="E19" s="4" t="s">
        <v>58</v>
      </c>
    </row>
    <row r="20" spans="1:5">
      <c r="A20" s="4" t="s">
        <v>59</v>
      </c>
      <c r="B20" s="4" t="s">
        <v>60</v>
      </c>
      <c r="C20" s="4" t="s">
        <v>61</v>
      </c>
      <c r="D20" s="11">
        <v>256</v>
      </c>
      <c r="E20" s="4" t="s">
        <v>62</v>
      </c>
    </row>
    <row r="21" spans="1:5">
      <c r="A21" s="4" t="s">
        <v>59</v>
      </c>
      <c r="B21" s="4" t="s">
        <v>63</v>
      </c>
      <c r="C21" s="4" t="s">
        <v>64</v>
      </c>
      <c r="D21" s="12">
        <v>6</v>
      </c>
      <c r="E21" s="4" t="s">
        <v>65</v>
      </c>
    </row>
    <row r="22" spans="1:5">
      <c r="A22" s="4" t="s">
        <v>59</v>
      </c>
      <c r="B22" s="4" t="s">
        <v>66</v>
      </c>
      <c r="C22" s="4" t="s">
        <v>67</v>
      </c>
      <c r="D22" s="11">
        <v>1</v>
      </c>
      <c r="E22" s="4" t="s">
        <v>68</v>
      </c>
    </row>
    <row r="23" spans="1:5">
      <c r="A23" s="4" t="s">
        <v>59</v>
      </c>
      <c r="B23" s="4" t="s">
        <v>69</v>
      </c>
      <c r="C23" s="4" t="s">
        <v>70</v>
      </c>
      <c r="D23" s="8">
        <v>2048</v>
      </c>
      <c r="E23" s="4" t="s">
        <v>71</v>
      </c>
    </row>
    <row r="24" spans="1:5">
      <c r="A24" s="4" t="s">
        <v>72</v>
      </c>
      <c r="B24" s="4" t="s">
        <v>73</v>
      </c>
      <c r="C24" s="4" t="s">
        <v>74</v>
      </c>
      <c r="D24" s="7">
        <v>128</v>
      </c>
      <c r="E24" s="4" t="s">
        <v>75</v>
      </c>
    </row>
    <row r="25" spans="1:5">
      <c r="A25" s="4" t="s">
        <v>72</v>
      </c>
      <c r="B25" s="4" t="s">
        <v>76</v>
      </c>
      <c r="C25" s="4" t="s">
        <v>77</v>
      </c>
      <c r="D25" s="13">
        <v>4</v>
      </c>
      <c r="E25" s="4" t="s">
        <v>78</v>
      </c>
    </row>
    <row r="26" spans="1:5">
      <c r="A26" s="4" t="s">
        <v>72</v>
      </c>
      <c r="B26" s="4" t="s">
        <v>79</v>
      </c>
      <c r="C26" s="4" t="s">
        <v>80</v>
      </c>
      <c r="D26" s="13">
        <v>128</v>
      </c>
      <c r="E26" s="4" t="s">
        <v>81</v>
      </c>
    </row>
    <row r="27" spans="1:5">
      <c r="A27" s="4" t="s">
        <v>82</v>
      </c>
      <c r="B27" s="4" t="s">
        <v>83</v>
      </c>
      <c r="C27" s="4" t="s">
        <v>84</v>
      </c>
      <c r="D27" s="9">
        <v>64</v>
      </c>
      <c r="E27" s="4" t="s">
        <v>85</v>
      </c>
    </row>
    <row r="28" spans="1:5">
      <c r="A28" s="4" t="s">
        <v>82</v>
      </c>
      <c r="B28" s="4" t="s">
        <v>86</v>
      </c>
      <c r="C28" s="4" t="s">
        <v>87</v>
      </c>
      <c r="D28" s="8">
        <v>128</v>
      </c>
      <c r="E28" s="4" t="s">
        <v>88</v>
      </c>
    </row>
    <row r="29" spans="1:5">
      <c r="A29" s="4" t="s">
        <v>82</v>
      </c>
      <c r="B29" s="4" t="s">
        <v>89</v>
      </c>
      <c r="C29" s="4" t="s">
        <v>90</v>
      </c>
      <c r="D29" s="14">
        <v>512</v>
      </c>
      <c r="E29" s="4" t="s">
        <v>91</v>
      </c>
    </row>
    <row r="30" spans="1:5">
      <c r="A30" s="4" t="s">
        <v>92</v>
      </c>
      <c r="B30" s="4" t="s">
        <v>93</v>
      </c>
      <c r="C30" s="4" t="s">
        <v>94</v>
      </c>
      <c r="D30" s="15">
        <v>4</v>
      </c>
      <c r="E30" s="4" t="s">
        <v>95</v>
      </c>
    </row>
    <row r="31" spans="1:5">
      <c r="A31" s="4" t="s">
        <v>92</v>
      </c>
      <c r="B31" s="4" t="s">
        <v>96</v>
      </c>
      <c r="C31" s="4" t="s">
        <v>97</v>
      </c>
      <c r="D31" s="16">
        <v>20</v>
      </c>
      <c r="E31" s="4" t="s">
        <v>98</v>
      </c>
    </row>
    <row r="32" spans="1:5">
      <c r="A32" s="4" t="s">
        <v>99</v>
      </c>
      <c r="B32" s="4" t="s">
        <v>100</v>
      </c>
      <c r="C32" s="4" t="s">
        <v>101</v>
      </c>
      <c r="D32" s="17">
        <v>3</v>
      </c>
      <c r="E32" s="4" t="s">
        <v>102</v>
      </c>
    </row>
    <row r="33" spans="1:5">
      <c r="A33" s="4" t="s">
        <v>103</v>
      </c>
      <c r="B33" s="4" t="s">
        <v>104</v>
      </c>
      <c r="C33" s="4" t="s">
        <v>105</v>
      </c>
      <c r="D33" s="18">
        <v>2</v>
      </c>
      <c r="E33" s="4" t="s">
        <v>106</v>
      </c>
    </row>
    <row r="34" spans="1:5">
      <c r="A34" s="4" t="s">
        <v>103</v>
      </c>
      <c r="B34" s="4" t="s">
        <v>107</v>
      </c>
      <c r="C34" s="4" t="s">
        <v>108</v>
      </c>
      <c r="D34" s="18">
        <v>4</v>
      </c>
      <c r="E34" s="4" t="s">
        <v>109</v>
      </c>
    </row>
    <row r="35" spans="1:5">
      <c r="A35" s="4" t="s">
        <v>103</v>
      </c>
      <c r="B35" s="4" t="s">
        <v>110</v>
      </c>
      <c r="C35" s="4" t="s">
        <v>111</v>
      </c>
      <c r="D35" s="18">
        <v>1</v>
      </c>
      <c r="E35" s="4" t="s">
        <v>112</v>
      </c>
    </row>
    <row r="36" spans="1:5">
      <c r="A36" s="4" t="s">
        <v>103</v>
      </c>
      <c r="B36" s="4" t="s">
        <v>113</v>
      </c>
      <c r="C36" s="4" t="s">
        <v>114</v>
      </c>
      <c r="D36" s="18">
        <v>0.5</v>
      </c>
      <c r="E36" s="4" t="s">
        <v>115</v>
      </c>
    </row>
    <row r="37" spans="1:5">
      <c r="A37" s="4" t="s">
        <v>103</v>
      </c>
      <c r="B37" s="4" t="s">
        <v>116</v>
      </c>
      <c r="C37" s="4" t="s">
        <v>117</v>
      </c>
      <c r="D37" s="18">
        <v>1</v>
      </c>
      <c r="E37" s="4" t="s">
        <v>118</v>
      </c>
    </row>
    <row r="38" spans="1:5">
      <c r="A38" s="4" t="s">
        <v>103</v>
      </c>
      <c r="B38" s="4" t="s">
        <v>119</v>
      </c>
      <c r="C38" s="4" t="s">
        <v>120</v>
      </c>
      <c r="D38" s="18">
        <v>4</v>
      </c>
      <c r="E38" s="4" t="s">
        <v>121</v>
      </c>
    </row>
    <row r="39" spans="1:5">
      <c r="A39" s="4" t="s">
        <v>103</v>
      </c>
      <c r="B39" s="4" t="s">
        <v>122</v>
      </c>
      <c r="C39" s="4" t="s">
        <v>123</v>
      </c>
      <c r="D39" s="18">
        <v>8</v>
      </c>
      <c r="E39" s="4" t="s">
        <v>124</v>
      </c>
    </row>
    <row r="40" spans="1:5">
      <c r="A40" s="4" t="s">
        <v>125</v>
      </c>
      <c r="B40" s="4" t="s">
        <v>126</v>
      </c>
      <c r="C40" s="4" t="s">
        <v>127</v>
      </c>
      <c r="D40" s="8">
        <v>128</v>
      </c>
      <c r="E40" s="4" t="s">
        <v>128</v>
      </c>
    </row>
    <row r="41" spans="1:5">
      <c r="A41" s="4" t="s">
        <v>125</v>
      </c>
      <c r="B41" s="4" t="s">
        <v>129</v>
      </c>
      <c r="C41" s="4" t="s">
        <v>130</v>
      </c>
      <c r="D41" s="8">
        <v>32</v>
      </c>
      <c r="E41" s="4" t="s">
        <v>131</v>
      </c>
    </row>
    <row r="42" spans="1:5">
      <c r="A42" s="4" t="s">
        <v>132</v>
      </c>
      <c r="B42" s="4" t="s">
        <v>133</v>
      </c>
      <c r="C42" s="4" t="s">
        <v>134</v>
      </c>
      <c r="D42" s="9">
        <v>16</v>
      </c>
      <c r="E42" s="4" t="s">
        <v>135</v>
      </c>
    </row>
    <row r="43" spans="1:5">
      <c r="A43" s="4" t="s">
        <v>136</v>
      </c>
      <c r="B43" s="4" t="s">
        <v>137</v>
      </c>
      <c r="C43" s="4" t="s">
        <v>138</v>
      </c>
      <c r="D43" s="19">
        <v>1000</v>
      </c>
      <c r="E43" s="4" t="s">
        <v>139</v>
      </c>
    </row>
    <row r="44" spans="1:5">
      <c r="A44" s="4" t="s">
        <v>140</v>
      </c>
      <c r="B44" s="4" t="s">
        <v>141</v>
      </c>
      <c r="C44" s="4" t="s">
        <v>142</v>
      </c>
      <c r="D44" s="20">
        <f>SUM(Layer_Config!$B$4:$B$67)</f>
        <v>43</v>
      </c>
      <c r="E44" s="4" t="s">
        <v>143</v>
      </c>
    </row>
    <row r="45" spans="1:5">
      <c r="A45" s="4" t="s">
        <v>140</v>
      </c>
      <c r="B45" s="4" t="s">
        <v>144</v>
      </c>
      <c r="C45" s="4" t="s">
        <v>145</v>
      </c>
      <c r="D45" s="20">
        <f>COUNTIFS(Layer_Config!$B$4:$B$67,1,Layer_Config!$C$4:$C$67,"window")</f>
        <v>2</v>
      </c>
      <c r="E45" s="4" t="s">
        <v>146</v>
      </c>
    </row>
    <row r="46" spans="1:5">
      <c r="A46" s="4" t="s">
        <v>140</v>
      </c>
      <c r="B46" s="4" t="s">
        <v>147</v>
      </c>
      <c r="C46" s="4" t="s">
        <v>148</v>
      </c>
      <c r="D46" s="20">
        <f>COUNTIFS(Layer_Config!$B$4:$B$67,1,Layer_Config!$C$4:$C$67,"short")</f>
        <v>21</v>
      </c>
      <c r="E46" s="4" t="s">
        <v>149</v>
      </c>
    </row>
    <row r="47" spans="1:5">
      <c r="A47" s="4" t="s">
        <v>140</v>
      </c>
      <c r="B47" s="4" t="s">
        <v>150</v>
      </c>
      <c r="C47" s="4" t="s">
        <v>151</v>
      </c>
      <c r="D47" s="20">
        <f>COUNTIFS(Layer_Config!$B$4:$B$67,1,Layer_Config!$C$4:$C$67,"long")</f>
        <v>20</v>
      </c>
      <c r="E47" s="4" t="s">
        <v>152</v>
      </c>
    </row>
    <row r="48" spans="1:5">
      <c r="A48" s="4" t="s">
        <v>140</v>
      </c>
      <c r="B48" s="4" t="s">
        <v>153</v>
      </c>
      <c r="C48" s="4" t="s">
        <v>154</v>
      </c>
      <c r="D48" s="20">
        <f>COUNTIFS(Layer_Config!$B$4:$B$67,1,Layer_Config!$A$4:$A$67,"&lt;"&amp;HashLayers)</f>
        <v>3</v>
      </c>
      <c r="E48" s="4" t="s">
        <v>155</v>
      </c>
    </row>
    <row r="49" spans="1:5">
      <c r="A49" s="4" t="s">
        <v>140</v>
      </c>
      <c r="B49" s="4" t="s">
        <v>156</v>
      </c>
      <c r="C49" s="4" t="s">
        <v>157</v>
      </c>
      <c r="D49" s="21">
        <f>NumHeads/TP1Size</f>
        <v>64.0</v>
      </c>
      <c r="E49" s="4" t="s">
        <v>158</v>
      </c>
    </row>
    <row r="50" spans="1:5">
      <c r="A50" s="4" t="s">
        <v>140</v>
      </c>
      <c r="B50" s="4" t="s">
        <v>159</v>
      </c>
      <c r="C50" s="4" t="s">
        <v>160</v>
      </c>
      <c r="D50" s="21">
        <f>MAX(TP1LocalHeads,KernelMinHeads)</f>
        <v>64.0</v>
      </c>
      <c r="E50" s="4" t="s">
        <v>161</v>
      </c>
    </row>
    <row r="51" spans="1:5">
      <c r="A51" s="4" t="s">
        <v>140</v>
      </c>
      <c r="B51" s="4" t="s">
        <v>162</v>
      </c>
      <c r="C51" s="4" t="s">
        <v>163</v>
      </c>
      <c r="D51" s="21">
        <f>IndexHeads/TP1Size</f>
        <v>64.0</v>
      </c>
      <c r="E51" s="4" t="s">
        <v>164</v>
      </c>
    </row>
    <row r="52" spans="1:5">
      <c r="A52" s="4" t="s">
        <v>140</v>
      </c>
      <c r="B52" s="4" t="s">
        <v>165</v>
      </c>
      <c r="C52" s="4" t="s">
        <v>166</v>
      </c>
      <c r="D52" s="22">
        <f>RoutedExperts/TP1Size</f>
        <v>256.0</v>
      </c>
      <c r="E52" s="4" t="s">
        <v>167</v>
      </c>
    </row>
    <row r="53" spans="1:5">
      <c r="A53" s="4" t="s">
        <v>140</v>
      </c>
      <c r="B53" s="4" t="s">
        <v>168</v>
      </c>
      <c r="C53" s="4" t="s">
        <v>169</v>
      </c>
      <c r="D53" s="23">
        <f>OGroups/TP1Size</f>
        <v>8.0</v>
      </c>
      <c r="E53" s="4" t="s">
        <v>170</v>
      </c>
    </row>
    <row r="54" spans="1:5">
      <c r="A54" s="4" t="s">
        <v>140</v>
      </c>
      <c r="B54" s="4" t="s">
        <v>171</v>
      </c>
      <c r="C54" s="4" t="s">
        <v>172</v>
      </c>
      <c r="D54" s="24">
        <f>VocabSize/TP1Size</f>
        <v>129280.0</v>
      </c>
      <c r="E54" s="4" t="s">
        <v>173</v>
      </c>
    </row>
    <row r="55" spans="1:5">
      <c r="A55" s="4" t="s">
        <v>140</v>
      </c>
      <c r="B55" s="4" t="s">
        <v>174</v>
      </c>
      <c r="C55" s="4" t="s">
        <v>175</v>
      </c>
      <c r="D55" s="21">
        <f>NumHeads/TP8Size</f>
        <v>8.0</v>
      </c>
      <c r="E55" s="4" t="s">
        <v>176</v>
      </c>
    </row>
    <row r="56" spans="1:5">
      <c r="A56" s="4" t="s">
        <v>140</v>
      </c>
      <c r="B56" s="4" t="s">
        <v>177</v>
      </c>
      <c r="C56" s="4" t="s">
        <v>178</v>
      </c>
      <c r="D56" s="21">
        <f>MAX(TP8LocalHeads,KernelMinHeads)</f>
        <v>16</v>
      </c>
      <c r="E56" s="4" t="s">
        <v>161</v>
      </c>
    </row>
    <row r="57" spans="1:5">
      <c r="A57" s="4" t="s">
        <v>140</v>
      </c>
      <c r="B57" s="4" t="s">
        <v>179</v>
      </c>
      <c r="C57" s="4" t="s">
        <v>180</v>
      </c>
      <c r="D57" s="21">
        <f>IndexHeads/TP8Size</f>
        <v>8.0</v>
      </c>
      <c r="E57" s="4" t="s">
        <v>181</v>
      </c>
    </row>
    <row r="58" spans="1:5">
      <c r="A58" s="4" t="s">
        <v>140</v>
      </c>
      <c r="B58" s="4" t="s">
        <v>182</v>
      </c>
      <c r="C58" s="4" t="s">
        <v>183</v>
      </c>
      <c r="D58" s="22">
        <f>RoutedExperts/TP8Size</f>
        <v>32.0</v>
      </c>
      <c r="E58" s="4" t="s">
        <v>184</v>
      </c>
    </row>
    <row r="59" spans="1:5">
      <c r="A59" s="4" t="s">
        <v>140</v>
      </c>
      <c r="B59" s="4" t="s">
        <v>185</v>
      </c>
      <c r="C59" s="4" t="s">
        <v>186</v>
      </c>
      <c r="D59" s="23">
        <f>OGroups/TP8Size</f>
        <v>1.0</v>
      </c>
      <c r="E59" s="4" t="s">
        <v>187</v>
      </c>
    </row>
    <row r="60" spans="1:5">
      <c r="A60" s="4" t="s">
        <v>140</v>
      </c>
      <c r="B60" s="4" t="s">
        <v>188</v>
      </c>
      <c r="C60" s="4" t="s">
        <v>189</v>
      </c>
      <c r="D60" s="24">
        <f>VocabSize/TP8Size</f>
        <v>16160.0</v>
      </c>
      <c r="E60" s="4" t="s">
        <v>190</v>
      </c>
    </row>
  </sheetData>
  <autoFilter ref="A3:E6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B52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5.7109375" customWidth="1"/>
    <col min="2" max="2" width="34.7109375" customWidth="1"/>
    <col min="3" max="3" width="27.7109375" customWidth="1"/>
    <col min="4" max="9" width="16.7109375" customWidth="1"/>
    <col min="10" max="11" width="34.7109375" customWidth="1"/>
    <col min="12" max="12" width="66.7109375" customWidth="1"/>
    <col min="21" max="26" width="0" hidden="1" customWidth="1"/>
    <col min="31" max="36" width="0" hidden="1" customWidth="1"/>
    <col min="41" max="54" width="0" hidden="1" customWidth="1"/>
  </cols>
  <sheetData>
    <row r="1" spans="1:36">
      <c r="A1" s="1" t="s">
        <v>191</v>
      </c>
    </row>
    <row r="2" spans="1:36">
      <c r="A2" s="2" t="s">
        <v>192</v>
      </c>
    </row>
    <row r="3" spans="1:36" hidden="1">
      <c r="A3" s="3" t="s">
        <v>193</v>
      </c>
      <c r="B3" s="3" t="s">
        <v>5</v>
      </c>
      <c r="C3" s="3" t="s">
        <v>194</v>
      </c>
      <c r="D3" s="3" t="s">
        <v>6</v>
      </c>
    </row>
    <row r="4" spans="1:36" ht="54" hidden="1" customHeight="1">
      <c r="A4" s="4" t="s">
        <v>195</v>
      </c>
      <c r="B4" s="25">
        <f>PrefillBatch*PrefillSequence</f>
        <v>8192</v>
      </c>
      <c r="C4" s="4" t="s">
        <v>196</v>
      </c>
      <c r="D4" s="4" t="s">
        <v>197</v>
      </c>
    </row>
    <row r="5" spans="1:36" ht="54" hidden="1" customHeight="1">
      <c r="A5" s="4" t="s">
        <v>198</v>
      </c>
      <c r="B5" s="26">
        <f>IF(PrefillSequence&lt;=WindowSize,PrefillSequence*(PrefillSequence+1)/2,WindowSize*(WindowSize+1)/2+(PrefillSequence-WindowSize)*WindowSize)</f>
        <v>1040448</v>
      </c>
      <c r="C5" s="4" t="s">
        <v>199</v>
      </c>
      <c r="D5" s="4" t="s">
        <v>200</v>
      </c>
    </row>
    <row r="6" spans="1:36" ht="54" hidden="1" customHeight="1">
      <c r="A6" s="4" t="s">
        <v>201</v>
      </c>
      <c r="B6" s="26">
        <f>IF(PrefillSequence&lt;IndexTopK*ShortRatio,ShortRatio*INT(PrefillSequence/ShortRatio)*(INT(PrefillSequence/ShortRatio)-1)/2+INT(PrefillSequence/ShortRatio)*(MOD(PrefillSequence,ShortRatio)+1),ShortRatio*IndexTopK*(IndexTopK-1)/2+(PrefillSequence-IndexTopK*ShortRatio+1)*IndexTopK)</f>
        <v>3669504</v>
      </c>
      <c r="C6" s="4" t="s">
        <v>199</v>
      </c>
      <c r="D6" s="4" t="s">
        <v>202</v>
      </c>
    </row>
    <row r="7" spans="1:36" ht="54" hidden="1" customHeight="1">
      <c r="A7" s="4" t="s">
        <v>203</v>
      </c>
      <c r="B7" s="26">
        <f>LongRatio*INT(PrefillSequence/LongRatio)*(INT(PrefillSequence/LongRatio)-1)/2+INT(PrefillSequence/LongRatio)*(MOD(PrefillSequence,LongRatio)+1)</f>
        <v>258112</v>
      </c>
      <c r="C7" s="4" t="s">
        <v>199</v>
      </c>
      <c r="D7" s="4" t="s">
        <v>204</v>
      </c>
    </row>
    <row r="8" spans="1:36" ht="54" hidden="1" customHeight="1">
      <c r="A8" s="4" t="s">
        <v>205</v>
      </c>
      <c r="B8" s="26">
        <f>ShortRatio*INT(PrefillSequence/ShortRatio)*(INT(PrefillSequence/ShortRatio)-1)/2+INT(PrefillSequence/ShortRatio)*(MOD(PrefillSequence,ShortRatio)+1)</f>
        <v>8386560</v>
      </c>
      <c r="C8" s="4" t="s">
        <v>199</v>
      </c>
      <c r="D8" s="4" t="s">
        <v>206</v>
      </c>
    </row>
    <row r="9" spans="1:36" ht="54" hidden="1" customHeight="1">
      <c r="A9" s="4" t="s">
        <v>207</v>
      </c>
      <c r="B9" s="27">
        <f>1-(1-ActivatedExperts/RoutedExperts)^PF_Rows</f>
        <v>1.0</v>
      </c>
      <c r="C9" s="4" t="s">
        <v>208</v>
      </c>
      <c r="D9" s="4" t="s">
        <v>209</v>
      </c>
    </row>
    <row r="11" spans="1:36">
      <c r="A11" s="28" t="s">
        <v>210</v>
      </c>
      <c r="B11" s="28"/>
      <c r="C11" s="28"/>
      <c r="D11" s="28"/>
      <c r="E11" s="28"/>
      <c r="F11" s="28"/>
      <c r="G11" s="28"/>
      <c r="H11" s="28"/>
      <c r="I11" s="28"/>
      <c r="J11" s="28"/>
    </row>
    <row r="12" spans="1:36">
      <c r="A12" t="s">
        <v>211</v>
      </c>
      <c r="B12" t="s">
        <v>212</v>
      </c>
      <c r="C12" t="s">
        <v>213</v>
      </c>
      <c r="D12" t="s">
        <v>214</v>
      </c>
      <c r="E12" t="s">
        <v>215</v>
      </c>
      <c r="F12" t="s">
        <v>216</v>
      </c>
      <c r="G12" t="s">
        <v>217</v>
      </c>
      <c r="H12" t="s">
        <v>218</v>
      </c>
      <c r="I12" t="s">
        <v>219</v>
      </c>
      <c r="J12" t="s">
        <v>220</v>
      </c>
    </row>
    <row r="13" spans="1:36">
      <c r="A13" s="29" t="s">
        <v>221</v>
      </c>
      <c r="B13" s="29" t="str">
        <f>TEXT(IF(ABS(AE13)&gt;=1E12,AE13/1E12,IF(ABS(AE13)&gt;=1E9,AE13/1E9,IF(ABS(AE13)&gt;=1E6,AE13/1E6,IF(ABS(AE13)&gt;=1E3,AE13/1E3,AE13)))),"#,##0.000")&amp;IF((IF(ABS(AE13)&gt;=1E12,"TB",IF(ABS(AE13)&gt;=1E9,"GB",IF(ABS(AE13)&gt;=1E6,"MB",IF(ABS(AE13)&gt;=1E3,"KB","bytes")))))="",""," "&amp;(IF(ABS(AE13)&gt;=1E12,"TB",IF(ABS(AE13)&gt;=1E9,"GB",IF(ABS(AE13)&gt;=1E6,"MB",IF(ABS(AE13)&gt;=1E3,"KB","bytes"))))))</f>
        <v>166.349 GB</v>
      </c>
      <c r="C13" s="29" t="str">
        <f>TEXT(IF(ABS(AF13)&gt;=1E15,AF13/1E15,IF(ABS(AF13)&gt;=1E12,AF13/1E12,IF(ABS(AF13)&gt;=1E9,AF13/1E9,IF(ABS(AF13)&gt;=1E6,AF13/1E6,AF13)))),"#,##0.000")&amp;IF((IF(ABS(AF13)&gt;=1E15,"PFLOPs",IF(ABS(AF13)&gt;=1E12,"TFLOPs",IF(ABS(AF13)&gt;=1E9,"GFLOPs",IF(ABS(AF13)&gt;=1E6,"MFLOPs","flops")))))="",""," "&amp;(IF(ABS(AF13)&gt;=1E15,"PFLOPs",IF(ABS(AF13)&gt;=1E12,"TFLOPs",IF(ABS(AF13)&gt;=1E9,"GFLOPs",IF(ABS(AF13)&gt;=1E6,"MFLOPs","flops"))))))</f>
        <v>228.398 TFLOPs</v>
      </c>
      <c r="D13" s="29" t="str">
        <f>TEXT(IF(ABS(AG13)&gt;=1E12,AG13/1E12,IF(ABS(AG13)&gt;=1E9,AG13/1E9,IF(ABS(AG13)&gt;=1E6,AG13/1E6,IF(ABS(AG13)&gt;=1E3,AG13/1E3,AG13)))),"#,##0.000")&amp;IF((IF(ABS(AG13)&gt;=1E12,"TB",IF(ABS(AG13)&gt;=1E9,"GB",IF(ABS(AG13)&gt;=1E6,"MB",IF(ABS(AG13)&gt;=1E3,"KB","bytes")))))="",""," "&amp;(IF(ABS(AG13)&gt;=1E12,"TB",IF(ABS(AG13)&gt;=1E9,"GB",IF(ABS(AG13)&gt;=1E6,"MB",IF(ABS(AG13)&gt;=1E3,"KB","bytes"))))))</f>
        <v>0.000 B</v>
      </c>
      <c r="E13" s="29" t="str">
        <f>TEXT(IF(ABS(AH13)&gt;=1E12,AH13/1E12,IF(ABS(AH13)&gt;=1E9,AH13/1E9,IF(ABS(AH13)&gt;=1E6,AH13/1E6,IF(ABS(AH13)&gt;=1E3,AH13/1E3,AH13)))),"#,##0.000")&amp;IF((IF(ABS(AH13)&gt;=1E12,"TB",IF(ABS(AH13)&gt;=1E9,"GB",IF(ABS(AH13)&gt;=1E6,"MB",IF(ABS(AH13)&gt;=1E3,"KB","bytes")))))="",""," "&amp;(IF(ABS(AH13)&gt;=1E12,"TB",IF(ABS(AH13)&gt;=1E9,"GB",IF(ABS(AH13)&gt;=1E6,"MB",IF(ABS(AH13)&gt;=1E3,"KB","bytes"))))))</f>
        <v>29.582 GB</v>
      </c>
      <c r="F13" s="29" t="str">
        <f>TEXT(IF(ABS(AI13)&gt;=1E15,AI13/1E15,IF(ABS(AI13)&gt;=1E12,AI13/1E12,IF(ABS(AI13)&gt;=1E9,AI13/1E9,IF(ABS(AI13)&gt;=1E6,AI13/1E6,AI13)))),"#,##0.000")&amp;IF((IF(ABS(AI13)&gt;=1E15,"PFLOPs",IF(ABS(AI13)&gt;=1E12,"TFLOPs",IF(ABS(AI13)&gt;=1E9,"GFLOPs",IF(ABS(AI13)&gt;=1E6,"MFLOPs","flops")))))="",""," "&amp;(IF(ABS(AI13)&gt;=1E15,"PFLOPs",IF(ABS(AI13)&gt;=1E12,"TFLOPs",IF(ABS(AI13)&gt;=1E9,"GFLOPs",IF(ABS(AI13)&gt;=1E6,"MFLOPs","flops"))))))</f>
        <v>55.653 TFLOPs</v>
      </c>
      <c r="G13" s="29" t="str">
        <f>TEXT(IF(ABS(AJ13)&gt;=1E12,AJ13/1E12,IF(ABS(AJ13)&gt;=1E9,AJ13/1E9,IF(ABS(AJ13)&gt;=1E6,AJ13/1E6,IF(ABS(AJ13)&gt;=1E3,AJ13/1E3,AJ13)))),"#,##0.000")&amp;IF((IF(ABS(AJ13)&gt;=1E12,"TB",IF(ABS(AJ13)&gt;=1E9,"GB",IF(ABS(AJ13)&gt;=1E6,"MB",IF(ABS(AJ13)&gt;=1E3,"KB","bytes")))))="",""," "&amp;(IF(ABS(AJ13)&gt;=1E12,"TB",IF(ABS(AJ13)&gt;=1E9,"GB",IF(ABS(AJ13)&gt;=1E6,"MB",IF(ABS(AJ13)&gt;=1E3,"KB","bytes"))))))</f>
        <v>40.635 GB</v>
      </c>
      <c r="H13" s="4" t="s">
        <v>223</v>
      </c>
      <c r="I13" s="4" t="s">
        <v>224</v>
      </c>
      <c r="J13" s="4" t="s">
        <v>222</v>
      </c>
      <c r="AE13" s="30">
        <f>((TP1LocalVocab*HiddenSize*BF16Bytes)+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(0)+(0)+(0)+(ShortLayers*(((QLoraRank)*(TP1LocalIndexHeads*IndexHeadDim)*FP8Bytes+ROUNDUP((QLoraRank)/FP8Block,0)*ROUNDUP((TP1LocalIndexHeads*IndexHeadDim)/FP8Block,0)*ScaleBytes)+HiddenSize*TP1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TotalLayers*RoutedExperts*HiddenSize*BF16Bytes+(TotalLayers-ActiveHashLayers)*RoutedExperts*FP32Bytes+ActiveHashLayers*VocabSize*ActivatedExperts*INT32Bytes)+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(TotalLayers*2*(((2+HCSlots)*HCSlots)*HCSlots*HiddenSize+((2+HCSlots)*HCSlots)+3))*FP32Bytes+(HCSlots*HCSlots*HiddenSize+HCSlots+1)*FP32Bytes)+((TotalLayers*(2*HiddenSize+QLoraRank+HeadDim+TP1LocalHeads))*FP32Bytes+(HiddenSize)*FP32Bytes)+(0)+(TP1LocalVocab*HiddenSize*FP32Bytes)+(0)+(0))+(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)</f>
        <v>166349315548.0</v>
      </c>
      <c r="AF13" s="30">
        <f>(0)+(PF_Rows*TotalLayers*2*(HiddenSize*QLoraRank+QLoraRank*TP1LocalHeads*HeadDim+HiddenSize*HeadDim+TP1LocalHeads*HeadDim*OLoraRank+TP1LocalOGroups*OLoraRank*HiddenSize))+(4*PrefillBatch*TP1KernelLocalHeads*HeadDim*(WindowLayers*PF_RawPairs))+(4*PrefillBatch*TP1KernelLocalHeads*HeadDim*(ShortLayers*(PF_RawPairs+PF_ShortPairs)))+(4*PrefillBatch*TP1KernelLocalHeads*HeadDim*(LongLayers*(PF_RawPairs+PF_LongPairs)))+(2*PF_Rows*ShortLayers*(QLoraRank*TP1LocalIndexHeads*IndexHeadDim+HiddenSize*TP1LocalIndexHeads))+(2*PrefillBatch*ShortLayers*TP1LocalIndexHeads*IndexHeadDim*PF_IndexPairs)+(PF_Rows*ShortLayers*8*HiddenSize*HeadDim)+(PF_Rows*LongLayers*4*HiddenSize*HeadDim)+(PF_Rows*ShortLayers*8*HiddenSize*IndexHeadDim)+(2*PF_Rows*TotalLayers*HiddenSize*RoutedExperts)+(PF_Rows*TotalLayers*(ActivatedExperts/TP1Size)*6*HiddenSize*ExpertInter)+(PF_Rows*TotalLayers*SharedExperts*6*HiddenSize*ExpertInter)+(TotalLayers*2*(2*PF_Rows*HCSlots*HiddenSize*((2+HCSlots)*HCSlots)+PF_Rows*(2*HCSlots*HiddenSize+1)+PF_Rows*HiddenSize*(2*HCSlots-1)+PF_Rows*HCSlots*HiddenSize*(2*HCSlots+1))+2*PF_Rows*HCSlots*HiddenSize*HCSlots+PF_Rows*(2*HCSlots*HiddenSize+1)+PF_Rows*HiddenSize*(2*HCSlots-1))+(PF_Rows*TotalLayers*2*(4*HiddenSize+1)+PF_Rows*(4*HiddenSize+1))+(0)+(2*PrefillBatch*HiddenSize*TP1LocalVocab)+(0)+(0)</f>
        <v>228397682114560.0</v>
      </c>
      <c r="AG13" s="30">
        <f>(4*(TP1Size-1)/TP1Size*PF_Rows*HiddenSize*BF16Bytes)+(0)+(0)+(0)+(0)+(0)+(0)+(0)+(0)+(0)+(0)+(0)+(0)+(0)+(0)+(0)+(2*(TP1Size-1)*PrefillBatch*TP1LocalVocab*FP32Bytes)+(4*(TP1Size-1)/TP1Size*PF_Rows*HiddenSize*FP32Bytes*TotalLayers)+(4*(TP1Size-1)/TP1Size*PF_Rows*HiddenSize*FP32Bytes*TotalLayers)</f>
        <v>0.0</v>
      </c>
      <c r="AH13" s="30">
        <f>((TP8LocalVocab*HiddenSize*BF16Bytes)+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(0)+(0)+(0)+(ShortLayers*(((QLoraRank)*(TP8LocalIndexHeads*IndexHeadDim)*FP8Bytes+ROUNDUP((QLoraRank)/FP8Block,0)*ROUNDUP((TP8LocalIndexHeads*IndexHeadDim)/FP8Block,0)*ScaleBytes)+HiddenSize*TP8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TotalLayers*RoutedExperts*HiddenSize*BF16Bytes+(TotalLayers-ActiveHashLayers)*RoutedExperts*FP32Bytes+ActiveHashLayers*VocabSize*ActivatedExperts*INT32Bytes)+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(TotalLayers*2*(((2+HCSlots)*HCSlots)*HCSlots*HiddenSize+((2+HCSlots)*HCSlots)+3))*FP32Bytes+(HCSlots*HCSlots*HiddenSize+HCSlots+1)*FP32Bytes)+((TotalLayers*(2*HiddenSize+QLoraRank+HeadDim+TP8LocalHeads))*FP32Bytes+(HiddenSize)*FP32Bytes)+(0)+(TP8LocalVocab*HiddenSize*FP32Bytes)+(0)+(0))+(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)</f>
        <v>29581867388.0</v>
      </c>
      <c r="AI13" s="30">
        <f>(0)+(PF_Rows*TotalLayers*2*(HiddenSize*QLoraRank+QLoraRank*TP8LocalHeads*HeadDim+HiddenSize*HeadDim+TP8LocalHeads*HeadDim*OLoraRank+TP8LocalOGroups*OLoraRank*HiddenSize))+(4*PrefillBatch*TP8KernelLocalHeads*HeadDim*(WindowLayers*PF_RawPairs))+(4*PrefillBatch*TP8KernelLocalHeads*HeadDim*(ShortLayers*(PF_RawPairs+PF_ShortPairs)))+(4*PrefillBatch*TP8KernelLocalHeads*HeadDim*(LongLayers*(PF_RawPairs+PF_LongPairs)))+(2*PF_Rows*ShortLayers*(QLoraRank*TP8LocalIndexHeads*IndexHeadDim+HiddenSize*TP8LocalIndexHeads))+(2*PrefillBatch*ShortLayers*TP8LocalIndexHeads*IndexHeadDim*PF_IndexPairs)+(PF_Rows*ShortLayers*8*HiddenSize*HeadDim)+(PF_Rows*LongLayers*4*HiddenSize*HeadDim)+(PF_Rows*ShortLayers*8*HiddenSize*IndexHeadDim)+(2*PF_Rows*TotalLayers*HiddenSize*RoutedExperts)+(PF_Rows*TotalLayers*(ActivatedExperts/TP8Size)*6*HiddenSize*ExpertInter)+(PF_Rows*TotalLayers*SharedExperts*6*HiddenSize*ExpertInter)+(TotalLayers*2*(2*PF_Rows*HCSlots*HiddenSize*((2+HCSlots)*HCSlots)+PF_Rows*(2*HCSlots*HiddenSize+1)+PF_Rows*HiddenSize*(2*HCSlots-1)+PF_Rows*HCSlots*HiddenSize*(2*HCSlots+1))+2*PF_Rows*HCSlots*HiddenSize*HCSlots+PF_Rows*(2*HCSlots*HiddenSize+1)+PF_Rows*HiddenSize*(2*HCSlots-1))+(PF_Rows*TotalLayers*2*(4*HiddenSize+1)+PF_Rows*(4*HiddenSize+1))+(0)+(2*PrefillBatch*HiddenSize*TP8LocalVocab)+(0)+(0)</f>
        <v>55652568907776.0</v>
      </c>
      <c r="AJ13" s="30">
        <f>(4*(TP8Size-1)/TP8Size*PF_Rows*HiddenSize*BF16Bytes)+(0)+(0)+(0)+(0)+(0)+(0)+(0)+(0)+(0)+(0)+(0)+(0)+(0)+(0)+(0)+(2*(TP8Size-1)*PrefillBatch*TP8LocalVocab*FP32Bytes)+(4*(TP8Size-1)/TP8Size*PF_Rows*HiddenSize*FP32Bytes*TotalLayers)+(4*(TP8Size-1)/TP8Size*PF_Rows*HiddenSize*FP32Bytes*TotalLayers)</f>
        <v>40635322112.0</v>
      </c>
    </row>
    <row r="14" spans="1:36">
      <c r="A14" s="4" t="s">
        <v>40</v>
      </c>
      <c r="B14" s="31" t="str">
        <f>TEXT(IF(ABS(AE14)&gt;=1E12,AE14/1E12,IF(ABS(AE14)&gt;=1E9,AE14/1E9,IF(ABS(AE14)&gt;=1E6,AE14/1E6,IF(ABS(AE14)&gt;=1E3,AE14/1E3,AE14)))),"#,##0.000")&amp;IF((IF(ABS(AE14)&gt;=1E12,"TB",IF(ABS(AE14)&gt;=1E9,"GB",IF(ABS(AE14)&gt;=1E6,"MB",IF(ABS(AE14)&gt;=1E3,"KB","bytes")))))="",""," "&amp;(IF(ABS(AE14)&gt;=1E12,"TB",IF(ABS(AE14)&gt;=1E9,"GB",IF(ABS(AE14)&gt;=1E6,"MB",IF(ABS(AE14)&gt;=1E3,"KB","bytes"))))))</f>
        <v>7.451 GB</v>
      </c>
      <c r="C14" s="31" t="str">
        <f>TEXT(IF(ABS(AF14)&gt;=1E15,AF14/1E15,IF(ABS(AF14)&gt;=1E12,AF14/1E12,IF(ABS(AF14)&gt;=1E9,AF14/1E9,IF(ABS(AF14)&gt;=1E6,AF14/1E6,AF14)))),"#,##0.000")&amp;IF((IF(ABS(AF14)&gt;=1E15,"PFLOPs",IF(ABS(AF14)&gt;=1E12,"TFLOPs",IF(ABS(AF14)&gt;=1E9,"GFLOPs",IF(ABS(AF14)&gt;=1E6,"MFLOPs","flops")))))="",""," "&amp;(IF(ABS(AF14)&gt;=1E15,"PFLOPs",IF(ABS(AF14)&gt;=1E12,"TFLOPs",IF(ABS(AF14)&gt;=1E9,"GFLOPs",IF(ABS(AF14)&gt;=1E6,"MFLOPs","flops"))))))</f>
        <v>102.836 TFLOPs</v>
      </c>
      <c r="D14" s="31" t="str">
        <f>TEXT(IF(ABS(AG14)&gt;=1E12,AG14/1E12,IF(ABS(AG14)&gt;=1E9,AG14/1E9,IF(ABS(AG14)&gt;=1E6,AG14/1E6,IF(ABS(AG14)&gt;=1E3,AG14/1E3,AG14)))),"#,##0.000")&amp;IF((IF(ABS(AG14)&gt;=1E12,"TB",IF(ABS(AG14)&gt;=1E9,"GB",IF(ABS(AG14)&gt;=1E6,"MB",IF(ABS(AG14)&gt;=1E3,"KB","bytes")))))="",""," "&amp;(IF(ABS(AG14)&gt;=1E12,"TB",IF(ABS(AG14)&gt;=1E9,"GB",IF(ABS(AG14)&gt;=1E6,"MB",IF(ABS(AG14)&gt;=1E3,"KB","bytes"))))))</f>
        <v>0.000 B</v>
      </c>
      <c r="E14" s="31" t="str">
        <f>TEXT(IF(ABS(AH14)&gt;=1E12,AH14/1E12,IF(ABS(AH14)&gt;=1E9,AH14/1E9,IF(ABS(AH14)&gt;=1E6,AH14/1E6,IF(ABS(AH14)&gt;=1E3,AH14/1E3,AH14)))),"#,##0.000")&amp;IF((IF(ABS(AH14)&gt;=1E12,"TB",IF(ABS(AH14)&gt;=1E9,"GB",IF(ABS(AH14)&gt;=1E6,"MB",IF(ABS(AH14)&gt;=1E3,"KB","bytes")))))="",""," "&amp;(IF(ABS(AH14)&gt;=1E12,"TB",IF(ABS(AH14)&gt;=1E9,"GB",IF(ABS(AH14)&gt;=1E6,"MB",IF(ABS(AH14)&gt;=1E3,"KB","bytes"))))))</f>
        <v>2.238 GB</v>
      </c>
      <c r="F14" s="31" t="str">
        <f>TEXT(IF(ABS(AI14)&gt;=1E15,AI14/1E15,IF(ABS(AI14)&gt;=1E12,AI14/1E12,IF(ABS(AI14)&gt;=1E9,AI14/1E9,IF(ABS(AI14)&gt;=1E6,AI14/1E6,AI14)))),"#,##0.000")&amp;IF((IF(ABS(AI14)&gt;=1E15,"PFLOPs",IF(ABS(AI14)&gt;=1E12,"TFLOPs",IF(ABS(AI14)&gt;=1E9,"GFLOPs",IF(ABS(AI14)&gt;=1E6,"MFLOPs","flops")))))="",""," "&amp;(IF(ABS(AI14)&gt;=1E15,"PFLOPs",IF(ABS(AI14)&gt;=1E12,"TFLOPs",IF(ABS(AI14)&gt;=1E9,"GFLOPs",IF(ABS(AI14)&gt;=1E6,"MFLOPs","flops"))))))</f>
        <v>23.172 TFLOPs</v>
      </c>
      <c r="G14" s="31" t="str">
        <f>TEXT(IF(ABS(AJ14)&gt;=1E12,AJ14/1E12,IF(ABS(AJ14)&gt;=1E9,AJ14/1E9,IF(ABS(AJ14)&gt;=1E6,AJ14/1E6,IF(ABS(AJ14)&gt;=1E3,AJ14/1E3,AJ14)))),"#,##0.000")&amp;IF((IF(ABS(AJ14)&gt;=1E12,"TB",IF(ABS(AJ14)&gt;=1E9,"GB",IF(ABS(AJ14)&gt;=1E6,"MB",IF(ABS(AJ14)&gt;=1E3,"KB","bytes")))))="",""," "&amp;(IF(ABS(AJ14)&gt;=1E12,"TB",IF(ABS(AJ14)&gt;=1E9,"GB",IF(ABS(AJ14)&gt;=1E6,"MB",IF(ABS(AJ14)&gt;=1E3,"KB","bytes"))))))</f>
        <v>20.200 GB</v>
      </c>
      <c r="H14" s="4" t="s">
        <v>226</v>
      </c>
      <c r="I14" s="4" t="s">
        <v>227</v>
      </c>
      <c r="J14" s="4" t="s">
        <v>225</v>
      </c>
      <c r="AE14" s="30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(0)+(0)+(0)+(ShortLayers*(((QLoraRank)*(TP1LocalIndexHeads*IndexHeadDim)*FP8Bytes+ROUNDUP((QLoraRank)/FP8Block,0)*ROUNDUP((TP1LocalIndexHeads*IndexHeadDim)/FP8Block,0)*ScaleBytes)+HiddenSize*TP1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(0)</f>
        <v>7451384960</v>
      </c>
      <c r="AF14" s="30">
        <f>(PF_Rows*TotalLayers*2*(HiddenSize*QLoraRank+QLoraRank*TP1LocalHeads*HeadDim+HiddenSize*HeadDim+TP1LocalHeads*HeadDim*OLoraRank+TP1LocalOGroups*OLoraRank*HiddenSize))+(4*PrefillBatch*TP1KernelLocalHeads*HeadDim*(WindowLayers*PF_RawPairs))+(4*PrefillBatch*TP1KernelLocalHeads*HeadDim*(ShortLayers*(PF_RawPairs+PF_ShortPairs)))+(4*PrefillBatch*TP1KernelLocalHeads*HeadDim*(LongLayers*(PF_RawPairs+PF_LongPairs)))+(2*PF_Rows*ShortLayers*(QLoraRank*TP1LocalIndexHeads*IndexHeadDim+HiddenSize*TP1LocalIndexHeads))+(2*PrefillBatch*ShortLayers*TP1LocalIndexHeads*IndexHeadDim*PF_IndexPairs)+(PF_Rows*ShortLayers*8*HiddenSize*HeadDim)+(PF_Rows*LongLayers*4*HiddenSize*HeadDim)+(PF_Rows*ShortLayers*8*HiddenSize*IndexHeadDim)+(0)</f>
        <v>102836037746688.0</v>
      </c>
      <c r="AG14" s="30">
        <f>(0)+(0)+(0)+(0)+(0)+(0)+(0)+(0)+(0)+(4*(TP1Size-1)/TP1Size*PF_Rows*HiddenSize*FP32Bytes*TotalLayers)</f>
        <v>0.0</v>
      </c>
      <c r="AH14" s="30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(0)+(0)+(0)+(ShortLayers*(((QLoraRank)*(TP8LocalIndexHeads*IndexHeadDim)*FP8Bytes+ROUNDUP((QLoraRank)/FP8Block,0)*ROUNDUP((TP8LocalIndexHeads*IndexHeadDim)/FP8Block,0)*ScaleBytes)+HiddenSize*TP8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(0)</f>
        <v>2237504960</v>
      </c>
      <c r="AI14" s="30">
        <f>(PF_Rows*TotalLayers*2*(HiddenSize*QLoraRank+QLoraRank*TP8LocalHeads*HeadDim+HiddenSize*HeadDim+TP8LocalHeads*HeadDim*OLoraRank+TP8LocalOGroups*OLoraRank*HiddenSize))+(4*PrefillBatch*TP8KernelLocalHeads*HeadDim*(WindowLayers*PF_RawPairs))+(4*PrefillBatch*TP8KernelLocalHeads*HeadDim*(ShortLayers*(PF_RawPairs+PF_ShortPairs)))+(4*PrefillBatch*TP8KernelLocalHeads*HeadDim*(LongLayers*(PF_RawPairs+PF_LongPairs)))+(2*PF_Rows*ShortLayers*(QLoraRank*TP8LocalIndexHeads*IndexHeadDim+HiddenSize*TP8LocalIndexHeads))+(2*PrefillBatch*ShortLayers*TP8LocalIndexHeads*IndexHeadDim*PF_IndexPairs)+(PF_Rows*ShortLayers*8*HiddenSize*HeadDim)+(PF_Rows*LongLayers*4*HiddenSize*HeadDim)+(PF_Rows*ShortLayers*8*HiddenSize*IndexHeadDim)+(0)</f>
        <v>23172382457856.0</v>
      </c>
      <c r="AJ14" s="30">
        <f>(0)+(0)+(0)+(0)+(0)+(0)+(0)+(0)+(0)+(4*(TP8Size-1)/TP8Size*PF_Rows*HiddenSize*FP32Bytes*TotalLayers)</f>
        <v>20199768064.0</v>
      </c>
    </row>
    <row r="15" spans="1:36">
      <c r="A15" s="4" t="s">
        <v>59</v>
      </c>
      <c r="B15" s="31" t="str">
        <f>TEXT(IF(ABS(AE15)&gt;=1E12,AE15/1E12,IF(ABS(AE15)&gt;=1E9,AE15/1E9,IF(ABS(AE15)&gt;=1E6,AE15/1E6,IF(ABS(AE15)&gt;=1E3,AE15/1E3,AE15)))),"#,##0.000")&amp;IF((IF(ABS(AE15)&gt;=1E12,"TB",IF(ABS(AE15)&gt;=1E9,"GB",IF(ABS(AE15)&gt;=1E6,"MB",IF(ABS(AE15)&gt;=1E3,"KB","bytes")))))="",""," "&amp;(IF(ABS(AE15)&gt;=1E12,"TB",IF(ABS(AE15)&gt;=1E9,"GB",IF(ABS(AE15)&gt;=1E6,"MB",IF(ABS(AE15)&gt;=1E3,"KB","bytes"))))))</f>
        <v>148.351 GB</v>
      </c>
      <c r="C15" s="31" t="str">
        <f>TEXT(IF(ABS(AF15)&gt;=1E15,AF15/1E15,IF(ABS(AF15)&gt;=1E12,AF15/1E12,IF(ABS(AF15)&gt;=1E9,AF15/1E9,IF(ABS(AF15)&gt;=1E6,AF15/1E6,AF15)))),"#,##0.000")&amp;IF((IF(ABS(AF15)&gt;=1E15,"PFLOPs",IF(ABS(AF15)&gt;=1E12,"TFLOPs",IF(ABS(AF15)&gt;=1E9,"GFLOPs",IF(ABS(AF15)&gt;=1E6,"MFLOPs","flops")))))="",""," "&amp;(IF(ABS(AF15)&gt;=1E15,"PFLOPs",IF(ABS(AF15)&gt;=1E12,"TFLOPs",IF(ABS(AF15)&gt;=1E9,"GFLOPs",IF(ABS(AF15)&gt;=1E6,"MFLOPs","flops"))))))</f>
        <v>124.846 TFLOPs</v>
      </c>
      <c r="D15" s="31" t="str">
        <f>TEXT(IF(ABS(AG15)&gt;=1E12,AG15/1E12,IF(ABS(AG15)&gt;=1E9,AG15/1E9,IF(ABS(AG15)&gt;=1E6,AG15/1E6,IF(ABS(AG15)&gt;=1E3,AG15/1E3,AG15)))),"#,##0.000")&amp;IF((IF(ABS(AG15)&gt;=1E12,"TB",IF(ABS(AG15)&gt;=1E9,"GB",IF(ABS(AG15)&gt;=1E6,"MB",IF(ABS(AG15)&gt;=1E3,"KB","bytes")))))="",""," "&amp;(IF(ABS(AG15)&gt;=1E12,"TB",IF(ABS(AG15)&gt;=1E9,"GB",IF(ABS(AG15)&gt;=1E6,"MB",IF(ABS(AG15)&gt;=1E3,"KB","bytes"))))))</f>
        <v>0.000 B</v>
      </c>
      <c r="E15" s="31" t="str">
        <f>TEXT(IF(ABS(AH15)&gt;=1E12,AH15/1E12,IF(ABS(AH15)&gt;=1E9,AH15/1E9,IF(ABS(AH15)&gt;=1E6,AH15/1E6,IF(ABS(AH15)&gt;=1E3,AH15/1E3,AH15)))),"#,##0.000")&amp;IF((IF(ABS(AH15)&gt;=1E12,"TB",IF(ABS(AH15)&gt;=1E9,"GB",IF(ABS(AH15)&gt;=1E6,"MB",IF(ABS(AH15)&gt;=1E3,"KB","bytes")))))="",""," "&amp;(IF(ABS(AH15)&gt;=1E12,"TB",IF(ABS(AH15)&gt;=1E9,"GB",IF(ABS(AH15)&gt;=1E6,"MB",IF(ABS(AH15)&gt;=1E3,"KB","bytes"))))))</f>
        <v>19.578 GB</v>
      </c>
      <c r="F15" s="31" t="str">
        <f>TEXT(IF(ABS(AI15)&gt;=1E15,AI15/1E15,IF(ABS(AI15)&gt;=1E12,AI15/1E12,IF(ABS(AI15)&gt;=1E9,AI15/1E9,IF(ABS(AI15)&gt;=1E6,AI15/1E6,AI15)))),"#,##0.000")&amp;IF((IF(ABS(AI15)&gt;=1E15,"PFLOPs",IF(ABS(AI15)&gt;=1E12,"TFLOPs",IF(ABS(AI15)&gt;=1E9,"GFLOPs",IF(ABS(AI15)&gt;=1E6,"MFLOPs","flops")))))="",""," "&amp;(IF(ABS(AI15)&gt;=1E15,"PFLOPs",IF(ABS(AI15)&gt;=1E12,"TFLOPs",IF(ABS(AI15)&gt;=1E9,"GFLOPs",IF(ABS(AI15)&gt;=1E6,"MFLOPs","flops"))))))</f>
        <v>31.766 TFLOPs</v>
      </c>
      <c r="G15" s="31" t="str">
        <f>TEXT(IF(ABS(AJ15)&gt;=1E12,AJ15/1E12,IF(ABS(AJ15)&gt;=1E9,AJ15/1E9,IF(ABS(AJ15)&gt;=1E6,AJ15/1E6,IF(ABS(AJ15)&gt;=1E3,AJ15/1E3,AJ15)))),"#,##0.000")&amp;IF((IF(ABS(AJ15)&gt;=1E12,"TB",IF(ABS(AJ15)&gt;=1E9,"GB",IF(ABS(AJ15)&gt;=1E6,"MB",IF(ABS(AJ15)&gt;=1E3,"KB","bytes")))))="",""," "&amp;(IF(ABS(AJ15)&gt;=1E12,"TB",IF(ABS(AJ15)&gt;=1E9,"GB",IF(ABS(AJ15)&gt;=1E6,"MB",IF(ABS(AJ15)&gt;=1E3,"KB","bytes"))))))</f>
        <v>20.200 GB</v>
      </c>
      <c r="H15" s="4" t="s">
        <v>229</v>
      </c>
      <c r="I15" s="4" t="s">
        <v>224</v>
      </c>
      <c r="J15" s="4" t="s">
        <v>228</v>
      </c>
      <c r="AE15" s="30">
        <f>(TotalLayers*RoutedExperts*HiddenSize*BF16Bytes+(TotalLayers-ActiveHashLayers)*RoutedExperts*FP32Bytes+ActiveHashLayers*VocabSize*ActivatedExperts*INT32Bytes)+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(0)</f>
        <v>148351461888.0</v>
      </c>
      <c r="AF15" s="30">
        <f>(2*PF_Rows*TotalLayers*HiddenSize*RoutedExperts)+(PF_Rows*TotalLayers*(ActivatedExperts/TP1Size)*6*HiddenSize*ExpertInter)+(PF_Rows*TotalLayers*SharedExperts*6*HiddenSize*ExpertInter)+(0)</f>
        <v>124846109360128.0</v>
      </c>
      <c r="AG15" s="30">
        <f>(0)+(0)+(0)+(4*(TP1Size-1)/TP1Size*PF_Rows*HiddenSize*FP32Bytes*TotalLayers)</f>
        <v>0.0</v>
      </c>
      <c r="AH15" s="30">
        <f>(TotalLayers*RoutedExperts*HiddenSize*BF16Bytes+(TotalLayers-ActiveHashLayers)*RoutedExperts*FP32Bytes+ActiveHashLayers*VocabSize*ActivatedExperts*INT32Bytes)+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(0)</f>
        <v>19577940480.0</v>
      </c>
      <c r="AI15" s="30">
        <f>(2*PF_Rows*TotalLayers*HiddenSize*RoutedExperts)+(PF_Rows*TotalLayers*(ActivatedExperts/TP8Size)*6*HiddenSize*ExpertInter)+(PF_Rows*TotalLayers*SharedExperts*6*HiddenSize*ExpertInter)+(0)</f>
        <v>31765578121216.0</v>
      </c>
      <c r="AJ15" s="30">
        <f>(0)+(0)+(0)+(4*(TP8Size-1)/TP8Size*PF_Rows*HiddenSize*FP32Bytes*TotalLayers)</f>
        <v>20199768064.0</v>
      </c>
    </row>
    <row r="16" spans="1:36">
      <c r="A16" s="4" t="s">
        <v>230</v>
      </c>
      <c r="B16" s="31" t="str">
        <f>TEXT(IF(ABS(AE16)&gt;=1E12,AE16/1E12,IF(ABS(AE16)&gt;=1E9,AE16/1E9,IF(ABS(AE16)&gt;=1E6,AE16/1E6,IF(ABS(AE16)&gt;=1E3,AE16/1E3,AE16)))),"#,##0.000")&amp;IF((IF(ABS(AE16)&gt;=1E12,"TB",IF(ABS(AE16)&gt;=1E9,"GB",IF(ABS(AE16)&gt;=1E6,"MB",IF(ABS(AE16)&gt;=1E3,"KB","bytes")))))="",""," "&amp;(IF(ABS(AE16)&gt;=1E12,"TB",IF(ABS(AE16)&gt;=1E9,"GB",IF(ABS(AE16)&gt;=1E6,"MB",IF(ABS(AE16)&gt;=1E3,"KB","bytes"))))))</f>
        <v>1.059 GB</v>
      </c>
      <c r="C16" s="31" t="str">
        <f>TEXT(IF(ABS(AF16)&gt;=1E15,AF16/1E15,IF(ABS(AF16)&gt;=1E12,AF16/1E12,IF(ABS(AF16)&gt;=1E9,AF16/1E9,IF(ABS(AF16)&gt;=1E6,AF16/1E6,AF16)))),"#,##0.000")&amp;IF((IF(ABS(AF16)&gt;=1E15,"PFLOPs",IF(ABS(AF16)&gt;=1E12,"TFLOPs",IF(ABS(AF16)&gt;=1E9,"GFLOPs",IF(ABS(AF16)&gt;=1E6,"MFLOPs","flops")))))="",""," "&amp;(IF(ABS(AF16)&gt;=1E15,"PFLOPs",IF(ABS(AF16)&gt;=1E12,"TFLOPs",IF(ABS(AF16)&gt;=1E9,"GFLOPs",IF(ABS(AF16)&gt;=1E6,"MFLOPs","flops"))))))</f>
        <v>0.000 FLOPs</v>
      </c>
      <c r="D16" s="31" t="str">
        <f>TEXT(IF(ABS(AG16)&gt;=1E12,AG16/1E12,IF(ABS(AG16)&gt;=1E9,AG16/1E9,IF(ABS(AG16)&gt;=1E6,AG16/1E6,IF(ABS(AG16)&gt;=1E3,AG16/1E3,AG16)))),"#,##0.000")&amp;IF((IF(ABS(AG16)&gt;=1E12,"TB",IF(ABS(AG16)&gt;=1E9,"GB",IF(ABS(AG16)&gt;=1E6,"MB",IF(ABS(AG16)&gt;=1E3,"KB","bytes")))))="",""," "&amp;(IF(ABS(AG16)&gt;=1E12,"TB",IF(ABS(AG16)&gt;=1E9,"GB",IF(ABS(AG16)&gt;=1E6,"MB",IF(ABS(AG16)&gt;=1E3,"KB","bytes"))))))</f>
        <v>0.000 B</v>
      </c>
      <c r="E16" s="31" t="str">
        <f>TEXT(IF(ABS(AH16)&gt;=1E12,AH16/1E12,IF(ABS(AH16)&gt;=1E9,AH16/1E9,IF(ABS(AH16)&gt;=1E6,AH16/1E6,IF(ABS(AH16)&gt;=1E3,AH16/1E3,AH16)))),"#,##0.000")&amp;IF((IF(ABS(AH16)&gt;=1E12,"TB",IF(ABS(AH16)&gt;=1E9,"GB",IF(ABS(AH16)&gt;=1E6,"MB",IF(ABS(AH16)&gt;=1E3,"KB","bytes")))))="",""," "&amp;(IF(ABS(AH16)&gt;=1E12,"TB",IF(ABS(AH16)&gt;=1E9,"GB",IF(ABS(AH16)&gt;=1E6,"MB",IF(ABS(AH16)&gt;=1E3,"KB","bytes"))))))</f>
        <v>132.383 MB</v>
      </c>
      <c r="F16" s="31" t="str">
        <f>TEXT(IF(ABS(AI16)&gt;=1E15,AI16/1E15,IF(ABS(AI16)&gt;=1E12,AI16/1E12,IF(ABS(AI16)&gt;=1E9,AI16/1E9,IF(ABS(AI16)&gt;=1E6,AI16/1E6,AI16)))),"#,##0.000")&amp;IF((IF(ABS(AI16)&gt;=1E15,"PFLOPs",IF(ABS(AI16)&gt;=1E12,"TFLOPs",IF(ABS(AI16)&gt;=1E9,"GFLOPs",IF(ABS(AI16)&gt;=1E6,"MFLOPs","flops")))))="",""," "&amp;(IF(ABS(AI16)&gt;=1E15,"PFLOPs",IF(ABS(AI16)&gt;=1E12,"TFLOPs",IF(ABS(AI16)&gt;=1E9,"GFLOPs",IF(ABS(AI16)&gt;=1E6,"MFLOPs","flops"))))))</f>
        <v>0.000 FLOPs</v>
      </c>
      <c r="G16" s="31" t="str">
        <f>TEXT(IF(ABS(AJ16)&gt;=1E12,AJ16/1E12,IF(ABS(AJ16)&gt;=1E9,AJ16/1E9,IF(ABS(AJ16)&gt;=1E6,AJ16/1E6,IF(ABS(AJ16)&gt;=1E3,AJ16/1E3,AJ16)))),"#,##0.000")&amp;IF((IF(ABS(AJ16)&gt;=1E12,"TB",IF(ABS(AJ16)&gt;=1E9,"GB",IF(ABS(AJ16)&gt;=1E6,"MB",IF(ABS(AJ16)&gt;=1E3,"KB","bytes")))))="",""," "&amp;(IF(ABS(AJ16)&gt;=1E12,"TB",IF(ABS(AJ16)&gt;=1E9,"GB",IF(ABS(AJ16)&gt;=1E6,"MB",IF(ABS(AJ16)&gt;=1E3,"KB","bytes"))))))</f>
        <v>234.881 MB</v>
      </c>
      <c r="H16" s="4" t="s">
        <v>232</v>
      </c>
      <c r="I16" s="4" t="s">
        <v>233</v>
      </c>
      <c r="J16" s="4" t="s">
        <v>231</v>
      </c>
      <c r="AE16" s="30">
        <f>(TP1LocalVocab*HiddenSize*BF16Bytes)</f>
        <v>1059061760.0</v>
      </c>
      <c r="AF16" s="30">
        <f>(0)</f>
        <v>0</v>
      </c>
      <c r="AG16" s="30">
        <f>(4*(TP1Size-1)/TP1Size*PF_Rows*HiddenSize*BF16Bytes)</f>
        <v>0.0</v>
      </c>
      <c r="AH16" s="30">
        <f>(TP8LocalVocab*HiddenSize*BF16Bytes)</f>
        <v>132382720.0</v>
      </c>
      <c r="AI16" s="30">
        <f>(0)</f>
        <v>0</v>
      </c>
      <c r="AJ16" s="30">
        <f>(4*(TP8Size-1)/TP8Size*PF_Rows*HiddenSize*BF16Bytes)</f>
        <v>234881024.0</v>
      </c>
    </row>
    <row r="17" spans="1:36">
      <c r="A17" s="4" t="s">
        <v>234</v>
      </c>
      <c r="B17" s="31" t="str">
        <f>TEXT(IF(ABS(AE17)&gt;=1E12,AE17/1E12,IF(ABS(AE17)&gt;=1E9,AE17/1E9,IF(ABS(AE17)&gt;=1E6,AE17/1E6,IF(ABS(AE17)&gt;=1E3,AE17/1E3,AE17)))),"#,##0.000")&amp;IF((IF(ABS(AE17)&gt;=1E12,"TB",IF(ABS(AE17)&gt;=1E9,"GB",IF(ABS(AE17)&gt;=1E6,"MB",IF(ABS(AE17)&gt;=1E3,"KB","bytes")))))="",""," "&amp;(IF(ABS(AE17)&gt;=1E12,"TB",IF(ABS(AE17)&gt;=1E9,"GB",IF(ABS(AE17)&gt;=1E6,"MB",IF(ABS(AE17)&gt;=1E3,"KB","bytes"))))))</f>
        <v>2.118 GB</v>
      </c>
      <c r="C17" s="31" t="str">
        <f>TEXT(IF(ABS(AF17)&gt;=1E15,AF17/1E15,IF(ABS(AF17)&gt;=1E12,AF17/1E12,IF(ABS(AF17)&gt;=1E9,AF17/1E9,IF(ABS(AF17)&gt;=1E6,AF17/1E6,AF17)))),"#,##0.000")&amp;IF((IF(ABS(AF17)&gt;=1E15,"PFLOPs",IF(ABS(AF17)&gt;=1E12,"TFLOPs",IF(ABS(AF17)&gt;=1E9,"GFLOPs",IF(ABS(AF17)&gt;=1E6,"MFLOPs","flops")))))="",""," "&amp;(IF(ABS(AF17)&gt;=1E15,"PFLOPs",IF(ABS(AF17)&gt;=1E12,"TFLOPs",IF(ABS(AF17)&gt;=1E9,"GFLOPs",IF(ABS(AF17)&gt;=1E6,"MFLOPs","flops"))))))</f>
        <v>1.059 GFLOPs</v>
      </c>
      <c r="D17" s="31" t="str">
        <f>TEXT(IF(ABS(AG17)&gt;=1E12,AG17/1E12,IF(ABS(AG17)&gt;=1E9,AG17/1E9,IF(ABS(AG17)&gt;=1E6,AG17/1E6,IF(ABS(AG17)&gt;=1E3,AG17/1E3,AG17)))),"#,##0.000")&amp;IF((IF(ABS(AG17)&gt;=1E12,"TB",IF(ABS(AG17)&gt;=1E9,"GB",IF(ABS(AG17)&gt;=1E6,"MB",IF(ABS(AG17)&gt;=1E3,"KB","bytes")))))="",""," "&amp;(IF(ABS(AG17)&gt;=1E12,"TB",IF(ABS(AG17)&gt;=1E9,"GB",IF(ABS(AG17)&gt;=1E6,"MB",IF(ABS(AG17)&gt;=1E3,"KB","bytes"))))))</f>
        <v>0.000 B</v>
      </c>
      <c r="E17" s="31" t="str">
        <f>TEXT(IF(ABS(AH17)&gt;=1E12,AH17/1E12,IF(ABS(AH17)&gt;=1E9,AH17/1E9,IF(ABS(AH17)&gt;=1E6,AH17/1E6,IF(ABS(AH17)&gt;=1E3,AH17/1E3,AH17)))),"#,##0.000")&amp;IF((IF(ABS(AH17)&gt;=1E12,"TB",IF(ABS(AH17)&gt;=1E9,"GB",IF(ABS(AH17)&gt;=1E6,"MB",IF(ABS(AH17)&gt;=1E3,"KB","bytes")))))="",""," "&amp;(IF(ABS(AH17)&gt;=1E12,"TB",IF(ABS(AH17)&gt;=1E9,"GB",IF(ABS(AH17)&gt;=1E6,"MB",IF(ABS(AH17)&gt;=1E3,"KB","bytes"))))))</f>
        <v>264.765 MB</v>
      </c>
      <c r="F17" s="31" t="str">
        <f>TEXT(IF(ABS(AI17)&gt;=1E15,AI17/1E15,IF(ABS(AI17)&gt;=1E12,AI17/1E12,IF(ABS(AI17)&gt;=1E9,AI17/1E9,IF(ABS(AI17)&gt;=1E6,AI17/1E6,AI17)))),"#,##0.000")&amp;IF((IF(ABS(AI17)&gt;=1E15,"PFLOPs",IF(ABS(AI17)&gt;=1E12,"TFLOPs",IF(ABS(AI17)&gt;=1E9,"GFLOPs",IF(ABS(AI17)&gt;=1E6,"MFLOPs","flops")))))="",""," "&amp;(IF(ABS(AI17)&gt;=1E15,"PFLOPs",IF(ABS(AI17)&gt;=1E12,"TFLOPs",IF(ABS(AI17)&gt;=1E9,"GFLOPs",IF(ABS(AI17)&gt;=1E6,"MFLOPs","flops"))))))</f>
        <v>132.383 MFLOPs</v>
      </c>
      <c r="G17" s="31" t="str">
        <f>TEXT(IF(ABS(AJ17)&gt;=1E12,AJ17/1E12,IF(ABS(AJ17)&gt;=1E9,AJ17/1E9,IF(ABS(AJ17)&gt;=1E6,AJ17/1E6,IF(ABS(AJ17)&gt;=1E3,AJ17/1E3,AJ17)))),"#,##0.000")&amp;IF((IF(ABS(AJ17)&gt;=1E12,"TB",IF(ABS(AJ17)&gt;=1E9,"GB",IF(ABS(AJ17)&gt;=1E6,"MB",IF(ABS(AJ17)&gt;=1E3,"KB","bytes")))))="",""," "&amp;(IF(ABS(AJ17)&gt;=1E12,"TB",IF(ABS(AJ17)&gt;=1E9,"GB",IF(ABS(AJ17)&gt;=1E6,"MB",IF(ABS(AJ17)&gt;=1E3,"KB","bytes"))))))</f>
        <v>904.960 KB</v>
      </c>
      <c r="H17" s="4" t="s">
        <v>236</v>
      </c>
      <c r="I17" s="4" t="s">
        <v>237</v>
      </c>
      <c r="J17" s="4" t="s">
        <v>235</v>
      </c>
      <c r="AE17" s="30">
        <f>(TP1LocalVocab*HiddenSize*FP32Bytes)</f>
        <v>2118123520.0</v>
      </c>
      <c r="AF17" s="30">
        <f>(2*PrefillBatch*HiddenSize*TP1LocalVocab)</f>
        <v>1059061760.0</v>
      </c>
      <c r="AG17" s="30">
        <f>(2*(TP1Size-1)*PrefillBatch*TP1LocalVocab*FP32Bytes)</f>
        <v>0.0</v>
      </c>
      <c r="AH17" s="30">
        <f>(TP8LocalVocab*HiddenSize*FP32Bytes)</f>
        <v>264765440.0</v>
      </c>
      <c r="AI17" s="30">
        <f>(2*PrefillBatch*HiddenSize*TP8LocalVocab)</f>
        <v>132382720.0</v>
      </c>
      <c r="AJ17" s="30">
        <f>(2*(TP8Size-1)*PrefillBatch*TP8LocalVocab*FP32Bytes)</f>
        <v>904960.0</v>
      </c>
    </row>
    <row r="18" spans="1:36">
      <c r="A18" s="4" t="s">
        <v>238</v>
      </c>
      <c r="B18" s="31" t="str">
        <f>TEXT(IF(ABS(AE18)&gt;=1E12,AE18/1E12,IF(ABS(AE18)&gt;=1E9,AE18/1E9,IF(ABS(AE18)&gt;=1E6,AE18/1E6,IF(ABS(AE18)&gt;=1E3,AE18/1E3,AE18)))),"#,##0.000")&amp;IF((IF(ABS(AE18)&gt;=1E12,"TB",IF(ABS(AE18)&gt;=1E9,"GB",IF(ABS(AE18)&gt;=1E6,"MB",IF(ABS(AE18)&gt;=1E3,"KB","bytes")))))="",""," "&amp;(IF(ABS(AE18)&gt;=1E12,"TB",IF(ABS(AE18)&gt;=1E9,"GB",IF(ABS(AE18)&gt;=1E6,"MB",IF(ABS(AE18)&gt;=1E3,"KB","bytes"))))))</f>
        <v>1.701 MB</v>
      </c>
      <c r="C18" s="31" t="str">
        <f>TEXT(IF(ABS(AF18)&gt;=1E15,AF18/1E15,IF(ABS(AF18)&gt;=1E12,AF18/1E12,IF(ABS(AF18)&gt;=1E9,AF18/1E9,IF(ABS(AF18)&gt;=1E6,AF18/1E6,AF18)))),"#,##0.000")&amp;IF((IF(ABS(AF18)&gt;=1E15,"PFLOPs",IF(ABS(AF18)&gt;=1E12,"TFLOPs",IF(ABS(AF18)&gt;=1E9,"GFLOPs",IF(ABS(AF18)&gt;=1E6,"MFLOPs","flops")))))="",""," "&amp;(IF(ABS(AF18)&gt;=1E15,"PFLOPs",IF(ABS(AF18)&gt;=1E12,"TFLOPs",IF(ABS(AF18)&gt;=1E9,"GFLOPs",IF(ABS(AF18)&gt;=1E6,"MFLOPs","flops"))))))</f>
        <v>11.678 GFLOPs</v>
      </c>
      <c r="D18" s="31" t="str">
        <f>TEXT(IF(ABS(AG18)&gt;=1E12,AG18/1E12,IF(ABS(AG18)&gt;=1E9,AG18/1E9,IF(ABS(AG18)&gt;=1E6,AG18/1E6,IF(ABS(AG18)&gt;=1E3,AG18/1E3,AG18)))),"#,##0.000")&amp;IF((IF(ABS(AG18)&gt;=1E12,"TB",IF(ABS(AG18)&gt;=1E9,"GB",IF(ABS(AG18)&gt;=1E6,"MB",IF(ABS(AG18)&gt;=1E3,"KB","bytes")))))="",""," "&amp;(IF(ABS(AG18)&gt;=1E12,"TB",IF(ABS(AG18)&gt;=1E9,"GB",IF(ABS(AG18)&gt;=1E6,"MB",IF(ABS(AG18)&gt;=1E3,"KB","bytes"))))))</f>
        <v>0.000 B</v>
      </c>
      <c r="E18" s="31" t="str">
        <f>TEXT(IF(ABS(AH18)&gt;=1E12,AH18/1E12,IF(ABS(AH18)&gt;=1E9,AH18/1E9,IF(ABS(AH18)&gt;=1E6,AH18/1E6,IF(ABS(AH18)&gt;=1E3,AH18/1E3,AH18)))),"#,##0.000")&amp;IF((IF(ABS(AH18)&gt;=1E12,"TB",IF(ABS(AH18)&gt;=1E9,"GB",IF(ABS(AH18)&gt;=1E6,"MB",IF(ABS(AH18)&gt;=1E3,"KB","bytes")))))="",""," "&amp;(IF(ABS(AH18)&gt;=1E12,"TB",IF(ABS(AH18)&gt;=1E9,"GB",IF(ABS(AH18)&gt;=1E6,"MB",IF(ABS(AH18)&gt;=1E3,"KB","bytes"))))))</f>
        <v>1.691 MB</v>
      </c>
      <c r="F18" s="31" t="str">
        <f>TEXT(IF(ABS(AI18)&gt;=1E15,AI18/1E15,IF(ABS(AI18)&gt;=1E12,AI18/1E12,IF(ABS(AI18)&gt;=1E9,AI18/1E9,IF(ABS(AI18)&gt;=1E6,AI18/1E6,AI18)))),"#,##0.000")&amp;IF((IF(ABS(AI18)&gt;=1E15,"PFLOPs",IF(ABS(AI18)&gt;=1E12,"TFLOPs",IF(ABS(AI18)&gt;=1E9,"GFLOPs",IF(ABS(AI18)&gt;=1E6,"MFLOPs","flops")))))="",""," "&amp;(IF(ABS(AI18)&gt;=1E15,"PFLOPs",IF(ABS(AI18)&gt;=1E12,"TFLOPs",IF(ABS(AI18)&gt;=1E9,"GFLOPs",IF(ABS(AI18)&gt;=1E6,"MFLOPs","flops"))))))</f>
        <v>11.678 GFLOPs</v>
      </c>
      <c r="G18" s="31" t="str">
        <f>TEXT(IF(ABS(AJ18)&gt;=1E12,AJ18/1E12,IF(ABS(AJ18)&gt;=1E9,AJ18/1E9,IF(ABS(AJ18)&gt;=1E6,AJ18/1E6,IF(ABS(AJ18)&gt;=1E3,AJ18/1E3,AJ18)))),"#,##0.000")&amp;IF((IF(ABS(AJ18)&gt;=1E12,"TB",IF(ABS(AJ18)&gt;=1E9,"GB",IF(ABS(AJ18)&gt;=1E6,"MB",IF(ABS(AJ18)&gt;=1E3,"KB","bytes")))))="",""," "&amp;(IF(ABS(AJ18)&gt;=1E12,"TB",IF(ABS(AJ18)&gt;=1E9,"GB",IF(ABS(AJ18)&gt;=1E6,"MB",IF(ABS(AJ18)&gt;=1E3,"KB","bytes"))))))</f>
        <v>0.000 B</v>
      </c>
      <c r="H18" s="4" t="s">
        <v>236</v>
      </c>
      <c r="I18" s="4" t="s">
        <v>240</v>
      </c>
      <c r="J18" s="4" t="s">
        <v>239</v>
      </c>
      <c r="AE18" s="30">
        <f>((TotalLayers*(2*HiddenSize+QLoraRank+HeadDim+TP1LocalHeads))*FP32Bytes+(HiddenSize)*FP32Bytes)</f>
        <v>1700608</v>
      </c>
      <c r="AF18" s="30">
        <f>(PF_Rows*TotalLayers*2*(4*HiddenSize+1)+PF_Rows*(4*HiddenSize+1))</f>
        <v>11677655040</v>
      </c>
      <c r="AG18" s="30">
        <f>(0)</f>
        <v>0</v>
      </c>
      <c r="AH18" s="30">
        <f>((TotalLayers*(2*HiddenSize+QLoraRank+HeadDim+TP8LocalHeads))*FP32Bytes+(HiddenSize)*FP32Bytes)</f>
        <v>1690976</v>
      </c>
      <c r="AI18" s="30">
        <f>(PF_Rows*TotalLayers*2*(4*HiddenSize+1)+PF_Rows*(4*HiddenSize+1))</f>
        <v>11677655040</v>
      </c>
      <c r="AJ18" s="30">
        <f>(0)</f>
        <v>0</v>
      </c>
    </row>
    <row r="19" spans="1:36">
      <c r="A19" s="4" t="s">
        <v>92</v>
      </c>
      <c r="B19" s="31" t="str">
        <f>TEXT(IF(ABS(AE19)&gt;=1E12,AE19/1E12,IF(ABS(AE19)&gt;=1E9,AE19/1E9,IF(ABS(AE19)&gt;=1E6,AE19/1E6,IF(ABS(AE19)&gt;=1E3,AE19/1E3,AE19)))),"#,##0.000")&amp;IF((IF(ABS(AE19)&gt;=1E12,"TB",IF(ABS(AE19)&gt;=1E9,"GB",IF(ABS(AE19)&gt;=1E6,"MB",IF(ABS(AE19)&gt;=1E3,"KB","bytes")))))="",""," "&amp;(IF(ABS(AE19)&gt;=1E12,"TB",IF(ABS(AE19)&gt;=1E9,"GB",IF(ABS(AE19)&gt;=1E6,"MB",IF(ABS(AE19)&gt;=1E3,"KB","bytes"))))))</f>
        <v>135.538 MB</v>
      </c>
      <c r="C19" s="31" t="str">
        <f>TEXT(IF(ABS(AF19)&gt;=1E15,AF19/1E15,IF(ABS(AF19)&gt;=1E12,AF19/1E12,IF(ABS(AF19)&gt;=1E9,AF19/1E9,IF(ABS(AF19)&gt;=1E6,AF19/1E6,AF19)))),"#,##0.000")&amp;IF((IF(ABS(AF19)&gt;=1E15,"PFLOPs",IF(ABS(AF19)&gt;=1E12,"TFLOPs",IF(ABS(AF19)&gt;=1E9,"GFLOPs",IF(ABS(AF19)&gt;=1E6,"MFLOPs","flops")))))="",""," "&amp;(IF(ABS(AF19)&gt;=1E15,"PFLOPs",IF(ABS(AF19)&gt;=1E12,"TFLOPs",IF(ABS(AF19)&gt;=1E9,"GFLOPs",IF(ABS(AF19)&gt;=1E6,"MFLOPs","flops"))))))</f>
        <v>702.798 GFLOPs</v>
      </c>
      <c r="D19" s="31" t="str">
        <f>TEXT(IF(ABS(AG19)&gt;=1E12,AG19/1E12,IF(ABS(AG19)&gt;=1E9,AG19/1E9,IF(ABS(AG19)&gt;=1E6,AG19/1E6,IF(ABS(AG19)&gt;=1E3,AG19/1E3,AG19)))),"#,##0.000")&amp;IF((IF(ABS(AG19)&gt;=1E12,"TB",IF(ABS(AG19)&gt;=1E9,"GB",IF(ABS(AG19)&gt;=1E6,"MB",IF(ABS(AG19)&gt;=1E3,"KB","bytes")))))="",""," "&amp;(IF(ABS(AG19)&gt;=1E12,"TB",IF(ABS(AG19)&gt;=1E9,"GB",IF(ABS(AG19)&gt;=1E6,"MB",IF(ABS(AG19)&gt;=1E3,"KB","bytes"))))))</f>
        <v>0.000 B</v>
      </c>
      <c r="E19" s="31" t="str">
        <f>TEXT(IF(ABS(AH19)&gt;=1E12,AH19/1E12,IF(ABS(AH19)&gt;=1E9,AH19/1E9,IF(ABS(AH19)&gt;=1E6,AH19/1E6,IF(ABS(AH19)&gt;=1E3,AH19/1E3,AH19)))),"#,##0.000")&amp;IF((IF(ABS(AH19)&gt;=1E12,"TB",IF(ABS(AH19)&gt;=1E9,"GB",IF(ABS(AH19)&gt;=1E6,"MB",IF(ABS(AH19)&gt;=1E3,"KB","bytes")))))="",""," "&amp;(IF(ABS(AH19)&gt;=1E12,"TB",IF(ABS(AH19)&gt;=1E9,"GB",IF(ABS(AH19)&gt;=1E6,"MB",IF(ABS(AH19)&gt;=1E3,"KB","bytes"))))))</f>
        <v>135.538 MB</v>
      </c>
      <c r="F19" s="31" t="str">
        <f>TEXT(IF(ABS(AI19)&gt;=1E15,AI19/1E15,IF(ABS(AI19)&gt;=1E12,AI19/1E12,IF(ABS(AI19)&gt;=1E9,AI19/1E9,IF(ABS(AI19)&gt;=1E6,AI19/1E6,AI19)))),"#,##0.000")&amp;IF((IF(ABS(AI19)&gt;=1E15,"PFLOPs",IF(ABS(AI19)&gt;=1E12,"TFLOPs",IF(ABS(AI19)&gt;=1E9,"GFLOPs",IF(ABS(AI19)&gt;=1E6,"MFLOPs","flops")))))="",""," "&amp;(IF(ABS(AI19)&gt;=1E15,"PFLOPs",IF(ABS(AI19)&gt;=1E12,"TFLOPs",IF(ABS(AI19)&gt;=1E9,"GFLOPs",IF(ABS(AI19)&gt;=1E6,"MFLOPs","flops"))))))</f>
        <v>702.798 GFLOPs</v>
      </c>
      <c r="G19" s="31" t="str">
        <f>TEXT(IF(ABS(AJ19)&gt;=1E12,AJ19/1E12,IF(ABS(AJ19)&gt;=1E9,AJ19/1E9,IF(ABS(AJ19)&gt;=1E6,AJ19/1E6,IF(ABS(AJ19)&gt;=1E3,AJ19/1E3,AJ19)))),"#,##0.000")&amp;IF((IF(ABS(AJ19)&gt;=1E12,"TB",IF(ABS(AJ19)&gt;=1E9,"GB",IF(ABS(AJ19)&gt;=1E6,"MB",IF(ABS(AJ19)&gt;=1E3,"KB","bytes")))))="",""," "&amp;(IF(ABS(AJ19)&gt;=1E12,"TB",IF(ABS(AJ19)&gt;=1E9,"GB",IF(ABS(AJ19)&gt;=1E6,"MB",IF(ABS(AJ19)&gt;=1E3,"KB","bytes"))))))</f>
        <v>0.000 B</v>
      </c>
      <c r="H19" s="4" t="s">
        <v>236</v>
      </c>
      <c r="I19" s="4" t="s">
        <v>242</v>
      </c>
      <c r="J19" s="4" t="s">
        <v>241</v>
      </c>
      <c r="AE19" s="30">
        <f>((TotalLayers*2*(((2+HCSlots)*HCSlots)*HCSlots*HiddenSize+((2+HCSlots)*HCSlots)+3))*FP32Bytes+(HCSlots*HCSlots*HiddenSize+HCSlots+1)*FP32Bytes)</f>
        <v>135537756</v>
      </c>
      <c r="AF19" s="30">
        <f>(TotalLayers*2*(2*PF_Rows*HCSlots*HiddenSize*((2+HCSlots)*HCSlots)+PF_Rows*(2*HCSlots*HiddenSize+1)+PF_Rows*HiddenSize*(2*HCSlots-1)+PF_Rows*HCSlots*HiddenSize*(2*HCSlots+1))+2*PF_Rows*HCSlots*HiddenSize*HCSlots+PF_Rows*(2*HCSlots*HiddenSize+1)+PF_Rows*HiddenSize*(2*HCSlots-1))</f>
        <v>702798290944</v>
      </c>
      <c r="AG19" s="30">
        <f>(0)</f>
        <v>0</v>
      </c>
      <c r="AH19" s="30">
        <f>((TotalLayers*2*(((2+HCSlots)*HCSlots)*HCSlots*HiddenSize+((2+HCSlots)*HCSlots)+3))*FP32Bytes+(HCSlots*HCSlots*HiddenSize+HCSlots+1)*FP32Bytes)</f>
        <v>135537756</v>
      </c>
      <c r="AI19" s="30">
        <f>(TotalLayers*2*(2*PF_Rows*HCSlots*HiddenSize*((2+HCSlots)*HCSlots)+PF_Rows*(2*HCSlots*HiddenSize+1)+PF_Rows*HiddenSize*(2*HCSlots-1)+PF_Rows*HCSlots*HiddenSize*(2*HCSlots+1))+2*PF_Rows*HCSlots*HiddenSize*HCSlots+PF_Rows*(2*HCSlots*HiddenSize+1)+PF_Rows*HiddenSize*(2*HCSlots-1))</f>
        <v>702798290944</v>
      </c>
      <c r="AJ19" s="30">
        <f>(0)</f>
        <v>0</v>
      </c>
    </row>
    <row r="20" spans="1:36">
      <c r="A20" s="4" t="s">
        <v>243</v>
      </c>
      <c r="B20" s="31" t="str">
        <f>TEXT(IF(ABS(AE20)&gt;=1E12,AE20/1E12,IF(ABS(AE20)&gt;=1E9,AE20/1E9,IF(ABS(AE20)&gt;=1E6,AE20/1E6,IF(ABS(AE20)&gt;=1E3,AE20/1E3,AE20)))),"#,##0.000")&amp;IF((IF(ABS(AE20)&gt;=1E12,"TB",IF(ABS(AE20)&gt;=1E9,"GB",IF(ABS(AE20)&gt;=1E6,"MB",IF(ABS(AE20)&gt;=1E3,"KB","bytes")))))="",""," "&amp;(IF(ABS(AE20)&gt;=1E12,"TB",IF(ABS(AE20)&gt;=1E9,"GB",IF(ABS(AE20)&gt;=1E6,"MB",IF(ABS(AE20)&gt;=1E3,"KB","bytes"))))))</f>
        <v>0.000 B</v>
      </c>
      <c r="C20" s="31" t="str">
        <f>TEXT(IF(ABS(AF20)&gt;=1E15,AF20/1E15,IF(ABS(AF20)&gt;=1E12,AF20/1E12,IF(ABS(AF20)&gt;=1E9,AF20/1E9,IF(ABS(AF20)&gt;=1E6,AF20/1E6,AF20)))),"#,##0.000")&amp;IF((IF(ABS(AF20)&gt;=1E15,"PFLOPs",IF(ABS(AF20)&gt;=1E12,"TFLOPs",IF(ABS(AF20)&gt;=1E9,"GFLOPs",IF(ABS(AF20)&gt;=1E6,"MFLOPs","flops")))))="",""," "&amp;(IF(ABS(AF20)&gt;=1E15,"PFLOPs",IF(ABS(AF20)&gt;=1E12,"TFLOPs",IF(ABS(AF20)&gt;=1E9,"GFLOPs",IF(ABS(AF20)&gt;=1E6,"MFLOPs","flops"))))))</f>
        <v>0.000 FLOPs</v>
      </c>
      <c r="D20" s="31" t="str">
        <f>TEXT(IF(ABS(AG20)&gt;=1E12,AG20/1E12,IF(ABS(AG20)&gt;=1E9,AG20/1E9,IF(ABS(AG20)&gt;=1E6,AG20/1E6,IF(ABS(AG20)&gt;=1E3,AG20/1E3,AG20)))),"#,##0.000")&amp;IF((IF(ABS(AG20)&gt;=1E12,"TB",IF(ABS(AG20)&gt;=1E9,"GB",IF(ABS(AG20)&gt;=1E6,"MB",IF(ABS(AG20)&gt;=1E3,"KB","bytes")))))="",""," "&amp;(IF(ABS(AG20)&gt;=1E12,"TB",IF(ABS(AG20)&gt;=1E9,"GB",IF(ABS(AG20)&gt;=1E6,"MB",IF(ABS(AG20)&gt;=1E3,"KB","bytes"))))))</f>
        <v>0.000 B</v>
      </c>
      <c r="E20" s="31" t="str">
        <f>TEXT(IF(ABS(AH20)&gt;=1E12,AH20/1E12,IF(ABS(AH20)&gt;=1E9,AH20/1E9,IF(ABS(AH20)&gt;=1E6,AH20/1E6,IF(ABS(AH20)&gt;=1E3,AH20/1E3,AH20)))),"#,##0.000")&amp;IF((IF(ABS(AH20)&gt;=1E12,"TB",IF(ABS(AH20)&gt;=1E9,"GB",IF(ABS(AH20)&gt;=1E6,"MB",IF(ABS(AH20)&gt;=1E3,"KB","bytes")))))="",""," "&amp;(IF(ABS(AH20)&gt;=1E12,"TB",IF(ABS(AH20)&gt;=1E9,"GB",IF(ABS(AH20)&gt;=1E6,"MB",IF(ABS(AH20)&gt;=1E3,"KB","bytes"))))))</f>
        <v>0.000 B</v>
      </c>
      <c r="F20" s="31" t="str">
        <f>TEXT(IF(ABS(AI20)&gt;=1E15,AI20/1E15,IF(ABS(AI20)&gt;=1E12,AI20/1E12,IF(ABS(AI20)&gt;=1E9,AI20/1E9,IF(ABS(AI20)&gt;=1E6,AI20/1E6,AI20)))),"#,##0.000")&amp;IF((IF(ABS(AI20)&gt;=1E15,"PFLOPs",IF(ABS(AI20)&gt;=1E12,"TFLOPs",IF(ABS(AI20)&gt;=1E9,"GFLOPs",IF(ABS(AI20)&gt;=1E6,"MFLOPs","flops")))))="",""," "&amp;(IF(ABS(AI20)&gt;=1E15,"PFLOPs",IF(ABS(AI20)&gt;=1E12,"TFLOPs",IF(ABS(AI20)&gt;=1E9,"GFLOPs",IF(ABS(AI20)&gt;=1E6,"MFLOPs","flops"))))))</f>
        <v>0.000 FLOPs</v>
      </c>
      <c r="G20" s="31" t="str">
        <f>TEXT(IF(ABS(AJ20)&gt;=1E12,AJ20/1E12,IF(ABS(AJ20)&gt;=1E9,AJ20/1E9,IF(ABS(AJ20)&gt;=1E6,AJ20/1E6,IF(ABS(AJ20)&gt;=1E3,AJ20/1E3,AJ20)))),"#,##0.000")&amp;IF((IF(ABS(AJ20)&gt;=1E12,"TB",IF(ABS(AJ20)&gt;=1E9,"GB",IF(ABS(AJ20)&gt;=1E6,"MB",IF(ABS(AJ20)&gt;=1E3,"KB","bytes")))))="",""," "&amp;(IF(ABS(AJ20)&gt;=1E12,"TB",IF(ABS(AJ20)&gt;=1E9,"GB",IF(ABS(AJ20)&gt;=1E6,"MB",IF(ABS(AJ20)&gt;=1E3,"KB","bytes"))))))</f>
        <v>0.000 B</v>
      </c>
      <c r="H20" s="4" t="s">
        <v>245</v>
      </c>
      <c r="I20" s="4" t="s">
        <v>246</v>
      </c>
      <c r="J20" s="4" t="s">
        <v>244</v>
      </c>
      <c r="AE20" s="30">
        <f>(0)</f>
        <v>0</v>
      </c>
      <c r="AF20" s="30">
        <f>(0)</f>
        <v>0</v>
      </c>
      <c r="AG20" s="30">
        <f>(0)</f>
        <v>0</v>
      </c>
      <c r="AH20" s="30">
        <f>(0)</f>
        <v>0</v>
      </c>
      <c r="AI20" s="30">
        <f>(0)</f>
        <v>0</v>
      </c>
      <c r="AJ20" s="30">
        <f>(0)</f>
        <v>0</v>
      </c>
    </row>
    <row r="22" spans="1:36">
      <c r="A22" s="28" t="s">
        <v>247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</row>
    <row r="23" spans="1:36">
      <c r="A23" t="s">
        <v>211</v>
      </c>
      <c r="B23" t="s">
        <v>248</v>
      </c>
      <c r="C23" t="s">
        <v>249</v>
      </c>
      <c r="D23" t="s">
        <v>212</v>
      </c>
      <c r="E23" t="s">
        <v>213</v>
      </c>
      <c r="F23" t="s">
        <v>214</v>
      </c>
      <c r="G23" t="s">
        <v>215</v>
      </c>
      <c r="H23" t="s">
        <v>216</v>
      </c>
      <c r="I23" t="s">
        <v>217</v>
      </c>
      <c r="J23" t="s">
        <v>218</v>
      </c>
      <c r="K23" t="s">
        <v>219</v>
      </c>
      <c r="L23" t="s">
        <v>220</v>
      </c>
    </row>
    <row r="24" spans="1:36">
      <c r="A24" s="4" t="s">
        <v>230</v>
      </c>
      <c r="B24" s="4" t="s">
        <v>230</v>
      </c>
      <c r="C24" s="4" t="s">
        <v>250</v>
      </c>
      <c r="D24" s="31" t="str">
        <f>TEXT(IF(ABS(U24)&gt;=1E12,U24/1E12,IF(ABS(U24)&gt;=1E9,U24/1E9,IF(ABS(U24)&gt;=1E6,U24/1E6,IF(ABS(U24)&gt;=1E3,U24/1E3,U24)))),"#,##0.000")&amp;IF((IF(ABS(U24)&gt;=1E12,"TB",IF(ABS(U24)&gt;=1E9,"GB",IF(ABS(U24)&gt;=1E6,"MB",IF(ABS(U24)&gt;=1E3,"KB","bytes")))))="",""," "&amp;(IF(ABS(U24)&gt;=1E12,"TB",IF(ABS(U24)&gt;=1E9,"GB",IF(ABS(U24)&gt;=1E6,"MB",IF(ABS(U24)&gt;=1E3,"KB","bytes"))))))</f>
        <v>1.059 GB</v>
      </c>
      <c r="E24" s="31" t="str">
        <f>TEXT(IF(ABS(V24)&gt;=1E15,V24/1E15,IF(ABS(V24)&gt;=1E12,V24/1E12,IF(ABS(V24)&gt;=1E9,V24/1E9,IF(ABS(V24)&gt;=1E6,V24/1E6,V24)))),"#,##0.000")&amp;IF((IF(ABS(V24)&gt;=1E15,"PFLOPs",IF(ABS(V24)&gt;=1E12,"TFLOPs",IF(ABS(V24)&gt;=1E9,"GFLOPs",IF(ABS(V24)&gt;=1E6,"MFLOPs","flops")))))="",""," "&amp;(IF(ABS(V24)&gt;=1E15,"PFLOPs",IF(ABS(V24)&gt;=1E12,"TFLOPs",IF(ABS(V24)&gt;=1E9,"GFLOPs",IF(ABS(V24)&gt;=1E6,"MFLOPs","flops"))))))</f>
        <v>0.000 FLOPs</v>
      </c>
      <c r="F24" s="31" t="str">
        <f>TEXT(IF(ABS(W24)&gt;=1E12,W24/1E12,IF(ABS(W24)&gt;=1E9,W24/1E9,IF(ABS(W24)&gt;=1E6,W24/1E6,IF(ABS(W24)&gt;=1E3,W24/1E3,W24)))),"#,##0.000")&amp;IF((IF(ABS(W24)&gt;=1E12,"TB",IF(ABS(W24)&gt;=1E9,"GB",IF(ABS(W24)&gt;=1E6,"MB",IF(ABS(W24)&gt;=1E3,"KB","bytes")))))="",""," "&amp;(IF(ABS(W24)&gt;=1E12,"TB",IF(ABS(W24)&gt;=1E9,"GB",IF(ABS(W24)&gt;=1E6,"MB",IF(ABS(W24)&gt;=1E3,"KB","bytes"))))))</f>
        <v>0.000 B</v>
      </c>
      <c r="G24" s="31" t="str">
        <f>TEXT(IF(ABS(X24)&gt;=1E12,X24/1E12,IF(ABS(X24)&gt;=1E9,X24/1E9,IF(ABS(X24)&gt;=1E6,X24/1E6,IF(ABS(X24)&gt;=1E3,X24/1E3,X24)))),"#,##0.000")&amp;IF((IF(ABS(X24)&gt;=1E12,"TB",IF(ABS(X24)&gt;=1E9,"GB",IF(ABS(X24)&gt;=1E6,"MB",IF(ABS(X24)&gt;=1E3,"KB","bytes")))))="",""," "&amp;(IF(ABS(X24)&gt;=1E12,"TB",IF(ABS(X24)&gt;=1E9,"GB",IF(ABS(X24)&gt;=1E6,"MB",IF(ABS(X24)&gt;=1E3,"KB","bytes"))))))</f>
        <v>132.383 MB</v>
      </c>
      <c r="H24" s="31" t="str">
        <f>TEXT(IF(ABS(Y24)&gt;=1E15,Y24/1E15,IF(ABS(Y24)&gt;=1E12,Y24/1E12,IF(ABS(Y24)&gt;=1E9,Y24/1E9,IF(ABS(Y24)&gt;=1E6,Y24/1E6,Y24)))),"#,##0.000")&amp;IF((IF(ABS(Y24)&gt;=1E15,"PFLOPs",IF(ABS(Y24)&gt;=1E12,"TFLOPs",IF(ABS(Y24)&gt;=1E9,"GFLOPs",IF(ABS(Y24)&gt;=1E6,"MFLOPs","flops")))))="",""," "&amp;(IF(ABS(Y24)&gt;=1E15,"PFLOPs",IF(ABS(Y24)&gt;=1E12,"TFLOPs",IF(ABS(Y24)&gt;=1E9,"GFLOPs",IF(ABS(Y24)&gt;=1E6,"MFLOPs","flops"))))))</f>
        <v>0.000 FLOPs</v>
      </c>
      <c r="I24" s="31" t="str">
        <f>TEXT(IF(ABS(Z24)&gt;=1E12,Z24/1E12,IF(ABS(Z24)&gt;=1E9,Z24/1E9,IF(ABS(Z24)&gt;=1E6,Z24/1E6,IF(ABS(Z24)&gt;=1E3,Z24/1E3,Z24)))),"#,##0.000")&amp;IF((IF(ABS(Z24)&gt;=1E12,"TB",IF(ABS(Z24)&gt;=1E9,"GB",IF(ABS(Z24)&gt;=1E6,"MB",IF(ABS(Z24)&gt;=1E3,"KB","bytes")))))="",""," "&amp;(IF(ABS(Z24)&gt;=1E12,"TB",IF(ABS(Z24)&gt;=1E9,"GB",IF(ABS(Z24)&gt;=1E6,"MB",IF(ABS(Z24)&gt;=1E3,"KB","bytes"))))))</f>
        <v>234.881 MB</v>
      </c>
      <c r="J24" s="4" t="s">
        <v>251</v>
      </c>
      <c r="K24" s="4" t="s">
        <v>233</v>
      </c>
      <c r="L24" s="4" t="s">
        <v>252</v>
      </c>
      <c r="U24" s="30">
        <f>TP1LocalVocab*HiddenSize*BF16Bytes</f>
        <v>1059061760.0</v>
      </c>
      <c r="V24" s="30">
        <f>0</f>
        <v>0</v>
      </c>
      <c r="W24" s="30">
        <f>4*(TP1Size-1)/TP1Size*PF_Rows*HiddenSize*BF16Bytes</f>
        <v>0.0</v>
      </c>
      <c r="X24" s="30">
        <f>TP8LocalVocab*HiddenSize*BF16Bytes</f>
        <v>132382720.0</v>
      </c>
      <c r="Y24" s="30">
        <f>0</f>
        <v>0</v>
      </c>
      <c r="Z24" s="30">
        <f>4*(TP8Size-1)/TP8Size*PF_Rows*HiddenSize*BF16Bytes</f>
        <v>234881024.0</v>
      </c>
    </row>
    <row r="25" spans="1:36">
      <c r="A25" s="4" t="s">
        <v>40</v>
      </c>
      <c r="B25" s="4" t="s">
        <v>253</v>
      </c>
      <c r="C25" s="4" t="s">
        <v>254</v>
      </c>
      <c r="D25" s="31" t="str">
        <f>TEXT(IF(ABS(U25)&gt;=1E12,U25/1E12,IF(ABS(U25)&gt;=1E9,U25/1E9,IF(ABS(U25)&gt;=1E6,U25/1E6,IF(ABS(U25)&gt;=1E3,U25/1E3,U25)))),"#,##0.000")&amp;IF((IF(ABS(U25)&gt;=1E12,"TB",IF(ABS(U25)&gt;=1E9,"GB",IF(ABS(U25)&gt;=1E6,"MB",IF(ABS(U25)&gt;=1E3,"KB","bytes")))))="",""," "&amp;(IF(ABS(U25)&gt;=1E12,"TB",IF(ABS(U25)&gt;=1E9,"GB",IF(ABS(U25)&gt;=1E6,"MB",IF(ABS(U25)&gt;=1E3,"KB","bytes"))))))</f>
        <v>6.042 GB</v>
      </c>
      <c r="E25" s="31" t="str">
        <f>TEXT(IF(ABS(V25)&gt;=1E15,V25/1E15,IF(ABS(V25)&gt;=1E12,V25/1E12,IF(ABS(V25)&gt;=1E9,V25/1E9,IF(ABS(V25)&gt;=1E6,V25/1E6,V25)))),"#,##0.000")&amp;IF((IF(ABS(V25)&gt;=1E15,"PFLOPs",IF(ABS(V25)&gt;=1E12,"TFLOPs",IF(ABS(V25)&gt;=1E9,"GFLOPs",IF(ABS(V25)&gt;=1E6,"MFLOPs","flops")))))="",""," "&amp;(IF(ABS(V25)&gt;=1E15,"PFLOPs",IF(ABS(V25)&gt;=1E12,"TFLOPs",IF(ABS(V25)&gt;=1E9,"GFLOPs",IF(ABS(V25)&gt;=1E6,"MFLOPs","flops"))))))</f>
        <v>75.351 TFLOPs</v>
      </c>
      <c r="F25" s="31" t="str">
        <f>TEXT(IF(ABS(W25)&gt;=1E12,W25/1E12,IF(ABS(W25)&gt;=1E9,W25/1E9,IF(ABS(W25)&gt;=1E6,W25/1E6,IF(ABS(W25)&gt;=1E3,W25/1E3,W25)))),"#,##0.000")&amp;IF((IF(ABS(W25)&gt;=1E12,"TB",IF(ABS(W25)&gt;=1E9,"GB",IF(ABS(W25)&gt;=1E6,"MB",IF(ABS(W25)&gt;=1E3,"KB","bytes")))))="",""," "&amp;(IF(ABS(W25)&gt;=1E12,"TB",IF(ABS(W25)&gt;=1E9,"GB",IF(ABS(W25)&gt;=1E6,"MB",IF(ABS(W25)&gt;=1E3,"KB","bytes"))))))</f>
        <v>0.000 B</v>
      </c>
      <c r="G25" s="31" t="str">
        <f>TEXT(IF(ABS(X25)&gt;=1E12,X25/1E12,IF(ABS(X25)&gt;=1E9,X25/1E9,IF(ABS(X25)&gt;=1E6,X25/1E6,IF(ABS(X25)&gt;=1E3,X25/1E3,X25)))),"#,##0.000")&amp;IF((IF(ABS(X25)&gt;=1E12,"TB",IF(ABS(X25)&gt;=1E9,"GB",IF(ABS(X25)&gt;=1E6,"MB",IF(ABS(X25)&gt;=1E3,"KB","bytes")))))="",""," "&amp;(IF(ABS(X25)&gt;=1E12,"TB",IF(ABS(X25)&gt;=1E9,"GB",IF(ABS(X25)&gt;=1E6,"MB",IF(ABS(X25)&gt;=1E3,"KB","bytes"))))))</f>
        <v>991.991 MB</v>
      </c>
      <c r="H25" s="31" t="str">
        <f>TEXT(IF(ABS(Y25)&gt;=1E15,Y25/1E15,IF(ABS(Y25)&gt;=1E12,Y25/1E12,IF(ABS(Y25)&gt;=1E9,Y25/1E9,IF(ABS(Y25)&gt;=1E6,Y25/1E6,Y25)))),"#,##0.000")&amp;IF((IF(ABS(Y25)&gt;=1E15,"PFLOPs",IF(ABS(Y25)&gt;=1E12,"TFLOPs",IF(ABS(Y25)&gt;=1E9,"GFLOPs",IF(ABS(Y25)&gt;=1E6,"MFLOPs","flops")))))="",""," "&amp;(IF(ABS(Y25)&gt;=1E15,"PFLOPs",IF(ABS(Y25)&gt;=1E12,"TFLOPs",IF(ABS(Y25)&gt;=1E9,"GFLOPs",IF(ABS(Y25)&gt;=1E6,"MFLOPs","flops"))))))</f>
        <v>13.297 TFLOPs</v>
      </c>
      <c r="I25" s="31" t="str">
        <f>TEXT(IF(ABS(Z25)&gt;=1E12,Z25/1E12,IF(ABS(Z25)&gt;=1E9,Z25/1E9,IF(ABS(Z25)&gt;=1E6,Z25/1E6,IF(ABS(Z25)&gt;=1E3,Z25/1E3,Z25)))),"#,##0.000")&amp;IF((IF(ABS(Z25)&gt;=1E12,"TB",IF(ABS(Z25)&gt;=1E9,"GB",IF(ABS(Z25)&gt;=1E6,"MB",IF(ABS(Z25)&gt;=1E3,"KB","bytes")))))="",""," "&amp;(IF(ABS(Z25)&gt;=1E12,"TB",IF(ABS(Z25)&gt;=1E9,"GB",IF(ABS(Z25)&gt;=1E6,"MB",IF(ABS(Z25)&gt;=1E3,"KB","bytes"))))))</f>
        <v>0.000 B</v>
      </c>
      <c r="J25" s="4" t="s">
        <v>255</v>
      </c>
      <c r="K25" s="4" t="s">
        <v>256</v>
      </c>
      <c r="L25" s="4" t="s">
        <v>257</v>
      </c>
      <c r="U25" s="30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</f>
        <v>6042087552</v>
      </c>
      <c r="V25" s="30">
        <f>PF_Rows*TotalLayers*2*(HiddenSize*QLoraRank+QLoraRank*TP1LocalHeads*HeadDim+HiddenSize*HeadDim+TP1LocalHeads*HeadDim*OLoraRank+TP1LocalOGroups*OLoraRank*HiddenSize)</f>
        <v>75350906241024.0</v>
      </c>
      <c r="W25" s="30">
        <f>0</f>
        <v>0</v>
      </c>
      <c r="X25" s="30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</f>
        <v>991991424</v>
      </c>
      <c r="Y25" s="30">
        <f>PF_Rows*TotalLayers*2*(HiddenSize*QLoraRank+QLoraRank*TP8LocalHeads*HeadDim+HiddenSize*HeadDim+TP8LocalHeads*HeadDim*OLoraRank+TP8LocalOGroups*OLoraRank*HiddenSize)</f>
        <v>13297218748416.0</v>
      </c>
      <c r="Z25" s="30">
        <f>0</f>
        <v>0</v>
      </c>
    </row>
    <row r="26" spans="1:36">
      <c r="A26" s="4" t="s">
        <v>40</v>
      </c>
      <c r="B26" s="4" t="s">
        <v>258</v>
      </c>
      <c r="C26" s="4" t="s">
        <v>259</v>
      </c>
      <c r="D26" s="31" t="str">
        <f>TEXT(IF(ABS(U26)&gt;=1E12,U26/1E12,IF(ABS(U26)&gt;=1E9,U26/1E9,IF(ABS(U26)&gt;=1E6,U26/1E6,IF(ABS(U26)&gt;=1E3,U26/1E3,U26)))),"#,##0.000")&amp;IF((IF(ABS(U26)&gt;=1E12,"TB",IF(ABS(U26)&gt;=1E9,"GB",IF(ABS(U26)&gt;=1E6,"MB",IF(ABS(U26)&gt;=1E3,"KB","bytes")))))="",""," "&amp;(IF(ABS(U26)&gt;=1E12,"TB",IF(ABS(U26)&gt;=1E9,"GB",IF(ABS(U26)&gt;=1E6,"MB",IF(ABS(U26)&gt;=1E3,"KB","bytes"))))))</f>
        <v>0.000 B</v>
      </c>
      <c r="E26" s="31" t="str">
        <f>TEXT(IF(ABS(V26)&gt;=1E15,V26/1E15,IF(ABS(V26)&gt;=1E12,V26/1E12,IF(ABS(V26)&gt;=1E9,V26/1E9,IF(ABS(V26)&gt;=1E6,V26/1E6,V26)))),"#,##0.000")&amp;IF((IF(ABS(V26)&gt;=1E15,"PFLOPs",IF(ABS(V26)&gt;=1E12,"TFLOPs",IF(ABS(V26)&gt;=1E9,"GFLOPs",IF(ABS(V26)&gt;=1E6,"MFLOPs","flops")))))="",""," "&amp;(IF(ABS(V26)&gt;=1E15,"PFLOPs",IF(ABS(V26)&gt;=1E12,"TFLOPs",IF(ABS(V26)&gt;=1E9,"GFLOPs",IF(ABS(V26)&gt;=1E6,"MFLOPs","flops"))))))</f>
        <v>272.747 GFLOPs</v>
      </c>
      <c r="F26" s="31" t="str">
        <f>TEXT(IF(ABS(W26)&gt;=1E12,W26/1E12,IF(ABS(W26)&gt;=1E9,W26/1E9,IF(ABS(W26)&gt;=1E6,W26/1E6,IF(ABS(W26)&gt;=1E3,W26/1E3,W26)))),"#,##0.000")&amp;IF((IF(ABS(W26)&gt;=1E12,"TB",IF(ABS(W26)&gt;=1E9,"GB",IF(ABS(W26)&gt;=1E6,"MB",IF(ABS(W26)&gt;=1E3,"KB","bytes")))))="",""," "&amp;(IF(ABS(W26)&gt;=1E12,"TB",IF(ABS(W26)&gt;=1E9,"GB",IF(ABS(W26)&gt;=1E6,"MB",IF(ABS(W26)&gt;=1E3,"KB","bytes"))))))</f>
        <v>0.000 B</v>
      </c>
      <c r="G26" s="31" t="str">
        <f>TEXT(IF(ABS(X26)&gt;=1E12,X26/1E12,IF(ABS(X26)&gt;=1E9,X26/1E9,IF(ABS(X26)&gt;=1E6,X26/1E6,IF(ABS(X26)&gt;=1E3,X26/1E3,X26)))),"#,##0.000")&amp;IF((IF(ABS(X26)&gt;=1E12,"TB",IF(ABS(X26)&gt;=1E9,"GB",IF(ABS(X26)&gt;=1E6,"MB",IF(ABS(X26)&gt;=1E3,"KB","bytes")))))="",""," "&amp;(IF(ABS(X26)&gt;=1E12,"TB",IF(ABS(X26)&gt;=1E9,"GB",IF(ABS(X26)&gt;=1E6,"MB",IF(ABS(X26)&gt;=1E3,"KB","bytes"))))))</f>
        <v>0.000 B</v>
      </c>
      <c r="H26" s="31" t="str">
        <f>TEXT(IF(ABS(Y26)&gt;=1E15,Y26/1E15,IF(ABS(Y26)&gt;=1E12,Y26/1E12,IF(ABS(Y26)&gt;=1E9,Y26/1E9,IF(ABS(Y26)&gt;=1E6,Y26/1E6,Y26)))),"#,##0.000")&amp;IF((IF(ABS(Y26)&gt;=1E15,"PFLOPs",IF(ABS(Y26)&gt;=1E12,"TFLOPs",IF(ABS(Y26)&gt;=1E9,"GFLOPs",IF(ABS(Y26)&gt;=1E6,"MFLOPs","flops")))))="",""," "&amp;(IF(ABS(Y26)&gt;=1E15,"PFLOPs",IF(ABS(Y26)&gt;=1E12,"TFLOPs",IF(ABS(Y26)&gt;=1E9,"GFLOPs",IF(ABS(Y26)&gt;=1E6,"MFLOPs","flops"))))))</f>
        <v>68.187 GFLOPs</v>
      </c>
      <c r="I26" s="31" t="str">
        <f>TEXT(IF(ABS(Z26)&gt;=1E12,Z26/1E12,IF(ABS(Z26)&gt;=1E9,Z26/1E9,IF(ABS(Z26)&gt;=1E6,Z26/1E6,IF(ABS(Z26)&gt;=1E3,Z26/1E3,Z26)))),"#,##0.000")&amp;IF((IF(ABS(Z26)&gt;=1E12,"TB",IF(ABS(Z26)&gt;=1E9,"GB",IF(ABS(Z26)&gt;=1E6,"MB",IF(ABS(Z26)&gt;=1E3,"KB","bytes")))))="",""," "&amp;(IF(ABS(Z26)&gt;=1E12,"TB",IF(ABS(Z26)&gt;=1E9,"GB",IF(ABS(Z26)&gt;=1E6,"MB",IF(ABS(Z26)&gt;=1E3,"KB","bytes"))))))</f>
        <v>0.000 B</v>
      </c>
      <c r="J26" s="4" t="s">
        <v>245</v>
      </c>
      <c r="K26" s="4" t="s">
        <v>260</v>
      </c>
      <c r="L26" s="4" t="s">
        <v>261</v>
      </c>
      <c r="U26" s="30">
        <f>0</f>
        <v>0</v>
      </c>
      <c r="V26" s="30">
        <f>4*PrefillBatch*TP1KernelLocalHeads*HeadDim*(WindowLayers*PF_RawPairs)</f>
        <v>272747200512.0</v>
      </c>
      <c r="W26" s="30">
        <f>0</f>
        <v>0</v>
      </c>
      <c r="X26" s="30">
        <f>0</f>
        <v>0</v>
      </c>
      <c r="Y26" s="30">
        <f>4*PrefillBatch*TP8KernelLocalHeads*HeadDim*(WindowLayers*PF_RawPairs)</f>
        <v>68186800128.0</v>
      </c>
      <c r="Z26" s="30">
        <f>0</f>
        <v>0</v>
      </c>
    </row>
    <row r="27" spans="1:36">
      <c r="A27" s="4" t="s">
        <v>40</v>
      </c>
      <c r="B27" s="4" t="s">
        <v>262</v>
      </c>
      <c r="C27" s="4" t="s">
        <v>263</v>
      </c>
      <c r="D27" s="31" t="str">
        <f>TEXT(IF(ABS(U27)&gt;=1E12,U27/1E12,IF(ABS(U27)&gt;=1E9,U27/1E9,IF(ABS(U27)&gt;=1E6,U27/1E6,IF(ABS(U27)&gt;=1E3,U27/1E3,U27)))),"#,##0.000")&amp;IF((IF(ABS(U27)&gt;=1E12,"TB",IF(ABS(U27)&gt;=1E9,"GB",IF(ABS(U27)&gt;=1E6,"MB",IF(ABS(U27)&gt;=1E3,"KB","bytes")))))="",""," "&amp;(IF(ABS(U27)&gt;=1E12,"TB",IF(ABS(U27)&gt;=1E9,"GB",IF(ABS(U27)&gt;=1E6,"MB",IF(ABS(U27)&gt;=1E3,"KB","bytes"))))))</f>
        <v>0.000 B</v>
      </c>
      <c r="E27" s="31" t="str">
        <f>TEXT(IF(ABS(V27)&gt;=1E15,V27/1E15,IF(ABS(V27)&gt;=1E12,V27/1E12,IF(ABS(V27)&gt;=1E9,V27/1E9,IF(ABS(V27)&gt;=1E6,V27/1E6,V27)))),"#,##0.000")&amp;IF((IF(ABS(V27)&gt;=1E15,"PFLOPs",IF(ABS(V27)&gt;=1E12,"TFLOPs",IF(ABS(V27)&gt;=1E9,"GFLOPs",IF(ABS(V27)&gt;=1E6,"MFLOPs","flops")))))="",""," "&amp;(IF(ABS(V27)&gt;=1E15,"PFLOPs",IF(ABS(V27)&gt;=1E12,"TFLOPs",IF(ABS(V27)&gt;=1E9,"GFLOPs",IF(ABS(V27)&gt;=1E6,"MFLOPs","flops"))))))</f>
        <v>12.964 TFLOPs</v>
      </c>
      <c r="F27" s="31" t="str">
        <f>TEXT(IF(ABS(W27)&gt;=1E12,W27/1E12,IF(ABS(W27)&gt;=1E9,W27/1E9,IF(ABS(W27)&gt;=1E6,W27/1E6,IF(ABS(W27)&gt;=1E3,W27/1E3,W27)))),"#,##0.000")&amp;IF((IF(ABS(W27)&gt;=1E12,"TB",IF(ABS(W27)&gt;=1E9,"GB",IF(ABS(W27)&gt;=1E6,"MB",IF(ABS(W27)&gt;=1E3,"KB","bytes")))))="",""," "&amp;(IF(ABS(W27)&gt;=1E12,"TB",IF(ABS(W27)&gt;=1E9,"GB",IF(ABS(W27)&gt;=1E6,"MB",IF(ABS(W27)&gt;=1E3,"KB","bytes"))))))</f>
        <v>0.000 B</v>
      </c>
      <c r="G27" s="31" t="str">
        <f>TEXT(IF(ABS(X27)&gt;=1E12,X27/1E12,IF(ABS(X27)&gt;=1E9,X27/1E9,IF(ABS(X27)&gt;=1E6,X27/1E6,IF(ABS(X27)&gt;=1E3,X27/1E3,X27)))),"#,##0.000")&amp;IF((IF(ABS(X27)&gt;=1E12,"TB",IF(ABS(X27)&gt;=1E9,"GB",IF(ABS(X27)&gt;=1E6,"MB",IF(ABS(X27)&gt;=1E3,"KB","bytes")))))="",""," "&amp;(IF(ABS(X27)&gt;=1E12,"TB",IF(ABS(X27)&gt;=1E9,"GB",IF(ABS(X27)&gt;=1E6,"MB",IF(ABS(X27)&gt;=1E3,"KB","bytes"))))))</f>
        <v>0.000 B</v>
      </c>
      <c r="H27" s="31" t="str">
        <f>TEXT(IF(ABS(Y27)&gt;=1E15,Y27/1E15,IF(ABS(Y27)&gt;=1E12,Y27/1E12,IF(ABS(Y27)&gt;=1E9,Y27/1E9,IF(ABS(Y27)&gt;=1E6,Y27/1E6,Y27)))),"#,##0.000")&amp;IF((IF(ABS(Y27)&gt;=1E15,"PFLOPs",IF(ABS(Y27)&gt;=1E12,"TFLOPs",IF(ABS(Y27)&gt;=1E9,"GFLOPs",IF(ABS(Y27)&gt;=1E6,"MFLOPs","flops")))))="",""," "&amp;(IF(ABS(Y27)&gt;=1E15,"PFLOPs",IF(ABS(Y27)&gt;=1E12,"TFLOPs",IF(ABS(Y27)&gt;=1E9,"GFLOPs",IF(ABS(Y27)&gt;=1E6,"MFLOPs","flops"))))))</f>
        <v>3.241 TFLOPs</v>
      </c>
      <c r="I27" s="31" t="str">
        <f>TEXT(IF(ABS(Z27)&gt;=1E12,Z27/1E12,IF(ABS(Z27)&gt;=1E9,Z27/1E9,IF(ABS(Z27)&gt;=1E6,Z27/1E6,IF(ABS(Z27)&gt;=1E3,Z27/1E3,Z27)))),"#,##0.000")&amp;IF((IF(ABS(Z27)&gt;=1E12,"TB",IF(ABS(Z27)&gt;=1E9,"GB",IF(ABS(Z27)&gt;=1E6,"MB",IF(ABS(Z27)&gt;=1E3,"KB","bytes")))))="",""," "&amp;(IF(ABS(Z27)&gt;=1E12,"TB",IF(ABS(Z27)&gt;=1E9,"GB",IF(ABS(Z27)&gt;=1E6,"MB",IF(ABS(Z27)&gt;=1E3,"KB","bytes"))))))</f>
        <v>0.000 B</v>
      </c>
      <c r="J27" s="4" t="s">
        <v>245</v>
      </c>
      <c r="K27" s="4" t="s">
        <v>264</v>
      </c>
      <c r="L27" s="4" t="s">
        <v>261</v>
      </c>
      <c r="U27" s="30">
        <f>0</f>
        <v>0</v>
      </c>
      <c r="V27" s="30">
        <f>4*PrefillBatch*TP1KernelLocalHeads*HeadDim*(ShortLayers*(PF_RawPairs+PF_ShortPairs))</f>
        <v>12964199399424.0</v>
      </c>
      <c r="W27" s="30">
        <f>0</f>
        <v>0</v>
      </c>
      <c r="X27" s="30">
        <f>0</f>
        <v>0</v>
      </c>
      <c r="Y27" s="30">
        <f>4*PrefillBatch*TP8KernelLocalHeads*HeadDim*(ShortLayers*(PF_RawPairs+PF_ShortPairs))</f>
        <v>3241049849856.0</v>
      </c>
      <c r="Z27" s="30">
        <f>0</f>
        <v>0</v>
      </c>
    </row>
    <row r="28" spans="1:36">
      <c r="A28" s="4" t="s">
        <v>40</v>
      </c>
      <c r="B28" s="4" t="s">
        <v>265</v>
      </c>
      <c r="C28" s="4" t="s">
        <v>266</v>
      </c>
      <c r="D28" s="31" t="str">
        <f>TEXT(IF(ABS(U28)&gt;=1E12,U28/1E12,IF(ABS(U28)&gt;=1E9,U28/1E9,IF(ABS(U28)&gt;=1E6,U28/1E6,IF(ABS(U28)&gt;=1E3,U28/1E3,U28)))),"#,##0.000")&amp;IF((IF(ABS(U28)&gt;=1E12,"TB",IF(ABS(U28)&gt;=1E9,"GB",IF(ABS(U28)&gt;=1E6,"MB",IF(ABS(U28)&gt;=1E3,"KB","bytes")))))="",""," "&amp;(IF(ABS(U28)&gt;=1E12,"TB",IF(ABS(U28)&gt;=1E9,"GB",IF(ABS(U28)&gt;=1E6,"MB",IF(ABS(U28)&gt;=1E3,"KB","bytes"))))))</f>
        <v>0.000 B</v>
      </c>
      <c r="E28" s="31" t="str">
        <f>TEXT(IF(ABS(V28)&gt;=1E15,V28/1E15,IF(ABS(V28)&gt;=1E12,V28/1E12,IF(ABS(V28)&gt;=1E9,V28/1E9,IF(ABS(V28)&gt;=1E6,V28/1E6,V28)))),"#,##0.000")&amp;IF((IF(ABS(V28)&gt;=1E15,"PFLOPs",IF(ABS(V28)&gt;=1E12,"TFLOPs",IF(ABS(V28)&gt;=1E9,"GFLOPs",IF(ABS(V28)&gt;=1E6,"MFLOPs","flops")))))="",""," "&amp;(IF(ABS(V28)&gt;=1E15,"PFLOPs",IF(ABS(V28)&gt;=1E12,"TFLOPs",IF(ABS(V28)&gt;=1E9,"GFLOPs",IF(ABS(V28)&gt;=1E6,"MFLOPs","flops"))))))</f>
        <v>3.404 TFLOPs</v>
      </c>
      <c r="F28" s="31" t="str">
        <f>TEXT(IF(ABS(W28)&gt;=1E12,W28/1E12,IF(ABS(W28)&gt;=1E9,W28/1E9,IF(ABS(W28)&gt;=1E6,W28/1E6,IF(ABS(W28)&gt;=1E3,W28/1E3,W28)))),"#,##0.000")&amp;IF((IF(ABS(W28)&gt;=1E12,"TB",IF(ABS(W28)&gt;=1E9,"GB",IF(ABS(W28)&gt;=1E6,"MB",IF(ABS(W28)&gt;=1E3,"KB","bytes")))))="",""," "&amp;(IF(ABS(W28)&gt;=1E12,"TB",IF(ABS(W28)&gt;=1E9,"GB",IF(ABS(W28)&gt;=1E6,"MB",IF(ABS(W28)&gt;=1E3,"KB","bytes"))))))</f>
        <v>0.000 B</v>
      </c>
      <c r="G28" s="31" t="str">
        <f>TEXT(IF(ABS(X28)&gt;=1E12,X28/1E12,IF(ABS(X28)&gt;=1E9,X28/1E9,IF(ABS(X28)&gt;=1E6,X28/1E6,IF(ABS(X28)&gt;=1E3,X28/1E3,X28)))),"#,##0.000")&amp;IF((IF(ABS(X28)&gt;=1E12,"TB",IF(ABS(X28)&gt;=1E9,"GB",IF(ABS(X28)&gt;=1E6,"MB",IF(ABS(X28)&gt;=1E3,"KB","bytes")))))="",""," "&amp;(IF(ABS(X28)&gt;=1E12,"TB",IF(ABS(X28)&gt;=1E9,"GB",IF(ABS(X28)&gt;=1E6,"MB",IF(ABS(X28)&gt;=1E3,"KB","bytes"))))))</f>
        <v>0.000 B</v>
      </c>
      <c r="H28" s="31" t="str">
        <f>TEXT(IF(ABS(Y28)&gt;=1E15,Y28/1E15,IF(ABS(Y28)&gt;=1E12,Y28/1E12,IF(ABS(Y28)&gt;=1E9,Y28/1E9,IF(ABS(Y28)&gt;=1E6,Y28/1E6,Y28)))),"#,##0.000")&amp;IF((IF(ABS(Y28)&gt;=1E15,"PFLOPs",IF(ABS(Y28)&gt;=1E12,"TFLOPs",IF(ABS(Y28)&gt;=1E9,"GFLOPs",IF(ABS(Y28)&gt;=1E6,"MFLOPs","flops")))))="",""," "&amp;(IF(ABS(Y28)&gt;=1E15,"PFLOPs",IF(ABS(Y28)&gt;=1E12,"TFLOPs",IF(ABS(Y28)&gt;=1E9,"GFLOPs",IF(ABS(Y28)&gt;=1E6,"MFLOPs","flops"))))))</f>
        <v>851.024 GFLOPs</v>
      </c>
      <c r="I28" s="31" t="str">
        <f>TEXT(IF(ABS(Z28)&gt;=1E12,Z28/1E12,IF(ABS(Z28)&gt;=1E9,Z28/1E9,IF(ABS(Z28)&gt;=1E6,Z28/1E6,IF(ABS(Z28)&gt;=1E3,Z28/1E3,Z28)))),"#,##0.000")&amp;IF((IF(ABS(Z28)&gt;=1E12,"TB",IF(ABS(Z28)&gt;=1E9,"GB",IF(ABS(Z28)&gt;=1E6,"MB",IF(ABS(Z28)&gt;=1E3,"KB","bytes")))))="",""," "&amp;(IF(ABS(Z28)&gt;=1E12,"TB",IF(ABS(Z28)&gt;=1E9,"GB",IF(ABS(Z28)&gt;=1E6,"MB",IF(ABS(Z28)&gt;=1E3,"KB","bytes"))))))</f>
        <v>0.000 B</v>
      </c>
      <c r="J28" s="4" t="s">
        <v>245</v>
      </c>
      <c r="K28" s="4" t="s">
        <v>264</v>
      </c>
      <c r="L28" s="4" t="s">
        <v>261</v>
      </c>
      <c r="U28" s="30">
        <f>0</f>
        <v>0</v>
      </c>
      <c r="V28" s="30">
        <f>4*PrefillBatch*TP1KernelLocalHeads*HeadDim*(LongLayers*(PF_RawPairs+PF_LongPairs))</f>
        <v>3404097126400.0</v>
      </c>
      <c r="W28" s="30">
        <f>0</f>
        <v>0</v>
      </c>
      <c r="X28" s="30">
        <f>0</f>
        <v>0</v>
      </c>
      <c r="Y28" s="30">
        <f>4*PrefillBatch*TP8KernelLocalHeads*HeadDim*(LongLayers*(PF_RawPairs+PF_LongPairs))</f>
        <v>851024281600.0</v>
      </c>
      <c r="Z28" s="30">
        <f>0</f>
        <v>0</v>
      </c>
    </row>
    <row r="29" spans="1:36">
      <c r="A29" s="4" t="s">
        <v>40</v>
      </c>
      <c r="B29" s="4" t="s">
        <v>267</v>
      </c>
      <c r="C29" s="4" t="s">
        <v>147</v>
      </c>
      <c r="D29" s="31" t="str">
        <f>TEXT(IF(ABS(U29)&gt;=1E12,U29/1E12,IF(ABS(U29)&gt;=1E9,U29/1E9,IF(ABS(U29)&gt;=1E6,U29/1E6,IF(ABS(U29)&gt;=1E3,U29/1E3,U29)))),"#,##0.000")&amp;IF((IF(ABS(U29)&gt;=1E12,"TB",IF(ABS(U29)&gt;=1E9,"GB",IF(ABS(U29)&gt;=1E6,"MB",IF(ABS(U29)&gt;=1E3,"KB","bytes")))))="",""," "&amp;(IF(ABS(U29)&gt;=1E12,"TB",IF(ABS(U29)&gt;=1E9,"GB",IF(ABS(U29)&gt;=1E6,"MB",IF(ABS(U29)&gt;=1E3,"KB","bytes"))))))</f>
        <v>187.182 MB</v>
      </c>
      <c r="E29" s="31" t="str">
        <f>TEXT(IF(ABS(V29)&gt;=1E15,V29/1E15,IF(ABS(V29)&gt;=1E12,V29/1E12,IF(ABS(V29)&gt;=1E9,V29/1E9,IF(ABS(V29)&gt;=1E6,V29/1E6,V29)))),"#,##0.000")&amp;IF((IF(ABS(V29)&gt;=1E15,"PFLOPs",IF(ABS(V29)&gt;=1E12,"TFLOPs",IF(ABS(V29)&gt;=1E9,"GFLOPs",IF(ABS(V29)&gt;=1E6,"MFLOPs","flops")))))="",""," "&amp;(IF(ABS(V29)&gt;=1E15,"PFLOPs",IF(ABS(V29)&gt;=1E12,"TFLOPs",IF(ABS(V29)&gt;=1E9,"GFLOPs",IF(ABS(V29)&gt;=1E6,"MFLOPs","flops"))))))</f>
        <v>2.976 TFLOPs</v>
      </c>
      <c r="F29" s="31" t="str">
        <f>TEXT(IF(ABS(W29)&gt;=1E12,W29/1E12,IF(ABS(W29)&gt;=1E9,W29/1E9,IF(ABS(W29)&gt;=1E6,W29/1E6,IF(ABS(W29)&gt;=1E3,W29/1E3,W29)))),"#,##0.000")&amp;IF((IF(ABS(W29)&gt;=1E12,"TB",IF(ABS(W29)&gt;=1E9,"GB",IF(ABS(W29)&gt;=1E6,"MB",IF(ABS(W29)&gt;=1E3,"KB","bytes")))))="",""," "&amp;(IF(ABS(W29)&gt;=1E12,"TB",IF(ABS(W29)&gt;=1E9,"GB",IF(ABS(W29)&gt;=1E6,"MB",IF(ABS(W29)&gt;=1E3,"KB","bytes"))))))</f>
        <v>0.000 B</v>
      </c>
      <c r="G29" s="31" t="str">
        <f>TEXT(IF(ABS(X29)&gt;=1E12,X29/1E12,IF(ABS(X29)&gt;=1E9,X29/1E9,IF(ABS(X29)&gt;=1E6,X29/1E6,IF(ABS(X29)&gt;=1E3,X29/1E3,X29)))),"#,##0.000")&amp;IF((IF(ABS(X29)&gt;=1E12,"TB",IF(ABS(X29)&gt;=1E9,"GB",IF(ABS(X29)&gt;=1E6,"MB",IF(ABS(X29)&gt;=1E3,"KB","bytes")))))="",""," "&amp;(IF(ABS(X29)&gt;=1E12,"TB",IF(ABS(X29)&gt;=1E9,"GB",IF(ABS(X29)&gt;=1E6,"MB",IF(ABS(X29)&gt;=1E3,"KB","bytes"))))))</f>
        <v>23.398 MB</v>
      </c>
      <c r="H29" s="31" t="str">
        <f>TEXT(IF(ABS(Y29)&gt;=1E15,Y29/1E15,IF(ABS(Y29)&gt;=1E12,Y29/1E12,IF(ABS(Y29)&gt;=1E9,Y29/1E9,IF(ABS(Y29)&gt;=1E6,Y29/1E6,Y29)))),"#,##0.000")&amp;IF((IF(ABS(Y29)&gt;=1E15,"PFLOPs",IF(ABS(Y29)&gt;=1E12,"TFLOPs",IF(ABS(Y29)&gt;=1E9,"GFLOPs",IF(ABS(Y29)&gt;=1E6,"MFLOPs","flops")))))="",""," "&amp;(IF(ABS(Y29)&gt;=1E15,"PFLOPs",IF(ABS(Y29)&gt;=1E12,"TFLOPs",IF(ABS(Y29)&gt;=1E9,"GFLOPs",IF(ABS(Y29)&gt;=1E6,"MFLOPs","flops"))))))</f>
        <v>372.052 GFLOPs</v>
      </c>
      <c r="I29" s="31" t="str">
        <f>TEXT(IF(ABS(Z29)&gt;=1E12,Z29/1E12,IF(ABS(Z29)&gt;=1E9,Z29/1E9,IF(ABS(Z29)&gt;=1E6,Z29/1E6,IF(ABS(Z29)&gt;=1E3,Z29/1E3,Z29)))),"#,##0.000")&amp;IF((IF(ABS(Z29)&gt;=1E12,"TB",IF(ABS(Z29)&gt;=1E9,"GB",IF(ABS(Z29)&gt;=1E6,"MB",IF(ABS(Z29)&gt;=1E3,"KB","bytes")))))="",""," "&amp;(IF(ABS(Z29)&gt;=1E12,"TB",IF(ABS(Z29)&gt;=1E9,"GB",IF(ABS(Z29)&gt;=1E6,"MB",IF(ABS(Z29)&gt;=1E3,"KB","bytes"))))))</f>
        <v>0.000 B</v>
      </c>
      <c r="J29" s="4" t="s">
        <v>268</v>
      </c>
      <c r="K29" s="4" t="s">
        <v>269</v>
      </c>
      <c r="L29" s="4" t="s">
        <v>270</v>
      </c>
      <c r="U29" s="30">
        <f>ShortLayers*(((QLoraRank)*(TP1LocalIndexHeads*IndexHeadDim)*FP8Bytes+ROUNDUP((QLoraRank)/FP8Block,0)*ROUNDUP((TP1LocalIndexHeads*IndexHeadDim)/FP8Block,0)*ScaleBytes)+HiddenSize*TP1LocalIndexHeads*BF16Bytes)</f>
        <v>187181568</v>
      </c>
      <c r="V29" s="30">
        <f>2*PF_Rows*ShortLayers*(QLoraRank*TP1LocalIndexHeads*IndexHeadDim+HiddenSize*TP1LocalIndexHeads)</f>
        <v>2976412336128.0</v>
      </c>
      <c r="W29" s="30">
        <f>0</f>
        <v>0</v>
      </c>
      <c r="X29" s="30">
        <f>ShortLayers*(((QLoraRank)*(TP8LocalIndexHeads*IndexHeadDim)*FP8Bytes+ROUNDUP((QLoraRank)/FP8Block,0)*ROUNDUP((TP8LocalIndexHeads*IndexHeadDim)/FP8Block,0)*ScaleBytes)+HiddenSize*TP8LocalIndexHeads*BF16Bytes)</f>
        <v>23397696</v>
      </c>
      <c r="Y29" s="30">
        <f>2*PF_Rows*ShortLayers*(QLoraRank*TP8LocalIndexHeads*IndexHeadDim+HiddenSize*TP8LocalIndexHeads)</f>
        <v>372051542016.0</v>
      </c>
      <c r="Z29" s="30">
        <f>0</f>
        <v>0</v>
      </c>
    </row>
    <row r="30" spans="1:36">
      <c r="A30" s="4" t="s">
        <v>40</v>
      </c>
      <c r="B30" s="4" t="s">
        <v>271</v>
      </c>
      <c r="C30" s="4" t="s">
        <v>147</v>
      </c>
      <c r="D30" s="31" t="str">
        <f>TEXT(IF(ABS(U30)&gt;=1E12,U30/1E12,IF(ABS(U30)&gt;=1E9,U30/1E9,IF(ABS(U30)&gt;=1E6,U30/1E6,IF(ABS(U30)&gt;=1E3,U30/1E3,U30)))),"#,##0.000")&amp;IF((IF(ABS(U30)&gt;=1E12,"TB",IF(ABS(U30)&gt;=1E9,"GB",IF(ABS(U30)&gt;=1E6,"MB",IF(ABS(U30)&gt;=1E3,"KB","bytes")))))="",""," "&amp;(IF(ABS(U30)&gt;=1E12,"TB",IF(ABS(U30)&gt;=1E9,"GB",IF(ABS(U30)&gt;=1E6,"MB",IF(ABS(U30)&gt;=1E3,"KB","bytes"))))))</f>
        <v>0.000 B</v>
      </c>
      <c r="E30" s="31" t="str">
        <f>TEXT(IF(ABS(V30)&gt;=1E15,V30/1E15,IF(ABS(V30)&gt;=1E12,V30/1E12,IF(ABS(V30)&gt;=1E9,V30/1E9,IF(ABS(V30)&gt;=1E6,V30/1E6,V30)))),"#,##0.000")&amp;IF((IF(ABS(V30)&gt;=1E15,"PFLOPs",IF(ABS(V30)&gt;=1E12,"TFLOPs",IF(ABS(V30)&gt;=1E9,"GFLOPs",IF(ABS(V30)&gt;=1E6,"MFLOPs","flops")))))="",""," "&amp;(IF(ABS(V30)&gt;=1E15,"PFLOPs",IF(ABS(V30)&gt;=1E12,"TFLOPs",IF(ABS(V30)&gt;=1E9,"GFLOPs",IF(ABS(V30)&gt;=1E6,"MFLOPs","flops"))))))</f>
        <v>2.886 TFLOPs</v>
      </c>
      <c r="F30" s="31" t="str">
        <f>TEXT(IF(ABS(W30)&gt;=1E12,W30/1E12,IF(ABS(W30)&gt;=1E9,W30/1E9,IF(ABS(W30)&gt;=1E6,W30/1E6,IF(ABS(W30)&gt;=1E3,W30/1E3,W30)))),"#,##0.000")&amp;IF((IF(ABS(W30)&gt;=1E12,"TB",IF(ABS(W30)&gt;=1E9,"GB",IF(ABS(W30)&gt;=1E6,"MB",IF(ABS(W30)&gt;=1E3,"KB","bytes")))))="",""," "&amp;(IF(ABS(W30)&gt;=1E12,"TB",IF(ABS(W30)&gt;=1E9,"GB",IF(ABS(W30)&gt;=1E6,"MB",IF(ABS(W30)&gt;=1E3,"KB","bytes"))))))</f>
        <v>0.000 B</v>
      </c>
      <c r="G30" s="31" t="str">
        <f>TEXT(IF(ABS(X30)&gt;=1E12,X30/1E12,IF(ABS(X30)&gt;=1E9,X30/1E9,IF(ABS(X30)&gt;=1E6,X30/1E6,IF(ABS(X30)&gt;=1E3,X30/1E3,X30)))),"#,##0.000")&amp;IF((IF(ABS(X30)&gt;=1E12,"TB",IF(ABS(X30)&gt;=1E9,"GB",IF(ABS(X30)&gt;=1E6,"MB",IF(ABS(X30)&gt;=1E3,"KB","bytes")))))="",""," "&amp;(IF(ABS(X30)&gt;=1E12,"TB",IF(ABS(X30)&gt;=1E9,"GB",IF(ABS(X30)&gt;=1E6,"MB",IF(ABS(X30)&gt;=1E3,"KB","bytes"))))))</f>
        <v>0.000 B</v>
      </c>
      <c r="H30" s="31" t="str">
        <f>TEXT(IF(ABS(Y30)&gt;=1E15,Y30/1E15,IF(ABS(Y30)&gt;=1E12,Y30/1E12,IF(ABS(Y30)&gt;=1E9,Y30/1E9,IF(ABS(Y30)&gt;=1E6,Y30/1E6,Y30)))),"#,##0.000")&amp;IF((IF(ABS(Y30)&gt;=1E15,"PFLOPs",IF(ABS(Y30)&gt;=1E12,"TFLOPs",IF(ABS(Y30)&gt;=1E9,"GFLOPs",IF(ABS(Y30)&gt;=1E6,"MFLOPs","flops")))))="",""," "&amp;(IF(ABS(Y30)&gt;=1E15,"PFLOPs",IF(ABS(Y30)&gt;=1E12,"TFLOPs",IF(ABS(Y30)&gt;=1E9,"GFLOPs",IF(ABS(Y30)&gt;=1E6,"MFLOPs","flops"))))))</f>
        <v>360.689 GFLOPs</v>
      </c>
      <c r="I30" s="31" t="str">
        <f>TEXT(IF(ABS(Z30)&gt;=1E12,Z30/1E12,IF(ABS(Z30)&gt;=1E9,Z30/1E9,IF(ABS(Z30)&gt;=1E6,Z30/1E6,IF(ABS(Z30)&gt;=1E3,Z30/1E3,Z30)))),"#,##0.000")&amp;IF((IF(ABS(Z30)&gt;=1E12,"TB",IF(ABS(Z30)&gt;=1E9,"GB",IF(ABS(Z30)&gt;=1E6,"MB",IF(ABS(Z30)&gt;=1E3,"KB","bytes")))))="",""," "&amp;(IF(ABS(Z30)&gt;=1E12,"TB",IF(ABS(Z30)&gt;=1E9,"GB",IF(ABS(Z30)&gt;=1E6,"MB",IF(ABS(Z30)&gt;=1E3,"KB","bytes"))))))</f>
        <v>0.000 B</v>
      </c>
      <c r="J30" s="4" t="s">
        <v>245</v>
      </c>
      <c r="K30" s="4" t="s">
        <v>272</v>
      </c>
      <c r="L30" s="4" t="s">
        <v>273</v>
      </c>
      <c r="U30" s="30">
        <f>0</f>
        <v>0</v>
      </c>
      <c r="V30" s="30">
        <f>2*PrefillBatch*ShortLayers*TP1LocalIndexHeads*IndexHeadDim*PF_IndexPairs</f>
        <v>2885513379840.0</v>
      </c>
      <c r="W30" s="30">
        <f>0</f>
        <v>0</v>
      </c>
      <c r="X30" s="30">
        <f>0</f>
        <v>0</v>
      </c>
      <c r="Y30" s="30">
        <f>2*PrefillBatch*ShortLayers*TP8LocalIndexHeads*IndexHeadDim*PF_IndexPairs</f>
        <v>360689172480.0</v>
      </c>
      <c r="Z30" s="30">
        <f>0</f>
        <v>0</v>
      </c>
    </row>
    <row r="31" spans="1:36">
      <c r="A31" s="4" t="s">
        <v>40</v>
      </c>
      <c r="B31" s="4" t="s">
        <v>274</v>
      </c>
      <c r="C31" s="4" t="s">
        <v>263</v>
      </c>
      <c r="D31" s="31" t="str">
        <f>TEXT(IF(ABS(U31)&gt;=1E12,U31/1E12,IF(ABS(U31)&gt;=1E9,U31/1E9,IF(ABS(U31)&gt;=1E6,U31/1E6,IF(ABS(U31)&gt;=1E3,U31/1E3,U31)))),"#,##0.000")&amp;IF((IF(ABS(U31)&gt;=1E12,"TB",IF(ABS(U31)&gt;=1E9,"GB",IF(ABS(U31)&gt;=1E6,"MB",IF(ABS(U31)&gt;=1E3,"KB","bytes")))))="",""," "&amp;(IF(ABS(U31)&gt;=1E12,"TB",IF(ABS(U31)&gt;=1E9,"GB",IF(ABS(U31)&gt;=1E6,"MB",IF(ABS(U31)&gt;=1E3,"KB","bytes"))))))</f>
        <v>705.030 MB</v>
      </c>
      <c r="E31" s="31" t="str">
        <f>TEXT(IF(ABS(V31)&gt;=1E15,V31/1E15,IF(ABS(V31)&gt;=1E12,V31/1E12,IF(ABS(V31)&gt;=1E9,V31/1E9,IF(ABS(V31)&gt;=1E6,V31/1E6,V31)))),"#,##0.000")&amp;IF((IF(ABS(V31)&gt;=1E15,"PFLOPs",IF(ABS(V31)&gt;=1E12,"TFLOPs",IF(ABS(V31)&gt;=1E9,"GFLOPs",IF(ABS(V31)&gt;=1E6,"MFLOPs","flops")))))="",""," "&amp;(IF(ABS(V31)&gt;=1E15,"PFLOPs",IF(ABS(V31)&gt;=1E12,"TFLOPs",IF(ABS(V31)&gt;=1E9,"GFLOPs",IF(ABS(V31)&gt;=1E6,"MFLOPs","flops"))))))</f>
        <v>2.886 TFLOPs</v>
      </c>
      <c r="F31" s="31" t="str">
        <f>TEXT(IF(ABS(W31)&gt;=1E12,W31/1E12,IF(ABS(W31)&gt;=1E9,W31/1E9,IF(ABS(W31)&gt;=1E6,W31/1E6,IF(ABS(W31)&gt;=1E3,W31/1E3,W31)))),"#,##0.000")&amp;IF((IF(ABS(W31)&gt;=1E12,"TB",IF(ABS(W31)&gt;=1E9,"GB",IF(ABS(W31)&gt;=1E6,"MB",IF(ABS(W31)&gt;=1E3,"KB","bytes")))))="",""," "&amp;(IF(ABS(W31)&gt;=1E12,"TB",IF(ABS(W31)&gt;=1E9,"GB",IF(ABS(W31)&gt;=1E6,"MB",IF(ABS(W31)&gt;=1E3,"KB","bytes"))))))</f>
        <v>0.000 B</v>
      </c>
      <c r="G31" s="31" t="str">
        <f>TEXT(IF(ABS(X31)&gt;=1E12,X31/1E12,IF(ABS(X31)&gt;=1E9,X31/1E9,IF(ABS(X31)&gt;=1E6,X31/1E6,IF(ABS(X31)&gt;=1E3,X31/1E3,X31)))),"#,##0.000")&amp;IF((IF(ABS(X31)&gt;=1E12,"TB",IF(ABS(X31)&gt;=1E9,"GB",IF(ABS(X31)&gt;=1E6,"MB",IF(ABS(X31)&gt;=1E3,"KB","bytes")))))="",""," "&amp;(IF(ABS(X31)&gt;=1E12,"TB",IF(ABS(X31)&gt;=1E9,"GB",IF(ABS(X31)&gt;=1E6,"MB",IF(ABS(X31)&gt;=1E3,"KB","bytes"))))))</f>
        <v>705.030 MB</v>
      </c>
      <c r="H31" s="31" t="str">
        <f>TEXT(IF(ABS(Y31)&gt;=1E15,Y31/1E15,IF(ABS(Y31)&gt;=1E12,Y31/1E12,IF(ABS(Y31)&gt;=1E9,Y31/1E9,IF(ABS(Y31)&gt;=1E6,Y31/1E6,Y31)))),"#,##0.000")&amp;IF((IF(ABS(Y31)&gt;=1E15,"PFLOPs",IF(ABS(Y31)&gt;=1E12,"TFLOPs",IF(ABS(Y31)&gt;=1E9,"GFLOPs",IF(ABS(Y31)&gt;=1E6,"MFLOPs","flops")))))="",""," "&amp;(IF(ABS(Y31)&gt;=1E15,"PFLOPs",IF(ABS(Y31)&gt;=1E12,"TFLOPs",IF(ABS(Y31)&gt;=1E9,"GFLOPs",IF(ABS(Y31)&gt;=1E6,"MFLOPs","flops"))))))</f>
        <v>2.886 TFLOPs</v>
      </c>
      <c r="I31" s="31" t="str">
        <f>TEXT(IF(ABS(Z31)&gt;=1E12,Z31/1E12,IF(ABS(Z31)&gt;=1E9,Z31/1E9,IF(ABS(Z31)&gt;=1E6,Z31/1E6,IF(ABS(Z31)&gt;=1E3,Z31/1E3,Z31)))),"#,##0.000")&amp;IF((IF(ABS(Z31)&gt;=1E12,"TB",IF(ABS(Z31)&gt;=1E9,"GB",IF(ABS(Z31)&gt;=1E6,"MB",IF(ABS(Z31)&gt;=1E3,"KB","bytes")))))="",""," "&amp;(IF(ABS(Z31)&gt;=1E12,"TB",IF(ABS(Z31)&gt;=1E9,"GB",IF(ABS(Z31)&gt;=1E6,"MB",IF(ABS(Z31)&gt;=1E3,"KB","bytes"))))))</f>
        <v>0.000 B</v>
      </c>
      <c r="J31" s="4" t="s">
        <v>275</v>
      </c>
      <c r="K31" s="4" t="s">
        <v>276</v>
      </c>
      <c r="L31" s="4" t="s">
        <v>277</v>
      </c>
      <c r="U31" s="30">
        <f>ShortLayers*(2*HiddenSize*(2*HeadDim)*FP32Bytes+ShortRatio*2*HeadDim*FP32Bytes+HeadDim*FP32Bytes)</f>
        <v>705030144</v>
      </c>
      <c r="V31" s="30">
        <f>PF_Rows*ShortLayers*8*HiddenSize*HeadDim</f>
        <v>2886218022912</v>
      </c>
      <c r="W31" s="30">
        <f>0</f>
        <v>0</v>
      </c>
      <c r="X31" s="30">
        <f>ShortLayers*(2*HiddenSize*(2*HeadDim)*FP32Bytes+ShortRatio*2*HeadDim*FP32Bytes+HeadDim*FP32Bytes)</f>
        <v>705030144</v>
      </c>
      <c r="Y31" s="30">
        <f>PF_Rows*ShortLayers*8*HiddenSize*HeadDim</f>
        <v>2886218022912</v>
      </c>
      <c r="Z31" s="30">
        <f>0</f>
        <v>0</v>
      </c>
    </row>
    <row r="32" spans="1:36">
      <c r="A32" s="4" t="s">
        <v>40</v>
      </c>
      <c r="B32" s="4" t="s">
        <v>278</v>
      </c>
      <c r="C32" s="4" t="s">
        <v>266</v>
      </c>
      <c r="D32" s="31" t="str">
        <f>TEXT(IF(ABS(U32)&gt;=1E12,U32/1E12,IF(ABS(U32)&gt;=1E9,U32/1E9,IF(ABS(U32)&gt;=1E6,U32/1E6,IF(ABS(U32)&gt;=1E3,U32/1E3,U32)))),"#,##0.000")&amp;IF((IF(ABS(U32)&gt;=1E12,"TB",IF(ABS(U32)&gt;=1E9,"GB",IF(ABS(U32)&gt;=1E6,"MB",IF(ABS(U32)&gt;=1E3,"KB","bytes")))))="",""," "&amp;(IF(ABS(U32)&gt;=1E12,"TB",IF(ABS(U32)&gt;=1E9,"GB",IF(ABS(U32)&gt;=1E6,"MB",IF(ABS(U32)&gt;=1E3,"KB","bytes"))))))</f>
        <v>340.828 MB</v>
      </c>
      <c r="E32" s="31" t="str">
        <f>TEXT(IF(ABS(V32)&gt;=1E15,V32/1E15,IF(ABS(V32)&gt;=1E12,V32/1E12,IF(ABS(V32)&gt;=1E9,V32/1E9,IF(ABS(V32)&gt;=1E6,V32/1E6,V32)))),"#,##0.000")&amp;IF((IF(ABS(V32)&gt;=1E15,"PFLOPs",IF(ABS(V32)&gt;=1E12,"TFLOPs",IF(ABS(V32)&gt;=1E9,"GFLOPs",IF(ABS(V32)&gt;=1E6,"MFLOPs","flops")))))="",""," "&amp;(IF(ABS(V32)&gt;=1E15,"PFLOPs",IF(ABS(V32)&gt;=1E12,"TFLOPs",IF(ABS(V32)&gt;=1E9,"GFLOPs",IF(ABS(V32)&gt;=1E6,"MFLOPs","flops"))))))</f>
        <v>1.374 TFLOPs</v>
      </c>
      <c r="F32" s="31" t="str">
        <f>TEXT(IF(ABS(W32)&gt;=1E12,W32/1E12,IF(ABS(W32)&gt;=1E9,W32/1E9,IF(ABS(W32)&gt;=1E6,W32/1E6,IF(ABS(W32)&gt;=1E3,W32/1E3,W32)))),"#,##0.000")&amp;IF((IF(ABS(W32)&gt;=1E12,"TB",IF(ABS(W32)&gt;=1E9,"GB",IF(ABS(W32)&gt;=1E6,"MB",IF(ABS(W32)&gt;=1E3,"KB","bytes")))))="",""," "&amp;(IF(ABS(W32)&gt;=1E12,"TB",IF(ABS(W32)&gt;=1E9,"GB",IF(ABS(W32)&gt;=1E6,"MB",IF(ABS(W32)&gt;=1E3,"KB","bytes"))))))</f>
        <v>0.000 B</v>
      </c>
      <c r="G32" s="31" t="str">
        <f>TEXT(IF(ABS(X32)&gt;=1E12,X32/1E12,IF(ABS(X32)&gt;=1E9,X32/1E9,IF(ABS(X32)&gt;=1E6,X32/1E6,IF(ABS(X32)&gt;=1E3,X32/1E3,X32)))),"#,##0.000")&amp;IF((IF(ABS(X32)&gt;=1E12,"TB",IF(ABS(X32)&gt;=1E9,"GB",IF(ABS(X32)&gt;=1E6,"MB",IF(ABS(X32)&gt;=1E3,"KB","bytes")))))="",""," "&amp;(IF(ABS(X32)&gt;=1E12,"TB",IF(ABS(X32)&gt;=1E9,"GB",IF(ABS(X32)&gt;=1E6,"MB",IF(ABS(X32)&gt;=1E3,"KB","bytes"))))))</f>
        <v>340.828 MB</v>
      </c>
      <c r="H32" s="31" t="str">
        <f>TEXT(IF(ABS(Y32)&gt;=1E15,Y32/1E15,IF(ABS(Y32)&gt;=1E12,Y32/1E12,IF(ABS(Y32)&gt;=1E9,Y32/1E9,IF(ABS(Y32)&gt;=1E6,Y32/1E6,Y32)))),"#,##0.000")&amp;IF((IF(ABS(Y32)&gt;=1E15,"PFLOPs",IF(ABS(Y32)&gt;=1E12,"TFLOPs",IF(ABS(Y32)&gt;=1E9,"GFLOPs",IF(ABS(Y32)&gt;=1E6,"MFLOPs","flops")))))="",""," "&amp;(IF(ABS(Y32)&gt;=1E15,"PFLOPs",IF(ABS(Y32)&gt;=1E12,"TFLOPs",IF(ABS(Y32)&gt;=1E9,"GFLOPs",IF(ABS(Y32)&gt;=1E6,"MFLOPs","flops"))))))</f>
        <v>1.374 TFLOPs</v>
      </c>
      <c r="I32" s="31" t="str">
        <f>TEXT(IF(ABS(Z32)&gt;=1E12,Z32/1E12,IF(ABS(Z32)&gt;=1E9,Z32/1E9,IF(ABS(Z32)&gt;=1E6,Z32/1E6,IF(ABS(Z32)&gt;=1E3,Z32/1E3,Z32)))),"#,##0.000")&amp;IF((IF(ABS(Z32)&gt;=1E12,"TB",IF(ABS(Z32)&gt;=1E9,"GB",IF(ABS(Z32)&gt;=1E6,"MB",IF(ABS(Z32)&gt;=1E3,"KB","bytes")))))="",""," "&amp;(IF(ABS(Z32)&gt;=1E12,"TB",IF(ABS(Z32)&gt;=1E9,"GB",IF(ABS(Z32)&gt;=1E6,"MB",IF(ABS(Z32)&gt;=1E3,"KB","bytes"))))))</f>
        <v>0.000 B</v>
      </c>
      <c r="J32" s="4" t="s">
        <v>275</v>
      </c>
      <c r="K32" s="4" t="s">
        <v>276</v>
      </c>
      <c r="L32" s="4" t="s">
        <v>279</v>
      </c>
      <c r="U32" s="30">
        <f>LongLayers*(2*HiddenSize*HeadDim*FP32Bytes+LongRatio*HeadDim*FP32Bytes+HeadDim*FP32Bytes)</f>
        <v>340828160</v>
      </c>
      <c r="V32" s="30">
        <f>PF_Rows*LongLayers*4*HiddenSize*HeadDim</f>
        <v>1374389534720</v>
      </c>
      <c r="W32" s="30">
        <f>0</f>
        <v>0</v>
      </c>
      <c r="X32" s="30">
        <f>LongLayers*(2*HiddenSize*HeadDim*FP32Bytes+LongRatio*HeadDim*FP32Bytes+HeadDim*FP32Bytes)</f>
        <v>340828160</v>
      </c>
      <c r="Y32" s="30">
        <f>PF_Rows*LongLayers*4*HiddenSize*HeadDim</f>
        <v>1374389534720</v>
      </c>
      <c r="Z32" s="30">
        <f>0</f>
        <v>0</v>
      </c>
    </row>
    <row r="33" spans="1:44">
      <c r="A33" s="4" t="s">
        <v>40</v>
      </c>
      <c r="B33" s="4" t="s">
        <v>280</v>
      </c>
      <c r="C33" s="4" t="s">
        <v>147</v>
      </c>
      <c r="D33" s="31" t="str">
        <f>TEXT(IF(ABS(U33)&gt;=1E12,U33/1E12,IF(ABS(U33)&gt;=1E9,U33/1E9,IF(ABS(U33)&gt;=1E6,U33/1E6,IF(ABS(U33)&gt;=1E3,U33/1E3,U33)))),"#,##0.000")&amp;IF((IF(ABS(U33)&gt;=1E12,"TB",IF(ABS(U33)&gt;=1E9,"GB",IF(ABS(U33)&gt;=1E6,"MB",IF(ABS(U33)&gt;=1E3,"KB","bytes")))))="",""," "&amp;(IF(ABS(U33)&gt;=1E12,"TB",IF(ABS(U33)&gt;=1E9,"GB",IF(ABS(U33)&gt;=1E6,"MB",IF(ABS(U33)&gt;=1E3,"KB","bytes"))))))</f>
        <v>176.258 MB</v>
      </c>
      <c r="E33" s="31" t="str">
        <f>TEXT(IF(ABS(V33)&gt;=1E15,V33/1E15,IF(ABS(V33)&gt;=1E12,V33/1E12,IF(ABS(V33)&gt;=1E9,V33/1E9,IF(ABS(V33)&gt;=1E6,V33/1E6,V33)))),"#,##0.000")&amp;IF((IF(ABS(V33)&gt;=1E15,"PFLOPs",IF(ABS(V33)&gt;=1E12,"TFLOPs",IF(ABS(V33)&gt;=1E9,"GFLOPs",IF(ABS(V33)&gt;=1E6,"MFLOPs","flops")))))="",""," "&amp;(IF(ABS(V33)&gt;=1E15,"PFLOPs",IF(ABS(V33)&gt;=1E12,"TFLOPs",IF(ABS(V33)&gt;=1E9,"GFLOPs",IF(ABS(V33)&gt;=1E6,"MFLOPs","flops"))))))</f>
        <v>721.555 GFLOPs</v>
      </c>
      <c r="F33" s="31" t="str">
        <f>TEXT(IF(ABS(W33)&gt;=1E12,W33/1E12,IF(ABS(W33)&gt;=1E9,W33/1E9,IF(ABS(W33)&gt;=1E6,W33/1E6,IF(ABS(W33)&gt;=1E3,W33/1E3,W33)))),"#,##0.000")&amp;IF((IF(ABS(W33)&gt;=1E12,"TB",IF(ABS(W33)&gt;=1E9,"GB",IF(ABS(W33)&gt;=1E6,"MB",IF(ABS(W33)&gt;=1E3,"KB","bytes")))))="",""," "&amp;(IF(ABS(W33)&gt;=1E12,"TB",IF(ABS(W33)&gt;=1E9,"GB",IF(ABS(W33)&gt;=1E6,"MB",IF(ABS(W33)&gt;=1E3,"KB","bytes"))))))</f>
        <v>0.000 B</v>
      </c>
      <c r="G33" s="31" t="str">
        <f>TEXT(IF(ABS(X33)&gt;=1E12,X33/1E12,IF(ABS(X33)&gt;=1E9,X33/1E9,IF(ABS(X33)&gt;=1E6,X33/1E6,IF(ABS(X33)&gt;=1E3,X33/1E3,X33)))),"#,##0.000")&amp;IF((IF(ABS(X33)&gt;=1E12,"TB",IF(ABS(X33)&gt;=1E9,"GB",IF(ABS(X33)&gt;=1E6,"MB",IF(ABS(X33)&gt;=1E3,"KB","bytes")))))="",""," "&amp;(IF(ABS(X33)&gt;=1E12,"TB",IF(ABS(X33)&gt;=1E9,"GB",IF(ABS(X33)&gt;=1E6,"MB",IF(ABS(X33)&gt;=1E3,"KB","bytes"))))))</f>
        <v>176.258 MB</v>
      </c>
      <c r="H33" s="31" t="str">
        <f>TEXT(IF(ABS(Y33)&gt;=1E15,Y33/1E15,IF(ABS(Y33)&gt;=1E12,Y33/1E12,IF(ABS(Y33)&gt;=1E9,Y33/1E9,IF(ABS(Y33)&gt;=1E6,Y33/1E6,Y33)))),"#,##0.000")&amp;IF((IF(ABS(Y33)&gt;=1E15,"PFLOPs",IF(ABS(Y33)&gt;=1E12,"TFLOPs",IF(ABS(Y33)&gt;=1E9,"GFLOPs",IF(ABS(Y33)&gt;=1E6,"MFLOPs","flops")))))="",""," "&amp;(IF(ABS(Y33)&gt;=1E15,"PFLOPs",IF(ABS(Y33)&gt;=1E12,"TFLOPs",IF(ABS(Y33)&gt;=1E9,"GFLOPs",IF(ABS(Y33)&gt;=1E6,"MFLOPs","flops"))))))</f>
        <v>721.555 GFLOPs</v>
      </c>
      <c r="I33" s="31" t="str">
        <f>TEXT(IF(ABS(Z33)&gt;=1E12,Z33/1E12,IF(ABS(Z33)&gt;=1E9,Z33/1E9,IF(ABS(Z33)&gt;=1E6,Z33/1E6,IF(ABS(Z33)&gt;=1E3,Z33/1E3,Z33)))),"#,##0.000")&amp;IF((IF(ABS(Z33)&gt;=1E12,"TB",IF(ABS(Z33)&gt;=1E9,"GB",IF(ABS(Z33)&gt;=1E6,"MB",IF(ABS(Z33)&gt;=1E3,"KB","bytes")))))="",""," "&amp;(IF(ABS(Z33)&gt;=1E12,"TB",IF(ABS(Z33)&gt;=1E9,"GB",IF(ABS(Z33)&gt;=1E6,"MB",IF(ABS(Z33)&gt;=1E3,"KB","bytes"))))))</f>
        <v>0.000 B</v>
      </c>
      <c r="J33" s="4" t="s">
        <v>281</v>
      </c>
      <c r="K33" s="4" t="s">
        <v>282</v>
      </c>
      <c r="L33" s="4" t="s">
        <v>283</v>
      </c>
      <c r="U33" s="30">
        <f>ShortLayers*(2*HiddenSize*(2*IndexHeadDim)*FP32Bytes+ShortRatio*2*IndexHeadDim*FP32Bytes+IndexHeadDim*FP32Bytes)</f>
        <v>176257536</v>
      </c>
      <c r="V33" s="30">
        <f>PF_Rows*ShortLayers*8*HiddenSize*IndexHeadDim</f>
        <v>721554505728</v>
      </c>
      <c r="W33" s="30">
        <f>0</f>
        <v>0</v>
      </c>
      <c r="X33" s="30">
        <f>ShortLayers*(2*HiddenSize*(2*IndexHeadDim)*FP32Bytes+ShortRatio*2*IndexHeadDim*FP32Bytes+IndexHeadDim*FP32Bytes)</f>
        <v>176257536</v>
      </c>
      <c r="Y33" s="30">
        <f>PF_Rows*ShortLayers*8*HiddenSize*IndexHeadDim</f>
        <v>721554505728</v>
      </c>
      <c r="Z33" s="30">
        <f>0</f>
        <v>0</v>
      </c>
    </row>
    <row r="34" spans="1:44">
      <c r="A34" s="4" t="s">
        <v>40</v>
      </c>
      <c r="B34" s="4" t="s">
        <v>284</v>
      </c>
      <c r="C34" s="4" t="s">
        <v>285</v>
      </c>
      <c r="D34" s="31" t="str">
        <f>TEXT(IF(ABS(U34)&gt;=1E12,U34/1E12,IF(ABS(U34)&gt;=1E9,U34/1E9,IF(ABS(U34)&gt;=1E6,U34/1E6,IF(ABS(U34)&gt;=1E3,U34/1E3,U34)))),"#,##0.000")&amp;IF((IF(ABS(U34)&gt;=1E12,"TB",IF(ABS(U34)&gt;=1E9,"GB",IF(ABS(U34)&gt;=1E6,"MB",IF(ABS(U34)&gt;=1E3,"KB","bytes")))))="",""," "&amp;(IF(ABS(U34)&gt;=1E12,"TB",IF(ABS(U34)&gt;=1E9,"GB",IF(ABS(U34)&gt;=1E6,"MB",IF(ABS(U34)&gt;=1E3,"KB","bytes"))))))</f>
        <v>0.000 B</v>
      </c>
      <c r="E34" s="31" t="str">
        <f>TEXT(IF(ABS(V34)&gt;=1E15,V34/1E15,IF(ABS(V34)&gt;=1E12,V34/1E12,IF(ABS(V34)&gt;=1E9,V34/1E9,IF(ABS(V34)&gt;=1E6,V34/1E6,V34)))),"#,##0.000")&amp;IF((IF(ABS(V34)&gt;=1E15,"PFLOPs",IF(ABS(V34)&gt;=1E12,"TFLOPs",IF(ABS(V34)&gt;=1E9,"GFLOPs",IF(ABS(V34)&gt;=1E6,"MFLOPs","flops")))))="",""," "&amp;(IF(ABS(V34)&gt;=1E15,"PFLOPs",IF(ABS(V34)&gt;=1E12,"TFLOPs",IF(ABS(V34)&gt;=1E9,"GFLOPs",IF(ABS(V34)&gt;=1E6,"MFLOPs","flops"))))))</f>
        <v>0.000 FLOPs</v>
      </c>
      <c r="F34" s="31" t="str">
        <f>TEXT(IF(ABS(W34)&gt;=1E12,W34/1E12,IF(ABS(W34)&gt;=1E9,W34/1E9,IF(ABS(W34)&gt;=1E6,W34/1E6,IF(ABS(W34)&gt;=1E3,W34/1E3,W34)))),"#,##0.000")&amp;IF((IF(ABS(W34)&gt;=1E12,"TB",IF(ABS(W34)&gt;=1E9,"GB",IF(ABS(W34)&gt;=1E6,"MB",IF(ABS(W34)&gt;=1E3,"KB","bytes")))))="",""," "&amp;(IF(ABS(W34)&gt;=1E12,"TB",IF(ABS(W34)&gt;=1E9,"GB",IF(ABS(W34)&gt;=1E6,"MB",IF(ABS(W34)&gt;=1E3,"KB","bytes"))))))</f>
        <v>0.000 B</v>
      </c>
      <c r="G34" s="31" t="str">
        <f>TEXT(IF(ABS(X34)&gt;=1E12,X34/1E12,IF(ABS(X34)&gt;=1E9,X34/1E9,IF(ABS(X34)&gt;=1E6,X34/1E6,IF(ABS(X34)&gt;=1E3,X34/1E3,X34)))),"#,##0.000")&amp;IF((IF(ABS(X34)&gt;=1E12,"TB",IF(ABS(X34)&gt;=1E9,"GB",IF(ABS(X34)&gt;=1E6,"MB",IF(ABS(X34)&gt;=1E3,"KB","bytes")))))="",""," "&amp;(IF(ABS(X34)&gt;=1E12,"TB",IF(ABS(X34)&gt;=1E9,"GB",IF(ABS(X34)&gt;=1E6,"MB",IF(ABS(X34)&gt;=1E3,"KB","bytes"))))))</f>
        <v>0.000 B</v>
      </c>
      <c r="H34" s="31" t="str">
        <f>TEXT(IF(ABS(Y34)&gt;=1E15,Y34/1E15,IF(ABS(Y34)&gt;=1E12,Y34/1E12,IF(ABS(Y34)&gt;=1E9,Y34/1E9,IF(ABS(Y34)&gt;=1E6,Y34/1E6,Y34)))),"#,##0.000")&amp;IF((IF(ABS(Y34)&gt;=1E15,"PFLOPs",IF(ABS(Y34)&gt;=1E12,"TFLOPs",IF(ABS(Y34)&gt;=1E9,"GFLOPs",IF(ABS(Y34)&gt;=1E6,"MFLOPs","flops")))))="",""," "&amp;(IF(ABS(Y34)&gt;=1E15,"PFLOPs",IF(ABS(Y34)&gt;=1E12,"TFLOPs",IF(ABS(Y34)&gt;=1E9,"GFLOPs",IF(ABS(Y34)&gt;=1E6,"MFLOPs","flops"))))))</f>
        <v>0.000 FLOPs</v>
      </c>
      <c r="I34" s="31" t="str">
        <f>TEXT(IF(ABS(Z34)&gt;=1E12,Z34/1E12,IF(ABS(Z34)&gt;=1E9,Z34/1E9,IF(ABS(Z34)&gt;=1E6,Z34/1E6,IF(ABS(Z34)&gt;=1E3,Z34/1E3,Z34)))),"#,##0.000")&amp;IF((IF(ABS(Z34)&gt;=1E12,"TB",IF(ABS(Z34)&gt;=1E9,"GB",IF(ABS(Z34)&gt;=1E6,"MB",IF(ABS(Z34)&gt;=1E3,"KB","bytes")))))="",""," "&amp;(IF(ABS(Z34)&gt;=1E12,"TB",IF(ABS(Z34)&gt;=1E9,"GB",IF(ABS(Z34)&gt;=1E6,"MB",IF(ABS(Z34)&gt;=1E3,"KB","bytes"))))))</f>
        <v>20.200 GB</v>
      </c>
      <c r="J34" s="4" t="s">
        <v>245</v>
      </c>
      <c r="K34" s="4" t="s">
        <v>286</v>
      </c>
      <c r="L34" s="4" t="s">
        <v>287</v>
      </c>
      <c r="U34" s="30">
        <f>0</f>
        <v>0</v>
      </c>
      <c r="V34" s="30">
        <f>0</f>
        <v>0</v>
      </c>
      <c r="W34" s="30">
        <f>4*(TP1Size-1)/TP1Size*PF_Rows*HiddenSize*FP32Bytes*TotalLayers</f>
        <v>0.0</v>
      </c>
      <c r="X34" s="30">
        <f>0</f>
        <v>0</v>
      </c>
      <c r="Y34" s="30">
        <f>0</f>
        <v>0</v>
      </c>
      <c r="Z34" s="30">
        <f>4*(TP8Size-1)/TP8Size*PF_Rows*HiddenSize*FP32Bytes*TotalLayers</f>
        <v>20199768064.0</v>
      </c>
    </row>
    <row r="35" spans="1:44">
      <c r="A35" s="4" t="s">
        <v>40</v>
      </c>
      <c r="B35" s="4" t="s">
        <v>288</v>
      </c>
      <c r="C35" s="4" t="s">
        <v>289</v>
      </c>
      <c r="D35" s="31" t="str">
        <f>TEXT(IF(ABS(U35)&gt;=1E12,U35/1E12,IF(ABS(U35)&gt;=1E9,U35/1E9,IF(ABS(U35)&gt;=1E6,U35/1E6,IF(ABS(U35)&gt;=1E3,U35/1E3,U35)))),"#,##0.000")&amp;IF((IF(ABS(U35)&gt;=1E12,"TB",IF(ABS(U35)&gt;=1E9,"GB",IF(ABS(U35)&gt;=1E6,"MB",IF(ABS(U35)&gt;=1E3,"KB","bytes")))))="",""," "&amp;(IF(ABS(U35)&gt;=1E12,"TB",IF(ABS(U35)&gt;=1E9,"GB",IF(ABS(U35)&gt;=1E6,"MB",IF(ABS(U35)&gt;=1E3,"KB","bytes"))))))</f>
        <v>50.987 MB</v>
      </c>
      <c r="E35" s="31" t="str">
        <f>TEXT(IF(ABS(V35)&gt;=1E15,V35/1E15,IF(ABS(V35)&gt;=1E12,V35/1E12,IF(ABS(V35)&gt;=1E9,V35/1E9,IF(ABS(V35)&gt;=1E6,V35/1E6,V35)))),"#,##0.000")&amp;IF((IF(ABS(V35)&gt;=1E15,"PFLOPs",IF(ABS(V35)&gt;=1E12,"TFLOPs",IF(ABS(V35)&gt;=1E9,"GFLOPs",IF(ABS(V35)&gt;=1E6,"MFLOPs","flops")))))="",""," "&amp;(IF(ABS(V35)&gt;=1E15,"PFLOPs",IF(ABS(V35)&gt;=1E12,"TFLOPs",IF(ABS(V35)&gt;=1E9,"GFLOPs",IF(ABS(V35)&gt;=1E6,"MFLOPs","flops"))))))</f>
        <v>0.000 FLOPs</v>
      </c>
      <c r="F35" s="31" t="str">
        <f>TEXT(IF(ABS(W35)&gt;=1E12,W35/1E12,IF(ABS(W35)&gt;=1E9,W35/1E9,IF(ABS(W35)&gt;=1E6,W35/1E6,IF(ABS(W35)&gt;=1E3,W35/1E3,W35)))),"#,##0.000")&amp;IF((IF(ABS(W35)&gt;=1E12,"TB",IF(ABS(W35)&gt;=1E9,"GB",IF(ABS(W35)&gt;=1E6,"MB",IF(ABS(W35)&gt;=1E3,"KB","bytes")))))="",""," "&amp;(IF(ABS(W35)&gt;=1E12,"TB",IF(ABS(W35)&gt;=1E9,"GB",IF(ABS(W35)&gt;=1E6,"MB",IF(ABS(W35)&gt;=1E3,"KB","bytes"))))))</f>
        <v>0.000 B</v>
      </c>
      <c r="G35" s="31" t="str">
        <f>TEXT(IF(ABS(X35)&gt;=1E12,X35/1E12,IF(ABS(X35)&gt;=1E9,X35/1E9,IF(ABS(X35)&gt;=1E6,X35/1E6,IF(ABS(X35)&gt;=1E3,X35/1E3,X35)))),"#,##0.000")&amp;IF((IF(ABS(X35)&gt;=1E12,"TB",IF(ABS(X35)&gt;=1E9,"GB",IF(ABS(X35)&gt;=1E6,"MB",IF(ABS(X35)&gt;=1E3,"KB","bytes")))))="",""," "&amp;(IF(ABS(X35)&gt;=1E12,"TB",IF(ABS(X35)&gt;=1E9,"GB",IF(ABS(X35)&gt;=1E6,"MB",IF(ABS(X35)&gt;=1E3,"KB","bytes"))))))</f>
        <v>50.987 MB</v>
      </c>
      <c r="H35" s="31" t="str">
        <f>TEXT(IF(ABS(Y35)&gt;=1E15,Y35/1E15,IF(ABS(Y35)&gt;=1E12,Y35/1E12,IF(ABS(Y35)&gt;=1E9,Y35/1E9,IF(ABS(Y35)&gt;=1E6,Y35/1E6,Y35)))),"#,##0.000")&amp;IF((IF(ABS(Y35)&gt;=1E15,"PFLOPs",IF(ABS(Y35)&gt;=1E12,"TFLOPs",IF(ABS(Y35)&gt;=1E9,"GFLOPs",IF(ABS(Y35)&gt;=1E6,"MFLOPs","flops")))))="",""," "&amp;(IF(ABS(Y35)&gt;=1E15,"PFLOPs",IF(ABS(Y35)&gt;=1E12,"TFLOPs",IF(ABS(Y35)&gt;=1E9,"GFLOPs",IF(ABS(Y35)&gt;=1E6,"MFLOPs","flops"))))))</f>
        <v>0.000 FLOPs</v>
      </c>
      <c r="I35" s="31" t="str">
        <f>TEXT(IF(ABS(Z35)&gt;=1E12,Z35/1E12,IF(ABS(Z35)&gt;=1E9,Z35/1E9,IF(ABS(Z35)&gt;=1E6,Z35/1E6,IF(ABS(Z35)&gt;=1E3,Z35/1E3,Z35)))),"#,##0.000")&amp;IF((IF(ABS(Z35)&gt;=1E12,"TB",IF(ABS(Z35)&gt;=1E9,"GB",IF(ABS(Z35)&gt;=1E6,"MB",IF(ABS(Z35)&gt;=1E3,"KB","bytes")))))="",""," "&amp;(IF(ABS(Z35)&gt;=1E12,"TB",IF(ABS(Z35)&gt;=1E9,"GB",IF(ABS(Z35)&gt;=1E6,"MB",IF(ABS(Z35)&gt;=1E3,"KB","bytes"))))))</f>
        <v>0.000 B</v>
      </c>
      <c r="J35" s="4" t="s">
        <v>245</v>
      </c>
      <c r="K35" s="4" t="s">
        <v>290</v>
      </c>
      <c r="L35" s="4" t="s">
        <v>291</v>
      </c>
      <c r="U35" s="30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  <c r="V35" s="30">
        <f>0</f>
        <v>0</v>
      </c>
      <c r="W35" s="30">
        <f>0</f>
        <v>0</v>
      </c>
      <c r="X35" s="30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  <c r="Y35" s="30">
        <f>0</f>
        <v>0</v>
      </c>
      <c r="Z35" s="30">
        <f>0</f>
        <v>0</v>
      </c>
    </row>
    <row r="36" spans="1:44">
      <c r="A36" s="4" t="s">
        <v>40</v>
      </c>
      <c r="B36" s="4" t="s">
        <v>292</v>
      </c>
      <c r="C36" s="4" t="s">
        <v>289</v>
      </c>
      <c r="D36" s="31" t="str">
        <f>TEXT(IF(ABS(U36)&gt;=1E12,U36/1E12,IF(ABS(U36)&gt;=1E9,U36/1E9,IF(ABS(U36)&gt;=1E6,U36/1E6,IF(ABS(U36)&gt;=1E3,U36/1E3,U36)))),"#,##0.000")&amp;IF((IF(ABS(U36)&gt;=1E12,"TB",IF(ABS(U36)&gt;=1E9,"GB",IF(ABS(U36)&gt;=1E6,"MB",IF(ABS(U36)&gt;=1E3,"KB","bytes")))))="",""," "&amp;(IF(ABS(U36)&gt;=1E12,"TB",IF(ABS(U36)&gt;=1E9,"GB",IF(ABS(U36)&gt;=1E6,"MB",IF(ABS(U36)&gt;=1E3,"KB","bytes"))))))</f>
        <v>11.010 MB</v>
      </c>
      <c r="E36" s="31" t="str">
        <f>TEXT(IF(ABS(V36)&gt;=1E15,V36/1E15,IF(ABS(V36)&gt;=1E12,V36/1E12,IF(ABS(V36)&gt;=1E9,V36/1E9,IF(ABS(V36)&gt;=1E6,V36/1E6,V36)))),"#,##0.000")&amp;IF((IF(ABS(V36)&gt;=1E15,"PFLOPs",IF(ABS(V36)&gt;=1E12,"TFLOPs",IF(ABS(V36)&gt;=1E9,"GFLOPs",IF(ABS(V36)&gt;=1E6,"MFLOPs","flops")))))="",""," "&amp;(IF(ABS(V36)&gt;=1E15,"PFLOPs",IF(ABS(V36)&gt;=1E12,"TFLOPs",IF(ABS(V36)&gt;=1E9,"GFLOPs",IF(ABS(V36)&gt;=1E6,"MFLOPs","flops"))))))</f>
        <v>0.000 FLOPs</v>
      </c>
      <c r="F36" s="31" t="str">
        <f>TEXT(IF(ABS(W36)&gt;=1E12,W36/1E12,IF(ABS(W36)&gt;=1E9,W36/1E9,IF(ABS(W36)&gt;=1E6,W36/1E6,IF(ABS(W36)&gt;=1E3,W36/1E3,W36)))),"#,##0.000")&amp;IF((IF(ABS(W36)&gt;=1E12,"TB",IF(ABS(W36)&gt;=1E9,"GB",IF(ABS(W36)&gt;=1E6,"MB",IF(ABS(W36)&gt;=1E3,"KB","bytes")))))="",""," "&amp;(IF(ABS(W36)&gt;=1E12,"TB",IF(ABS(W36)&gt;=1E9,"GB",IF(ABS(W36)&gt;=1E6,"MB",IF(ABS(W36)&gt;=1E3,"KB","bytes"))))))</f>
        <v>0.000 B</v>
      </c>
      <c r="G36" s="31" t="str">
        <f>TEXT(IF(ABS(X36)&gt;=1E12,X36/1E12,IF(ABS(X36)&gt;=1E9,X36/1E9,IF(ABS(X36)&gt;=1E6,X36/1E6,IF(ABS(X36)&gt;=1E3,X36/1E3,X36)))),"#,##0.000")&amp;IF((IF(ABS(X36)&gt;=1E12,"TB",IF(ABS(X36)&gt;=1E9,"GB",IF(ABS(X36)&gt;=1E6,"MB",IF(ABS(X36)&gt;=1E3,"KB","bytes")))))="",""," "&amp;(IF(ABS(X36)&gt;=1E12,"TB",IF(ABS(X36)&gt;=1E9,"GB",IF(ABS(X36)&gt;=1E6,"MB",IF(ABS(X36)&gt;=1E3,"KB","bytes"))))))</f>
        <v>11.010 MB</v>
      </c>
      <c r="H36" s="31" t="str">
        <f>TEXT(IF(ABS(Y36)&gt;=1E15,Y36/1E15,IF(ABS(Y36)&gt;=1E12,Y36/1E12,IF(ABS(Y36)&gt;=1E9,Y36/1E9,IF(ABS(Y36)&gt;=1E6,Y36/1E6,Y36)))),"#,##0.000")&amp;IF((IF(ABS(Y36)&gt;=1E15,"PFLOPs",IF(ABS(Y36)&gt;=1E12,"TFLOPs",IF(ABS(Y36)&gt;=1E9,"GFLOPs",IF(ABS(Y36)&gt;=1E6,"MFLOPs","flops")))))="",""," "&amp;(IF(ABS(Y36)&gt;=1E15,"PFLOPs",IF(ABS(Y36)&gt;=1E12,"TFLOPs",IF(ABS(Y36)&gt;=1E9,"GFLOPs",IF(ABS(Y36)&gt;=1E6,"MFLOPs","flops"))))))</f>
        <v>0.000 FLOPs</v>
      </c>
      <c r="I36" s="31" t="str">
        <f>TEXT(IF(ABS(Z36)&gt;=1E12,Z36/1E12,IF(ABS(Z36)&gt;=1E9,Z36/1E9,IF(ABS(Z36)&gt;=1E6,Z36/1E6,IF(ABS(Z36)&gt;=1E3,Z36/1E3,Z36)))),"#,##0.000")&amp;IF((IF(ABS(Z36)&gt;=1E12,"TB",IF(ABS(Z36)&gt;=1E9,"GB",IF(ABS(Z36)&gt;=1E6,"MB",IF(ABS(Z36)&gt;=1E3,"KB","bytes")))))="",""," "&amp;(IF(ABS(Z36)&gt;=1E12,"TB",IF(ABS(Z36)&gt;=1E9,"GB",IF(ABS(Z36)&gt;=1E6,"MB",IF(ABS(Z36)&gt;=1E3,"KB","bytes"))))))</f>
        <v>0.000 B</v>
      </c>
      <c r="J36" s="4" t="s">
        <v>245</v>
      </c>
      <c r="K36" s="4" t="s">
        <v>293</v>
      </c>
      <c r="L36" s="4" t="s">
        <v>294</v>
      </c>
      <c r="U36" s="30">
        <f>PrefillBatch*ShortLayers*INT(PrefillSequence/ShortRatio)*IndexHeadDim*BF16Bytes</f>
        <v>11010048</v>
      </c>
      <c r="V36" s="30">
        <f>0</f>
        <v>0</v>
      </c>
      <c r="W36" s="30">
        <f>0</f>
        <v>0</v>
      </c>
      <c r="X36" s="30">
        <f>PrefillBatch*ShortLayers*INT(PrefillSequence/ShortRatio)*IndexHeadDim*BF16Bytes</f>
        <v>11010048</v>
      </c>
      <c r="Y36" s="30">
        <f>0</f>
        <v>0</v>
      </c>
      <c r="Z36" s="30">
        <f>0</f>
        <v>0</v>
      </c>
    </row>
    <row r="37" spans="1:44">
      <c r="A37" s="4" t="s">
        <v>40</v>
      </c>
      <c r="B37" s="4" t="s">
        <v>295</v>
      </c>
      <c r="C37" s="4" t="s">
        <v>289</v>
      </c>
      <c r="D37" s="31" t="str">
        <f>TEXT(IF(ABS(U37)&gt;=1E12,U37/1E12,IF(ABS(U37)&gt;=1E9,U37/1E9,IF(ABS(U37)&gt;=1E6,U37/1E6,IF(ABS(U37)&gt;=1E3,U37/1E3,U37)))),"#,##0.000")&amp;IF((IF(ABS(U37)&gt;=1E12,"TB",IF(ABS(U37)&gt;=1E9,"GB",IF(ABS(U37)&gt;=1E6,"MB",IF(ABS(U37)&gt;=1E3,"KB","bytes")))))="",""," "&amp;(IF(ABS(U37)&gt;=1E12,"TB",IF(ABS(U37)&gt;=1E9,"GB",IF(ABS(U37)&gt;=1E6,"MB",IF(ABS(U37)&gt;=1E3,"KB","bytes"))))))</f>
        <v>12.206 MB</v>
      </c>
      <c r="E37" s="31" t="str">
        <f>TEXT(IF(ABS(V37)&gt;=1E15,V37/1E15,IF(ABS(V37)&gt;=1E12,V37/1E12,IF(ABS(V37)&gt;=1E9,V37/1E9,IF(ABS(V37)&gt;=1E6,V37/1E6,V37)))),"#,##0.000")&amp;IF((IF(ABS(V37)&gt;=1E15,"PFLOPs",IF(ABS(V37)&gt;=1E12,"TFLOPs",IF(ABS(V37)&gt;=1E9,"GFLOPs",IF(ABS(V37)&gt;=1E6,"MFLOPs","flops")))))="",""," "&amp;(IF(ABS(V37)&gt;=1E15,"PFLOPs",IF(ABS(V37)&gt;=1E12,"TFLOPs",IF(ABS(V37)&gt;=1E9,"GFLOPs",IF(ABS(V37)&gt;=1E6,"MFLOPs","flops"))))))</f>
        <v>0.000 FLOPs</v>
      </c>
      <c r="F37" s="31" t="str">
        <f>TEXT(IF(ABS(W37)&gt;=1E12,W37/1E12,IF(ABS(W37)&gt;=1E9,W37/1E9,IF(ABS(W37)&gt;=1E6,W37/1E6,IF(ABS(W37)&gt;=1E3,W37/1E3,W37)))),"#,##0.000")&amp;IF((IF(ABS(W37)&gt;=1E12,"TB",IF(ABS(W37)&gt;=1E9,"GB",IF(ABS(W37)&gt;=1E6,"MB",IF(ABS(W37)&gt;=1E3,"KB","bytes")))))="",""," "&amp;(IF(ABS(W37)&gt;=1E12,"TB",IF(ABS(W37)&gt;=1E9,"GB",IF(ABS(W37)&gt;=1E6,"MB",IF(ABS(W37)&gt;=1E3,"KB","bytes"))))))</f>
        <v>0.000 B</v>
      </c>
      <c r="G37" s="31" t="str">
        <f>TEXT(IF(ABS(X37)&gt;=1E12,X37/1E12,IF(ABS(X37)&gt;=1E9,X37/1E9,IF(ABS(X37)&gt;=1E6,X37/1E6,IF(ABS(X37)&gt;=1E3,X37/1E3,X37)))),"#,##0.000")&amp;IF((IF(ABS(X37)&gt;=1E12,"TB",IF(ABS(X37)&gt;=1E9,"GB",IF(ABS(X37)&gt;=1E6,"MB",IF(ABS(X37)&gt;=1E3,"KB","bytes")))))="",""," "&amp;(IF(ABS(X37)&gt;=1E12,"TB",IF(ABS(X37)&gt;=1E9,"GB",IF(ABS(X37)&gt;=1E6,"MB",IF(ABS(X37)&gt;=1E3,"KB","bytes"))))))</f>
        <v>12.206 MB</v>
      </c>
      <c r="H37" s="31" t="str">
        <f>TEXT(IF(ABS(Y37)&gt;=1E15,Y37/1E15,IF(ABS(Y37)&gt;=1E12,Y37/1E12,IF(ABS(Y37)&gt;=1E9,Y37/1E9,IF(ABS(Y37)&gt;=1E6,Y37/1E6,Y37)))),"#,##0.000")&amp;IF((IF(ABS(Y37)&gt;=1E15,"PFLOPs",IF(ABS(Y37)&gt;=1E12,"TFLOPs",IF(ABS(Y37)&gt;=1E9,"GFLOPs",IF(ABS(Y37)&gt;=1E6,"MFLOPs","flops")))))="",""," "&amp;(IF(ABS(Y37)&gt;=1E15,"PFLOPs",IF(ABS(Y37)&gt;=1E12,"TFLOPs",IF(ABS(Y37)&gt;=1E9,"GFLOPs",IF(ABS(Y37)&gt;=1E6,"MFLOPs","flops"))))))</f>
        <v>0.000 FLOPs</v>
      </c>
      <c r="I37" s="31" t="str">
        <f>TEXT(IF(ABS(Z37)&gt;=1E12,Z37/1E12,IF(ABS(Z37)&gt;=1E9,Z37/1E9,IF(ABS(Z37)&gt;=1E6,Z37/1E6,IF(ABS(Z37)&gt;=1E3,Z37/1E3,Z37)))),"#,##0.000")&amp;IF((IF(ABS(Z37)&gt;=1E12,"TB",IF(ABS(Z37)&gt;=1E9,"GB",IF(ABS(Z37)&gt;=1E6,"MB",IF(ABS(Z37)&gt;=1E3,"KB","bytes")))))="",""," "&amp;(IF(ABS(Z37)&gt;=1E12,"TB",IF(ABS(Z37)&gt;=1E9,"GB",IF(ABS(Z37)&gt;=1E6,"MB",IF(ABS(Z37)&gt;=1E3,"KB","bytes"))))))</f>
        <v>0.000 B</v>
      </c>
      <c r="J37" s="4" t="s">
        <v>245</v>
      </c>
      <c r="K37" s="4" t="s">
        <v>296</v>
      </c>
      <c r="L37" s="4" t="s">
        <v>297</v>
      </c>
      <c r="U37" s="30">
        <f>PrefillBatch*FP32Bytes*(ShortLayers*2*(2*ShortRatio)*(2*HeadDim)+LongLayers*2*LongRatio*HeadDim+ShortLayers*2*(2*ShortRatio)*(2*IndexHeadDim))</f>
        <v>12206080</v>
      </c>
      <c r="V37" s="30">
        <f>0</f>
        <v>0</v>
      </c>
      <c r="W37" s="30">
        <f>0</f>
        <v>0</v>
      </c>
      <c r="X37" s="30">
        <f>PrefillBatch*FP32Bytes*(ShortLayers*2*(2*ShortRatio)*(2*HeadDim)+LongLayers*2*LongRatio*HeadDim+ShortLayers*2*(2*ShortRatio)*(2*IndexHeadDim))</f>
        <v>12206080</v>
      </c>
      <c r="Y37" s="30">
        <f>0</f>
        <v>0</v>
      </c>
      <c r="Z37" s="30">
        <f>0</f>
        <v>0</v>
      </c>
    </row>
    <row r="38" spans="1:44">
      <c r="A38" s="4" t="s">
        <v>40</v>
      </c>
      <c r="B38" s="4" t="s">
        <v>298</v>
      </c>
      <c r="C38" s="4" t="s">
        <v>289</v>
      </c>
      <c r="D38" s="31" t="str">
        <f>TEXT(IF(ABS(U38)&gt;=1E12,U38/1E12,IF(ABS(U38)&gt;=1E9,U38/1E9,IF(ABS(U38)&gt;=1E6,U38/1E6,IF(ABS(U38)&gt;=1E3,U38/1E3,U38)))),"#,##0.000")&amp;IF((IF(ABS(U38)&gt;=1E12,"TB",IF(ABS(U38)&gt;=1E9,"GB",IF(ABS(U38)&gt;=1E6,"MB",IF(ABS(U38)&gt;=1E3,"KB","bytes")))))="",""," "&amp;(IF(ABS(U38)&gt;=1E12,"TB",IF(ABS(U38)&gt;=1E9,"GB",IF(ABS(U38)&gt;=1E6,"MB",IF(ABS(U38)&gt;=1E3,"KB","bytes"))))))</f>
        <v>7.232 GB</v>
      </c>
      <c r="E38" s="31" t="str">
        <f>TEXT(IF(ABS(V38)&gt;=1E15,V38/1E15,IF(ABS(V38)&gt;=1E12,V38/1E12,IF(ABS(V38)&gt;=1E9,V38/1E9,IF(ABS(V38)&gt;=1E6,V38/1E6,V38)))),"#,##0.000")&amp;IF((IF(ABS(V38)&gt;=1E15,"PFLOPs",IF(ABS(V38)&gt;=1E12,"TFLOPs",IF(ABS(V38)&gt;=1E9,"GFLOPs",IF(ABS(V38)&gt;=1E6,"MFLOPs","flops")))))="",""," "&amp;(IF(ABS(V38)&gt;=1E15,"PFLOPs",IF(ABS(V38)&gt;=1E12,"TFLOPs",IF(ABS(V38)&gt;=1E9,"GFLOPs",IF(ABS(V38)&gt;=1E6,"MFLOPs","flops"))))))</f>
        <v>0.000 FLOPs</v>
      </c>
      <c r="F38" s="31" t="str">
        <f>TEXT(IF(ABS(W38)&gt;=1E12,W38/1E12,IF(ABS(W38)&gt;=1E9,W38/1E9,IF(ABS(W38)&gt;=1E6,W38/1E6,IF(ABS(W38)&gt;=1E3,W38/1E3,W38)))),"#,##0.000")&amp;IF((IF(ABS(W38)&gt;=1E12,"TB",IF(ABS(W38)&gt;=1E9,"GB",IF(ABS(W38)&gt;=1E6,"MB",IF(ABS(W38)&gt;=1E3,"KB","bytes")))))="",""," "&amp;(IF(ABS(W38)&gt;=1E12,"TB",IF(ABS(W38)&gt;=1E9,"GB",IF(ABS(W38)&gt;=1E6,"MB",IF(ABS(W38)&gt;=1E3,"KB","bytes"))))))</f>
        <v>0.000 B</v>
      </c>
      <c r="G38" s="31" t="str">
        <f>TEXT(IF(ABS(X38)&gt;=1E12,X38/1E12,IF(ABS(X38)&gt;=1E9,X38/1E9,IF(ABS(X38)&gt;=1E6,X38/1E6,IF(ABS(X38)&gt;=1E3,X38/1E3,X38)))),"#,##0.000")&amp;IF((IF(ABS(X38)&gt;=1E12,"TB",IF(ABS(X38)&gt;=1E9,"GB",IF(ABS(X38)&gt;=1E6,"MB",IF(ABS(X38)&gt;=1E3,"KB","bytes")))))="",""," "&amp;(IF(ABS(X38)&gt;=1E12,"TB",IF(ABS(X38)&gt;=1E9,"GB",IF(ABS(X38)&gt;=1E6,"MB",IF(ABS(X38)&gt;=1E3,"KB","bytes"))))))</f>
        <v>7.232 GB</v>
      </c>
      <c r="H38" s="31" t="str">
        <f>TEXT(IF(ABS(Y38)&gt;=1E15,Y38/1E15,IF(ABS(Y38)&gt;=1E12,Y38/1E12,IF(ABS(Y38)&gt;=1E9,Y38/1E9,IF(ABS(Y38)&gt;=1E6,Y38/1E6,Y38)))),"#,##0.000")&amp;IF((IF(ABS(Y38)&gt;=1E15,"PFLOPs",IF(ABS(Y38)&gt;=1E12,"TFLOPs",IF(ABS(Y38)&gt;=1E9,"GFLOPs",IF(ABS(Y38)&gt;=1E6,"MFLOPs","flops")))))="",""," "&amp;(IF(ABS(Y38)&gt;=1E15,"PFLOPs",IF(ABS(Y38)&gt;=1E12,"TFLOPs",IF(ABS(Y38)&gt;=1E9,"GFLOPs",IF(ABS(Y38)&gt;=1E6,"MFLOPs","flops"))))))</f>
        <v>0.000 FLOPs</v>
      </c>
      <c r="I38" s="31" t="str">
        <f>TEXT(IF(ABS(Z38)&gt;=1E12,Z38/1E12,IF(ABS(Z38)&gt;=1E9,Z38/1E9,IF(ABS(Z38)&gt;=1E6,Z38/1E6,IF(ABS(Z38)&gt;=1E3,Z38/1E3,Z38)))),"#,##0.000")&amp;IF((IF(ABS(Z38)&gt;=1E12,"TB",IF(ABS(Z38)&gt;=1E9,"GB",IF(ABS(Z38)&gt;=1E6,"MB",IF(ABS(Z38)&gt;=1E3,"KB","bytes")))))="",""," "&amp;(IF(ABS(Z38)&gt;=1E12,"TB",IF(ABS(Z38)&gt;=1E9,"GB",IF(ABS(Z38)&gt;=1E6,"MB",IF(ABS(Z38)&gt;=1E3,"KB","bytes"))))))</f>
        <v>0.000 B</v>
      </c>
      <c r="J38" s="4" t="s">
        <v>245</v>
      </c>
      <c r="K38" s="4" t="s">
        <v>299</v>
      </c>
      <c r="L38" s="4" t="s">
        <v>300</v>
      </c>
      <c r="U38" s="30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  <c r="V38" s="30">
        <f>0</f>
        <v>0</v>
      </c>
      <c r="W38" s="30">
        <f>0</f>
        <v>0</v>
      </c>
      <c r="X38" s="30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  <c r="Y38" s="30">
        <f>0</f>
        <v>0</v>
      </c>
      <c r="Z38" s="30">
        <f>0</f>
        <v>0</v>
      </c>
    </row>
    <row r="39" spans="1:44">
      <c r="A39" s="4" t="s">
        <v>59</v>
      </c>
      <c r="B39" s="4" t="s">
        <v>301</v>
      </c>
      <c r="C39" s="4" t="s">
        <v>254</v>
      </c>
      <c r="D39" s="31" t="str">
        <f>TEXT(IF(ABS(U39)&gt;=1E12,U39/1E12,IF(ABS(U39)&gt;=1E9,U39/1E9,IF(ABS(U39)&gt;=1E6,U39/1E6,IF(ABS(U39)&gt;=1E3,U39/1E3,U39)))),"#,##0.000")&amp;IF((IF(ABS(U39)&gt;=1E12,"TB",IF(ABS(U39)&gt;=1E9,"GB",IF(ABS(U39)&gt;=1E6,"MB",IF(ABS(U39)&gt;=1E3,"KB","bytes")))))="",""," "&amp;(IF(ABS(U39)&gt;=1E12,"TB",IF(ABS(U39)&gt;=1E9,"GB",IF(ABS(U39)&gt;=1E6,"MB",IF(ABS(U39)&gt;=1E3,"KB","bytes"))))))</f>
        <v>99.527 MB</v>
      </c>
      <c r="E39" s="31" t="str">
        <f>TEXT(IF(ABS(V39)&gt;=1E15,V39/1E15,IF(ABS(V39)&gt;=1E12,V39/1E12,IF(ABS(V39)&gt;=1E9,V39/1E9,IF(ABS(V39)&gt;=1E6,V39/1E6,V39)))),"#,##0.000")&amp;IF((IF(ABS(V39)&gt;=1E15,"PFLOPs",IF(ABS(V39)&gt;=1E12,"TFLOPs",IF(ABS(V39)&gt;=1E9,"GFLOPs",IF(ABS(V39)&gt;=1E6,"MFLOPs","flops")))))="",""," "&amp;(IF(ABS(V39)&gt;=1E15,"PFLOPs",IF(ABS(V39)&gt;=1E12,"TFLOPs",IF(ABS(V39)&gt;=1E9,"GFLOPs",IF(ABS(V39)&gt;=1E6,"MFLOPs","flops"))))))</f>
        <v>738.734 GFLOPs</v>
      </c>
      <c r="F39" s="31" t="str">
        <f>TEXT(IF(ABS(W39)&gt;=1E12,W39/1E12,IF(ABS(W39)&gt;=1E9,W39/1E9,IF(ABS(W39)&gt;=1E6,W39/1E6,IF(ABS(W39)&gt;=1E3,W39/1E3,W39)))),"#,##0.000")&amp;IF((IF(ABS(W39)&gt;=1E12,"TB",IF(ABS(W39)&gt;=1E9,"GB",IF(ABS(W39)&gt;=1E6,"MB",IF(ABS(W39)&gt;=1E3,"KB","bytes")))))="",""," "&amp;(IF(ABS(W39)&gt;=1E12,"TB",IF(ABS(W39)&gt;=1E9,"GB",IF(ABS(W39)&gt;=1E6,"MB",IF(ABS(W39)&gt;=1E3,"KB","bytes"))))))</f>
        <v>0.000 B</v>
      </c>
      <c r="G39" s="31" t="str">
        <f>TEXT(IF(ABS(X39)&gt;=1E12,X39/1E12,IF(ABS(X39)&gt;=1E9,X39/1E9,IF(ABS(X39)&gt;=1E6,X39/1E6,IF(ABS(X39)&gt;=1E3,X39/1E3,X39)))),"#,##0.000")&amp;IF((IF(ABS(X39)&gt;=1E12,"TB",IF(ABS(X39)&gt;=1E9,"GB",IF(ABS(X39)&gt;=1E6,"MB",IF(ABS(X39)&gt;=1E3,"KB","bytes")))))="",""," "&amp;(IF(ABS(X39)&gt;=1E12,"TB",IF(ABS(X39)&gt;=1E9,"GB",IF(ABS(X39)&gt;=1E6,"MB",IF(ABS(X39)&gt;=1E3,"KB","bytes"))))))</f>
        <v>99.527 MB</v>
      </c>
      <c r="H39" s="31" t="str">
        <f>TEXT(IF(ABS(Y39)&gt;=1E15,Y39/1E15,IF(ABS(Y39)&gt;=1E12,Y39/1E12,IF(ABS(Y39)&gt;=1E9,Y39/1E9,IF(ABS(Y39)&gt;=1E6,Y39/1E6,Y39)))),"#,##0.000")&amp;IF((IF(ABS(Y39)&gt;=1E15,"PFLOPs",IF(ABS(Y39)&gt;=1E12,"TFLOPs",IF(ABS(Y39)&gt;=1E9,"GFLOPs",IF(ABS(Y39)&gt;=1E6,"MFLOPs","flops")))))="",""," "&amp;(IF(ABS(Y39)&gt;=1E15,"PFLOPs",IF(ABS(Y39)&gt;=1E12,"TFLOPs",IF(ABS(Y39)&gt;=1E9,"GFLOPs",IF(ABS(Y39)&gt;=1E6,"MFLOPs","flops"))))))</f>
        <v>738.734 GFLOPs</v>
      </c>
      <c r="I39" s="31" t="str">
        <f>TEXT(IF(ABS(Z39)&gt;=1E12,Z39/1E12,IF(ABS(Z39)&gt;=1E9,Z39/1E9,IF(ABS(Z39)&gt;=1E6,Z39/1E6,IF(ABS(Z39)&gt;=1E3,Z39/1E3,Z39)))),"#,##0.000")&amp;IF((IF(ABS(Z39)&gt;=1E12,"TB",IF(ABS(Z39)&gt;=1E9,"GB",IF(ABS(Z39)&gt;=1E6,"MB",IF(ABS(Z39)&gt;=1E3,"KB","bytes")))))="",""," "&amp;(IF(ABS(Z39)&gt;=1E12,"TB",IF(ABS(Z39)&gt;=1E9,"GB",IF(ABS(Z39)&gt;=1E6,"MB",IF(ABS(Z39)&gt;=1E3,"KB","bytes"))))))</f>
        <v>0.000 B</v>
      </c>
      <c r="J39" s="4" t="s">
        <v>302</v>
      </c>
      <c r="K39" s="4" t="s">
        <v>303</v>
      </c>
      <c r="L39" s="4" t="s">
        <v>304</v>
      </c>
      <c r="U39" s="30">
        <f>TotalLayers*RoutedExperts*HiddenSize*BF16Bytes+(TotalLayers-ActiveHashLayers)*RoutedExperts*FP32Bytes+ActiveHashLayers*VocabSize*ActivatedExperts*INT32Bytes</f>
        <v>99526656</v>
      </c>
      <c r="V39" s="30">
        <f>2*PF_Rows*TotalLayers*HiddenSize*RoutedExperts</f>
        <v>738734374912</v>
      </c>
      <c r="W39" s="30">
        <f>0</f>
        <v>0</v>
      </c>
      <c r="X39" s="30">
        <f>TotalLayers*RoutedExperts*HiddenSize*BF16Bytes+(TotalLayers-ActiveHashLayers)*RoutedExperts*FP32Bytes+ActiveHashLayers*VocabSize*ActivatedExperts*INT32Bytes</f>
        <v>99526656</v>
      </c>
      <c r="Y39" s="30">
        <f>2*PF_Rows*TotalLayers*HiddenSize*RoutedExperts</f>
        <v>738734374912</v>
      </c>
      <c r="Z39" s="30">
        <f>0</f>
        <v>0</v>
      </c>
    </row>
    <row r="40" spans="1:44">
      <c r="A40" s="4" t="s">
        <v>59</v>
      </c>
      <c r="B40" s="4" t="s">
        <v>305</v>
      </c>
      <c r="C40" s="4" t="s">
        <v>254</v>
      </c>
      <c r="D40" s="31" t="str">
        <f>TEXT(IF(ABS(U40)&gt;=1E12,U40/1E12,IF(ABS(U40)&gt;=1E9,U40/1E9,IF(ABS(U40)&gt;=1E6,U40/1E6,IF(ABS(U40)&gt;=1E3,U40/1E3,U40)))),"#,##0.000")&amp;IF((IF(ABS(U40)&gt;=1E12,"TB",IF(ABS(U40)&gt;=1E9,"GB",IF(ABS(U40)&gt;=1E6,"MB",IF(ABS(U40)&gt;=1E3,"KB","bytes")))))="",""," "&amp;(IF(ABS(U40)&gt;=1E12,"TB",IF(ABS(U40)&gt;=1E9,"GB",IF(ABS(U40)&gt;=1E6,"MB",IF(ABS(U40)&gt;=1E3,"KB","bytes"))))))</f>
        <v>147.170 GB</v>
      </c>
      <c r="E40" s="31" t="str">
        <f>TEXT(IF(ABS(V40)&gt;=1E15,V40/1E15,IF(ABS(V40)&gt;=1E12,V40/1E12,IF(ABS(V40)&gt;=1E9,V40/1E9,IF(ABS(V40)&gt;=1E6,V40/1E6,V40)))),"#,##0.000")&amp;IF((IF(ABS(V40)&gt;=1E15,"PFLOPs",IF(ABS(V40)&gt;=1E12,"TFLOPs",IF(ABS(V40)&gt;=1E9,"GFLOPs",IF(ABS(V40)&gt;=1E6,"MFLOPs","flops")))))="",""," "&amp;(IF(ABS(V40)&gt;=1E15,"PFLOPs",IF(ABS(V40)&gt;=1E12,"TFLOPs",IF(ABS(V40)&gt;=1E9,"GFLOPs",IF(ABS(V40)&gt;=1E6,"MFLOPs","flops"))))))</f>
        <v>106.378 TFLOPs</v>
      </c>
      <c r="F40" s="31" t="str">
        <f>TEXT(IF(ABS(W40)&gt;=1E12,W40/1E12,IF(ABS(W40)&gt;=1E9,W40/1E9,IF(ABS(W40)&gt;=1E6,W40/1E6,IF(ABS(W40)&gt;=1E3,W40/1E3,W40)))),"#,##0.000")&amp;IF((IF(ABS(W40)&gt;=1E12,"TB",IF(ABS(W40)&gt;=1E9,"GB",IF(ABS(W40)&gt;=1E6,"MB",IF(ABS(W40)&gt;=1E3,"KB","bytes")))))="",""," "&amp;(IF(ABS(W40)&gt;=1E12,"TB",IF(ABS(W40)&gt;=1E9,"GB",IF(ABS(W40)&gt;=1E6,"MB",IF(ABS(W40)&gt;=1E3,"KB","bytes"))))))</f>
        <v>0.000 B</v>
      </c>
      <c r="G40" s="31" t="str">
        <f>TEXT(IF(ABS(X40)&gt;=1E12,X40/1E12,IF(ABS(X40)&gt;=1E9,X40/1E9,IF(ABS(X40)&gt;=1E6,X40/1E6,IF(ABS(X40)&gt;=1E3,X40/1E3,X40)))),"#,##0.000")&amp;IF((IF(ABS(X40)&gt;=1E12,"TB",IF(ABS(X40)&gt;=1E9,"GB",IF(ABS(X40)&gt;=1E6,"MB",IF(ABS(X40)&gt;=1E3,"KB","bytes")))))="",""," "&amp;(IF(ABS(X40)&gt;=1E12,"TB",IF(ABS(X40)&gt;=1E9,"GB",IF(ABS(X40)&gt;=1E6,"MB",IF(ABS(X40)&gt;=1E3,"KB","bytes"))))))</f>
        <v>18.396 GB</v>
      </c>
      <c r="H40" s="31" t="str">
        <f>TEXT(IF(ABS(Y40)&gt;=1E15,Y40/1E15,IF(ABS(Y40)&gt;=1E12,Y40/1E12,IF(ABS(Y40)&gt;=1E9,Y40/1E9,IF(ABS(Y40)&gt;=1E6,Y40/1E6,Y40)))),"#,##0.000")&amp;IF((IF(ABS(Y40)&gt;=1E15,"PFLOPs",IF(ABS(Y40)&gt;=1E12,"TFLOPs",IF(ABS(Y40)&gt;=1E9,"GFLOPs",IF(ABS(Y40)&gt;=1E6,"MFLOPs","flops")))))="",""," "&amp;(IF(ABS(Y40)&gt;=1E15,"PFLOPs",IF(ABS(Y40)&gt;=1E12,"TFLOPs",IF(ABS(Y40)&gt;=1E9,"GFLOPs",IF(ABS(Y40)&gt;=1E6,"MFLOPs","flops"))))))</f>
        <v>13.297 TFLOPs</v>
      </c>
      <c r="I40" s="31" t="str">
        <f>TEXT(IF(ABS(Z40)&gt;=1E12,Z40/1E12,IF(ABS(Z40)&gt;=1E9,Z40/1E9,IF(ABS(Z40)&gt;=1E6,Z40/1E6,IF(ABS(Z40)&gt;=1E3,Z40/1E3,Z40)))),"#,##0.000")&amp;IF((IF(ABS(Z40)&gt;=1E12,"TB",IF(ABS(Z40)&gt;=1E9,"GB",IF(ABS(Z40)&gt;=1E6,"MB",IF(ABS(Z40)&gt;=1E3,"KB","bytes")))))="",""," "&amp;(IF(ABS(Z40)&gt;=1E12,"TB",IF(ABS(Z40)&gt;=1E9,"GB",IF(ABS(Z40)&gt;=1E6,"MB",IF(ABS(Z40)&gt;=1E3,"KB","bytes"))))))</f>
        <v>0.000 B</v>
      </c>
      <c r="J40" s="4" t="s">
        <v>306</v>
      </c>
      <c r="K40" s="4" t="s">
        <v>307</v>
      </c>
      <c r="L40" s="4" t="s">
        <v>308</v>
      </c>
      <c r="U40" s="30">
        <f>TotalLayers*TP1LocalExperts*(3*HiddenSize*ExpertInter*FP4Bytes+3*HiddenSize*ExpertInter/FP4Block*ScaleBytes)</f>
        <v>147169738752.0</v>
      </c>
      <c r="V40" s="30">
        <f>PF_Rows*TotalLayers*(ActivatedExperts/TP1Size)*6*HiddenSize*ExpertInter</f>
        <v>106377749987328.0</v>
      </c>
      <c r="W40" s="30">
        <f>0</f>
        <v>0</v>
      </c>
      <c r="X40" s="30">
        <f>TotalLayers*TP8LocalExperts*(3*HiddenSize*ExpertInter*FP4Bytes+3*HiddenSize*ExpertInter/FP4Block*ScaleBytes)</f>
        <v>18396217344.0</v>
      </c>
      <c r="Y40" s="30">
        <f>PF_Rows*TotalLayers*(ActivatedExperts/TP8Size)*6*HiddenSize*ExpertInter</f>
        <v>13297218748416.0</v>
      </c>
      <c r="Z40" s="30">
        <f>0</f>
        <v>0</v>
      </c>
    </row>
    <row r="41" spans="1:44">
      <c r="A41" s="4" t="s">
        <v>59</v>
      </c>
      <c r="B41" s="4" t="s">
        <v>309</v>
      </c>
      <c r="C41" s="4" t="s">
        <v>254</v>
      </c>
      <c r="D41" s="31" t="str">
        <f>TEXT(IF(ABS(U41)&gt;=1E12,U41/1E12,IF(ABS(U41)&gt;=1E9,U41/1E9,IF(ABS(U41)&gt;=1E6,U41/1E6,IF(ABS(U41)&gt;=1E3,U41/1E3,U41)))),"#,##0.000")&amp;IF((IF(ABS(U41)&gt;=1E12,"TB",IF(ABS(U41)&gt;=1E9,"GB",IF(ABS(U41)&gt;=1E6,"MB",IF(ABS(U41)&gt;=1E3,"KB","bytes")))))="",""," "&amp;(IF(ABS(U41)&gt;=1E12,"TB",IF(ABS(U41)&gt;=1E9,"GB",IF(ABS(U41)&gt;=1E6,"MB",IF(ABS(U41)&gt;=1E3,"KB","bytes"))))))</f>
        <v>1.082 GB</v>
      </c>
      <c r="E41" s="31" t="str">
        <f>TEXT(IF(ABS(V41)&gt;=1E15,V41/1E15,IF(ABS(V41)&gt;=1E12,V41/1E12,IF(ABS(V41)&gt;=1E9,V41/1E9,IF(ABS(V41)&gt;=1E6,V41/1E6,V41)))),"#,##0.000")&amp;IF((IF(ABS(V41)&gt;=1E15,"PFLOPs",IF(ABS(V41)&gt;=1E12,"TFLOPs",IF(ABS(V41)&gt;=1E9,"GFLOPs",IF(ABS(V41)&gt;=1E6,"MFLOPs","flops")))))="",""," "&amp;(IF(ABS(V41)&gt;=1E15,"PFLOPs",IF(ABS(V41)&gt;=1E12,"TFLOPs",IF(ABS(V41)&gt;=1E9,"GFLOPs",IF(ABS(V41)&gt;=1E6,"MFLOPs","flops"))))))</f>
        <v>17.730 TFLOPs</v>
      </c>
      <c r="F41" s="31" t="str">
        <f>TEXT(IF(ABS(W41)&gt;=1E12,W41/1E12,IF(ABS(W41)&gt;=1E9,W41/1E9,IF(ABS(W41)&gt;=1E6,W41/1E6,IF(ABS(W41)&gt;=1E3,W41/1E3,W41)))),"#,##0.000")&amp;IF((IF(ABS(W41)&gt;=1E12,"TB",IF(ABS(W41)&gt;=1E9,"GB",IF(ABS(W41)&gt;=1E6,"MB",IF(ABS(W41)&gt;=1E3,"KB","bytes")))))="",""," "&amp;(IF(ABS(W41)&gt;=1E12,"TB",IF(ABS(W41)&gt;=1E9,"GB",IF(ABS(W41)&gt;=1E6,"MB",IF(ABS(W41)&gt;=1E3,"KB","bytes"))))))</f>
        <v>0.000 B</v>
      </c>
      <c r="G41" s="31" t="str">
        <f>TEXT(IF(ABS(X41)&gt;=1E12,X41/1E12,IF(ABS(X41)&gt;=1E9,X41/1E9,IF(ABS(X41)&gt;=1E6,X41/1E6,IF(ABS(X41)&gt;=1E3,X41/1E3,X41)))),"#,##0.000")&amp;IF((IF(ABS(X41)&gt;=1E12,"TB",IF(ABS(X41)&gt;=1E9,"GB",IF(ABS(X41)&gt;=1E6,"MB",IF(ABS(X41)&gt;=1E3,"KB","bytes")))))="",""," "&amp;(IF(ABS(X41)&gt;=1E12,"TB",IF(ABS(X41)&gt;=1E9,"GB",IF(ABS(X41)&gt;=1E6,"MB",IF(ABS(X41)&gt;=1E3,"KB","bytes"))))))</f>
        <v>1.082 GB</v>
      </c>
      <c r="H41" s="31" t="str">
        <f>TEXT(IF(ABS(Y41)&gt;=1E15,Y41/1E15,IF(ABS(Y41)&gt;=1E12,Y41/1E12,IF(ABS(Y41)&gt;=1E9,Y41/1E9,IF(ABS(Y41)&gt;=1E6,Y41/1E6,Y41)))),"#,##0.000")&amp;IF((IF(ABS(Y41)&gt;=1E15,"PFLOPs",IF(ABS(Y41)&gt;=1E12,"TFLOPs",IF(ABS(Y41)&gt;=1E9,"GFLOPs",IF(ABS(Y41)&gt;=1E6,"MFLOPs","flops")))))="",""," "&amp;(IF(ABS(Y41)&gt;=1E15,"PFLOPs",IF(ABS(Y41)&gt;=1E12,"TFLOPs",IF(ABS(Y41)&gt;=1E9,"GFLOPs",IF(ABS(Y41)&gt;=1E6,"MFLOPs","flops"))))))</f>
        <v>17.730 TFLOPs</v>
      </c>
      <c r="I41" s="31" t="str">
        <f>TEXT(IF(ABS(Z41)&gt;=1E12,Z41/1E12,IF(ABS(Z41)&gt;=1E9,Z41/1E9,IF(ABS(Z41)&gt;=1E6,Z41/1E6,IF(ABS(Z41)&gt;=1E3,Z41/1E3,Z41)))),"#,##0.000")&amp;IF((IF(ABS(Z41)&gt;=1E12,"TB",IF(ABS(Z41)&gt;=1E9,"GB",IF(ABS(Z41)&gt;=1E6,"MB",IF(ABS(Z41)&gt;=1E3,"KB","bytes")))))="",""," "&amp;(IF(ABS(Z41)&gt;=1E12,"TB",IF(ABS(Z41)&gt;=1E9,"GB",IF(ABS(Z41)&gt;=1E6,"MB",IF(ABS(Z41)&gt;=1E3,"KB","bytes"))))))</f>
        <v>0.000 B</v>
      </c>
      <c r="J41" s="4" t="s">
        <v>310</v>
      </c>
      <c r="K41" s="4" t="s">
        <v>307</v>
      </c>
      <c r="L41" s="4" t="s">
        <v>311</v>
      </c>
      <c r="U41" s="30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V41" s="30">
        <f>PF_Rows*TotalLayers*SharedExperts*6*HiddenSize*ExpertInter</f>
        <v>17729624997888</v>
      </c>
      <c r="W41" s="30">
        <f>0</f>
        <v>0</v>
      </c>
      <c r="X41" s="30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Y41" s="30">
        <f>PF_Rows*TotalLayers*SharedExperts*6*HiddenSize*ExpertInter</f>
        <v>17729624997888</v>
      </c>
      <c r="Z41" s="30">
        <f>0</f>
        <v>0</v>
      </c>
    </row>
    <row r="42" spans="1:44">
      <c r="A42" s="4" t="s">
        <v>59</v>
      </c>
      <c r="B42" s="4" t="s">
        <v>312</v>
      </c>
      <c r="C42" s="4" t="s">
        <v>285</v>
      </c>
      <c r="D42" s="31" t="str">
        <f>TEXT(IF(ABS(U42)&gt;=1E12,U42/1E12,IF(ABS(U42)&gt;=1E9,U42/1E9,IF(ABS(U42)&gt;=1E6,U42/1E6,IF(ABS(U42)&gt;=1E3,U42/1E3,U42)))),"#,##0.000")&amp;IF((IF(ABS(U42)&gt;=1E12,"TB",IF(ABS(U42)&gt;=1E9,"GB",IF(ABS(U42)&gt;=1E6,"MB",IF(ABS(U42)&gt;=1E3,"KB","bytes")))))="",""," "&amp;(IF(ABS(U42)&gt;=1E12,"TB",IF(ABS(U42)&gt;=1E9,"GB",IF(ABS(U42)&gt;=1E6,"MB",IF(ABS(U42)&gt;=1E3,"KB","bytes"))))))</f>
        <v>0.000 B</v>
      </c>
      <c r="E42" s="31" t="str">
        <f>TEXT(IF(ABS(V42)&gt;=1E15,V42/1E15,IF(ABS(V42)&gt;=1E12,V42/1E12,IF(ABS(V42)&gt;=1E9,V42/1E9,IF(ABS(V42)&gt;=1E6,V42/1E6,V42)))),"#,##0.000")&amp;IF((IF(ABS(V42)&gt;=1E15,"PFLOPs",IF(ABS(V42)&gt;=1E12,"TFLOPs",IF(ABS(V42)&gt;=1E9,"GFLOPs",IF(ABS(V42)&gt;=1E6,"MFLOPs","flops")))))="",""," "&amp;(IF(ABS(V42)&gt;=1E15,"PFLOPs",IF(ABS(V42)&gt;=1E12,"TFLOPs",IF(ABS(V42)&gt;=1E9,"GFLOPs",IF(ABS(V42)&gt;=1E6,"MFLOPs","flops"))))))</f>
        <v>0.000 FLOPs</v>
      </c>
      <c r="F42" s="31" t="str">
        <f>TEXT(IF(ABS(W42)&gt;=1E12,W42/1E12,IF(ABS(W42)&gt;=1E9,W42/1E9,IF(ABS(W42)&gt;=1E6,W42/1E6,IF(ABS(W42)&gt;=1E3,W42/1E3,W42)))),"#,##0.000")&amp;IF((IF(ABS(W42)&gt;=1E12,"TB",IF(ABS(W42)&gt;=1E9,"GB",IF(ABS(W42)&gt;=1E6,"MB",IF(ABS(W42)&gt;=1E3,"KB","bytes")))))="",""," "&amp;(IF(ABS(W42)&gt;=1E12,"TB",IF(ABS(W42)&gt;=1E9,"GB",IF(ABS(W42)&gt;=1E6,"MB",IF(ABS(W42)&gt;=1E3,"KB","bytes"))))))</f>
        <v>0.000 B</v>
      </c>
      <c r="G42" s="31" t="str">
        <f>TEXT(IF(ABS(X42)&gt;=1E12,X42/1E12,IF(ABS(X42)&gt;=1E9,X42/1E9,IF(ABS(X42)&gt;=1E6,X42/1E6,IF(ABS(X42)&gt;=1E3,X42/1E3,X42)))),"#,##0.000")&amp;IF((IF(ABS(X42)&gt;=1E12,"TB",IF(ABS(X42)&gt;=1E9,"GB",IF(ABS(X42)&gt;=1E6,"MB",IF(ABS(X42)&gt;=1E3,"KB","bytes")))))="",""," "&amp;(IF(ABS(X42)&gt;=1E12,"TB",IF(ABS(X42)&gt;=1E9,"GB",IF(ABS(X42)&gt;=1E6,"MB",IF(ABS(X42)&gt;=1E3,"KB","bytes"))))))</f>
        <v>0.000 B</v>
      </c>
      <c r="H42" s="31" t="str">
        <f>TEXT(IF(ABS(Y42)&gt;=1E15,Y42/1E15,IF(ABS(Y42)&gt;=1E12,Y42/1E12,IF(ABS(Y42)&gt;=1E9,Y42/1E9,IF(ABS(Y42)&gt;=1E6,Y42/1E6,Y42)))),"#,##0.000")&amp;IF((IF(ABS(Y42)&gt;=1E15,"PFLOPs",IF(ABS(Y42)&gt;=1E12,"TFLOPs",IF(ABS(Y42)&gt;=1E9,"GFLOPs",IF(ABS(Y42)&gt;=1E6,"MFLOPs","flops")))))="",""," "&amp;(IF(ABS(Y42)&gt;=1E15,"PFLOPs",IF(ABS(Y42)&gt;=1E12,"TFLOPs",IF(ABS(Y42)&gt;=1E9,"GFLOPs",IF(ABS(Y42)&gt;=1E6,"MFLOPs","flops"))))))</f>
        <v>0.000 FLOPs</v>
      </c>
      <c r="I42" s="31" t="str">
        <f>TEXT(IF(ABS(Z42)&gt;=1E12,Z42/1E12,IF(ABS(Z42)&gt;=1E9,Z42/1E9,IF(ABS(Z42)&gt;=1E6,Z42/1E6,IF(ABS(Z42)&gt;=1E3,Z42/1E3,Z42)))),"#,##0.000")&amp;IF((IF(ABS(Z42)&gt;=1E12,"TB",IF(ABS(Z42)&gt;=1E9,"GB",IF(ABS(Z42)&gt;=1E6,"MB",IF(ABS(Z42)&gt;=1E3,"KB","bytes")))))="",""," "&amp;(IF(ABS(Z42)&gt;=1E12,"TB",IF(ABS(Z42)&gt;=1E9,"GB",IF(ABS(Z42)&gt;=1E6,"MB",IF(ABS(Z42)&gt;=1E3,"KB","bytes"))))))</f>
        <v>20.200 GB</v>
      </c>
      <c r="J42" s="4" t="s">
        <v>245</v>
      </c>
      <c r="K42" s="4" t="s">
        <v>286</v>
      </c>
      <c r="L42" s="4" t="s">
        <v>313</v>
      </c>
      <c r="U42" s="30">
        <f>0</f>
        <v>0</v>
      </c>
      <c r="V42" s="30">
        <f>0</f>
        <v>0</v>
      </c>
      <c r="W42" s="30">
        <f>4*(TP1Size-1)/TP1Size*PF_Rows*HiddenSize*FP32Bytes*TotalLayers</f>
        <v>0.0</v>
      </c>
      <c r="X42" s="30">
        <f>0</f>
        <v>0</v>
      </c>
      <c r="Y42" s="30">
        <f>0</f>
        <v>0</v>
      </c>
      <c r="Z42" s="30">
        <f>4*(TP8Size-1)/TP8Size*PF_Rows*HiddenSize*FP32Bytes*TotalLayers</f>
        <v>20199768064.0</v>
      </c>
    </row>
    <row r="43" spans="1:44">
      <c r="A43" s="4" t="s">
        <v>92</v>
      </c>
      <c r="B43" s="4" t="s">
        <v>314</v>
      </c>
      <c r="C43" s="4" t="s">
        <v>315</v>
      </c>
      <c r="D43" s="31" t="str">
        <f>TEXT(IF(ABS(U43)&gt;=1E12,U43/1E12,IF(ABS(U43)&gt;=1E9,U43/1E9,IF(ABS(U43)&gt;=1E6,U43/1E6,IF(ABS(U43)&gt;=1E3,U43/1E3,U43)))),"#,##0.000")&amp;IF((IF(ABS(U43)&gt;=1E12,"TB",IF(ABS(U43)&gt;=1E9,"GB",IF(ABS(U43)&gt;=1E6,"MB",IF(ABS(U43)&gt;=1E3,"KB","bytes")))))="",""," "&amp;(IF(ABS(U43)&gt;=1E12,"TB",IF(ABS(U43)&gt;=1E9,"GB",IF(ABS(U43)&gt;=1E6,"MB",IF(ABS(U43)&gt;=1E3,"KB","bytes"))))))</f>
        <v>135.538 MB</v>
      </c>
      <c r="E43" s="31" t="str">
        <f>TEXT(IF(ABS(V43)&gt;=1E15,V43/1E15,IF(ABS(V43)&gt;=1E12,V43/1E12,IF(ABS(V43)&gt;=1E9,V43/1E9,IF(ABS(V43)&gt;=1E6,V43/1E6,V43)))),"#,##0.000")&amp;IF((IF(ABS(V43)&gt;=1E15,"PFLOPs",IF(ABS(V43)&gt;=1E12,"TFLOPs",IF(ABS(V43)&gt;=1E9,"GFLOPs",IF(ABS(V43)&gt;=1E6,"MFLOPs","flops")))))="",""," "&amp;(IF(ABS(V43)&gt;=1E15,"PFLOPs",IF(ABS(V43)&gt;=1E12,"TFLOPs",IF(ABS(V43)&gt;=1E9,"GFLOPs",IF(ABS(V43)&gt;=1E6,"MFLOPs","flops"))))))</f>
        <v>702.798 GFLOPs</v>
      </c>
      <c r="F43" s="31" t="str">
        <f>TEXT(IF(ABS(W43)&gt;=1E12,W43/1E12,IF(ABS(W43)&gt;=1E9,W43/1E9,IF(ABS(W43)&gt;=1E6,W43/1E6,IF(ABS(W43)&gt;=1E3,W43/1E3,W43)))),"#,##0.000")&amp;IF((IF(ABS(W43)&gt;=1E12,"TB",IF(ABS(W43)&gt;=1E9,"GB",IF(ABS(W43)&gt;=1E6,"MB",IF(ABS(W43)&gt;=1E3,"KB","bytes")))))="",""," "&amp;(IF(ABS(W43)&gt;=1E12,"TB",IF(ABS(W43)&gt;=1E9,"GB",IF(ABS(W43)&gt;=1E6,"MB",IF(ABS(W43)&gt;=1E3,"KB","bytes"))))))</f>
        <v>0.000 B</v>
      </c>
      <c r="G43" s="31" t="str">
        <f>TEXT(IF(ABS(X43)&gt;=1E12,X43/1E12,IF(ABS(X43)&gt;=1E9,X43/1E9,IF(ABS(X43)&gt;=1E6,X43/1E6,IF(ABS(X43)&gt;=1E3,X43/1E3,X43)))),"#,##0.000")&amp;IF((IF(ABS(X43)&gt;=1E12,"TB",IF(ABS(X43)&gt;=1E9,"GB",IF(ABS(X43)&gt;=1E6,"MB",IF(ABS(X43)&gt;=1E3,"KB","bytes")))))="",""," "&amp;(IF(ABS(X43)&gt;=1E12,"TB",IF(ABS(X43)&gt;=1E9,"GB",IF(ABS(X43)&gt;=1E6,"MB",IF(ABS(X43)&gt;=1E3,"KB","bytes"))))))</f>
        <v>135.538 MB</v>
      </c>
      <c r="H43" s="31" t="str">
        <f>TEXT(IF(ABS(Y43)&gt;=1E15,Y43/1E15,IF(ABS(Y43)&gt;=1E12,Y43/1E12,IF(ABS(Y43)&gt;=1E9,Y43/1E9,IF(ABS(Y43)&gt;=1E6,Y43/1E6,Y43)))),"#,##0.000")&amp;IF((IF(ABS(Y43)&gt;=1E15,"PFLOPs",IF(ABS(Y43)&gt;=1E12,"TFLOPs",IF(ABS(Y43)&gt;=1E9,"GFLOPs",IF(ABS(Y43)&gt;=1E6,"MFLOPs","flops")))))="",""," "&amp;(IF(ABS(Y43)&gt;=1E15,"PFLOPs",IF(ABS(Y43)&gt;=1E12,"TFLOPs",IF(ABS(Y43)&gt;=1E9,"GFLOPs",IF(ABS(Y43)&gt;=1E6,"MFLOPs","flops"))))))</f>
        <v>702.798 GFLOPs</v>
      </c>
      <c r="I43" s="31" t="str">
        <f>TEXT(IF(ABS(Z43)&gt;=1E12,Z43/1E12,IF(ABS(Z43)&gt;=1E9,Z43/1E9,IF(ABS(Z43)&gt;=1E6,Z43/1E6,IF(ABS(Z43)&gt;=1E3,Z43/1E3,Z43)))),"#,##0.000")&amp;IF((IF(ABS(Z43)&gt;=1E12,"TB",IF(ABS(Z43)&gt;=1E9,"GB",IF(ABS(Z43)&gt;=1E6,"MB",IF(ABS(Z43)&gt;=1E3,"KB","bytes")))))="",""," "&amp;(IF(ABS(Z43)&gt;=1E12,"TB",IF(ABS(Z43)&gt;=1E9,"GB",IF(ABS(Z43)&gt;=1E6,"MB",IF(ABS(Z43)&gt;=1E3,"KB","bytes"))))))</f>
        <v>0.000 B</v>
      </c>
      <c r="J43" s="4" t="s">
        <v>316</v>
      </c>
      <c r="K43" s="4" t="s">
        <v>317</v>
      </c>
      <c r="L43" s="4" t="s">
        <v>318</v>
      </c>
      <c r="U43" s="30">
        <f>(TotalLayers*2*(((2+HCSlots)*HCSlots)*HCSlots*HiddenSize+((2+HCSlots)*HCSlots)+3))*FP32Bytes+(HCSlots*HCSlots*HiddenSize+HCSlots+1)*FP32Bytes</f>
        <v>135537756</v>
      </c>
      <c r="V43" s="30">
        <f>TotalLayers*2*(2*PF_Rows*HCSlots*HiddenSize*((2+HCSlots)*HCSlots)+PF_Rows*(2*HCSlots*HiddenSize+1)+PF_Rows*HiddenSize*(2*HCSlots-1)+PF_Rows*HCSlots*HiddenSize*(2*HCSlots+1))+2*PF_Rows*HCSlots*HiddenSize*HCSlots+PF_Rows*(2*HCSlots*HiddenSize+1)+PF_Rows*HiddenSize*(2*HCSlots-1)</f>
        <v>702798290944</v>
      </c>
      <c r="W43" s="30">
        <f>0</f>
        <v>0</v>
      </c>
      <c r="X43" s="30">
        <f>(TotalLayers*2*(((2+HCSlots)*HCSlots)*HCSlots*HiddenSize+((2+HCSlots)*HCSlots)+3))*FP32Bytes+(HCSlots*HCSlots*HiddenSize+HCSlots+1)*FP32Bytes</f>
        <v>135537756</v>
      </c>
      <c r="Y43" s="30">
        <f>TotalLayers*2*(2*PF_Rows*HCSlots*HiddenSize*((2+HCSlots)*HCSlots)+PF_Rows*(2*HCSlots*HiddenSize+1)+PF_Rows*HiddenSize*(2*HCSlots-1)+PF_Rows*HCSlots*HiddenSize*(2*HCSlots+1))+2*PF_Rows*HCSlots*HiddenSize*HCSlots+PF_Rows*(2*HCSlots*HiddenSize+1)+PF_Rows*HiddenSize*(2*HCSlots-1)</f>
        <v>702798290944</v>
      </c>
      <c r="Z43" s="30">
        <f>0</f>
        <v>0</v>
      </c>
    </row>
    <row r="44" spans="1:44">
      <c r="A44" s="4" t="s">
        <v>238</v>
      </c>
      <c r="B44" s="4" t="s">
        <v>238</v>
      </c>
      <c r="C44" s="4" t="s">
        <v>319</v>
      </c>
      <c r="D44" s="31" t="str">
        <f>TEXT(IF(ABS(U44)&gt;=1E12,U44/1E12,IF(ABS(U44)&gt;=1E9,U44/1E9,IF(ABS(U44)&gt;=1E6,U44/1E6,IF(ABS(U44)&gt;=1E3,U44/1E3,U44)))),"#,##0.000")&amp;IF((IF(ABS(U44)&gt;=1E12,"TB",IF(ABS(U44)&gt;=1E9,"GB",IF(ABS(U44)&gt;=1E6,"MB",IF(ABS(U44)&gt;=1E3,"KB","bytes")))))="",""," "&amp;(IF(ABS(U44)&gt;=1E12,"TB",IF(ABS(U44)&gt;=1E9,"GB",IF(ABS(U44)&gt;=1E6,"MB",IF(ABS(U44)&gt;=1E3,"KB","bytes"))))))</f>
        <v>1.701 MB</v>
      </c>
      <c r="E44" s="31" t="str">
        <f>TEXT(IF(ABS(V44)&gt;=1E15,V44/1E15,IF(ABS(V44)&gt;=1E12,V44/1E12,IF(ABS(V44)&gt;=1E9,V44/1E9,IF(ABS(V44)&gt;=1E6,V44/1E6,V44)))),"#,##0.000")&amp;IF((IF(ABS(V44)&gt;=1E15,"PFLOPs",IF(ABS(V44)&gt;=1E12,"TFLOPs",IF(ABS(V44)&gt;=1E9,"GFLOPs",IF(ABS(V44)&gt;=1E6,"MFLOPs","flops")))))="",""," "&amp;(IF(ABS(V44)&gt;=1E15,"PFLOPs",IF(ABS(V44)&gt;=1E12,"TFLOPs",IF(ABS(V44)&gt;=1E9,"GFLOPs",IF(ABS(V44)&gt;=1E6,"MFLOPs","flops"))))))</f>
        <v>11.678 GFLOPs</v>
      </c>
      <c r="F44" s="31" t="str">
        <f>TEXT(IF(ABS(W44)&gt;=1E12,W44/1E12,IF(ABS(W44)&gt;=1E9,W44/1E9,IF(ABS(W44)&gt;=1E6,W44/1E6,IF(ABS(W44)&gt;=1E3,W44/1E3,W44)))),"#,##0.000")&amp;IF((IF(ABS(W44)&gt;=1E12,"TB",IF(ABS(W44)&gt;=1E9,"GB",IF(ABS(W44)&gt;=1E6,"MB",IF(ABS(W44)&gt;=1E3,"KB","bytes")))))="",""," "&amp;(IF(ABS(W44)&gt;=1E12,"TB",IF(ABS(W44)&gt;=1E9,"GB",IF(ABS(W44)&gt;=1E6,"MB",IF(ABS(W44)&gt;=1E3,"KB","bytes"))))))</f>
        <v>0.000 B</v>
      </c>
      <c r="G44" s="31" t="str">
        <f>TEXT(IF(ABS(X44)&gt;=1E12,X44/1E12,IF(ABS(X44)&gt;=1E9,X44/1E9,IF(ABS(X44)&gt;=1E6,X44/1E6,IF(ABS(X44)&gt;=1E3,X44/1E3,X44)))),"#,##0.000")&amp;IF((IF(ABS(X44)&gt;=1E12,"TB",IF(ABS(X44)&gt;=1E9,"GB",IF(ABS(X44)&gt;=1E6,"MB",IF(ABS(X44)&gt;=1E3,"KB","bytes")))))="",""," "&amp;(IF(ABS(X44)&gt;=1E12,"TB",IF(ABS(X44)&gt;=1E9,"GB",IF(ABS(X44)&gt;=1E6,"MB",IF(ABS(X44)&gt;=1E3,"KB","bytes"))))))</f>
        <v>1.691 MB</v>
      </c>
      <c r="H44" s="31" t="str">
        <f>TEXT(IF(ABS(Y44)&gt;=1E15,Y44/1E15,IF(ABS(Y44)&gt;=1E12,Y44/1E12,IF(ABS(Y44)&gt;=1E9,Y44/1E9,IF(ABS(Y44)&gt;=1E6,Y44/1E6,Y44)))),"#,##0.000")&amp;IF((IF(ABS(Y44)&gt;=1E15,"PFLOPs",IF(ABS(Y44)&gt;=1E12,"TFLOPs",IF(ABS(Y44)&gt;=1E9,"GFLOPs",IF(ABS(Y44)&gt;=1E6,"MFLOPs","flops")))))="",""," "&amp;(IF(ABS(Y44)&gt;=1E15,"PFLOPs",IF(ABS(Y44)&gt;=1E12,"TFLOPs",IF(ABS(Y44)&gt;=1E9,"GFLOPs",IF(ABS(Y44)&gt;=1E6,"MFLOPs","flops"))))))</f>
        <v>11.678 GFLOPs</v>
      </c>
      <c r="I44" s="31" t="str">
        <f>TEXT(IF(ABS(Z44)&gt;=1E12,Z44/1E12,IF(ABS(Z44)&gt;=1E9,Z44/1E9,IF(ABS(Z44)&gt;=1E6,Z44/1E6,IF(ABS(Z44)&gt;=1E3,Z44/1E3,Z44)))),"#,##0.000")&amp;IF((IF(ABS(Z44)&gt;=1E12,"TB",IF(ABS(Z44)&gt;=1E9,"GB",IF(ABS(Z44)&gt;=1E6,"MB",IF(ABS(Z44)&gt;=1E3,"KB","bytes")))))="",""," "&amp;(IF(ABS(Z44)&gt;=1E12,"TB",IF(ABS(Z44)&gt;=1E9,"GB",IF(ABS(Z44)&gt;=1E6,"MB",IF(ABS(Z44)&gt;=1E3,"KB","bytes"))))))</f>
        <v>0.000 B</v>
      </c>
      <c r="J44" s="4" t="s">
        <v>320</v>
      </c>
      <c r="K44" s="4" t="s">
        <v>321</v>
      </c>
      <c r="L44" s="4" t="s">
        <v>322</v>
      </c>
      <c r="U44" s="30">
        <f>(TotalLayers*(2*HiddenSize+QLoraRank+HeadDim+TP1LocalHeads))*FP32Bytes+(HiddenSize)*FP32Bytes</f>
        <v>1700608</v>
      </c>
      <c r="V44" s="30">
        <f>PF_Rows*TotalLayers*2*(4*HiddenSize+1)+PF_Rows*(4*HiddenSize+1)</f>
        <v>11677655040</v>
      </c>
      <c r="W44" s="30">
        <f>0</f>
        <v>0</v>
      </c>
      <c r="X44" s="30">
        <f>(TotalLayers*(2*HiddenSize+QLoraRank+HeadDim+TP8LocalHeads))*FP32Bytes+(HiddenSize)*FP32Bytes</f>
        <v>1690976</v>
      </c>
      <c r="Y44" s="30">
        <f>PF_Rows*TotalLayers*2*(4*HiddenSize+1)+PF_Rows*(4*HiddenSize+1)</f>
        <v>11677655040</v>
      </c>
      <c r="Z44" s="30">
        <f>0</f>
        <v>0</v>
      </c>
    </row>
    <row r="45" spans="1:44">
      <c r="A45" s="4" t="s">
        <v>243</v>
      </c>
      <c r="B45" s="4" t="s">
        <v>243</v>
      </c>
      <c r="C45" s="4" t="s">
        <v>323</v>
      </c>
      <c r="D45" s="31" t="str">
        <f>TEXT(IF(ABS(U45)&gt;=1E12,U45/1E12,IF(ABS(U45)&gt;=1E9,U45/1E9,IF(ABS(U45)&gt;=1E6,U45/1E6,IF(ABS(U45)&gt;=1E3,U45/1E3,U45)))),"#,##0.000")&amp;IF((IF(ABS(U45)&gt;=1E12,"TB",IF(ABS(U45)&gt;=1E9,"GB",IF(ABS(U45)&gt;=1E6,"MB",IF(ABS(U45)&gt;=1E3,"KB","bytes")))))="",""," "&amp;(IF(ABS(U45)&gt;=1E12,"TB",IF(ABS(U45)&gt;=1E9,"GB",IF(ABS(U45)&gt;=1E6,"MB",IF(ABS(U45)&gt;=1E3,"KB","bytes"))))))</f>
        <v>0.000 B</v>
      </c>
      <c r="E45" s="31" t="str">
        <f>TEXT(IF(ABS(V45)&gt;=1E15,V45/1E15,IF(ABS(V45)&gt;=1E12,V45/1E12,IF(ABS(V45)&gt;=1E9,V45/1E9,IF(ABS(V45)&gt;=1E6,V45/1E6,V45)))),"#,##0.000")&amp;IF((IF(ABS(V45)&gt;=1E15,"PFLOPs",IF(ABS(V45)&gt;=1E12,"TFLOPs",IF(ABS(V45)&gt;=1E9,"GFLOPs",IF(ABS(V45)&gt;=1E6,"MFLOPs","flops")))))="",""," "&amp;(IF(ABS(V45)&gt;=1E15,"PFLOPs",IF(ABS(V45)&gt;=1E12,"TFLOPs",IF(ABS(V45)&gt;=1E9,"GFLOPs",IF(ABS(V45)&gt;=1E6,"MFLOPs","flops"))))))</f>
        <v>0.000 FLOPs</v>
      </c>
      <c r="F45" s="31" t="str">
        <f>TEXT(IF(ABS(W45)&gt;=1E12,W45/1E12,IF(ABS(W45)&gt;=1E9,W45/1E9,IF(ABS(W45)&gt;=1E6,W45/1E6,IF(ABS(W45)&gt;=1E3,W45/1E3,W45)))),"#,##0.000")&amp;IF((IF(ABS(W45)&gt;=1E12,"TB",IF(ABS(W45)&gt;=1E9,"GB",IF(ABS(W45)&gt;=1E6,"MB",IF(ABS(W45)&gt;=1E3,"KB","bytes")))))="",""," "&amp;(IF(ABS(W45)&gt;=1E12,"TB",IF(ABS(W45)&gt;=1E9,"GB",IF(ABS(W45)&gt;=1E6,"MB",IF(ABS(W45)&gt;=1E3,"KB","bytes"))))))</f>
        <v>0.000 B</v>
      </c>
      <c r="G45" s="31" t="str">
        <f>TEXT(IF(ABS(X45)&gt;=1E12,X45/1E12,IF(ABS(X45)&gt;=1E9,X45/1E9,IF(ABS(X45)&gt;=1E6,X45/1E6,IF(ABS(X45)&gt;=1E3,X45/1E3,X45)))),"#,##0.000")&amp;IF((IF(ABS(X45)&gt;=1E12,"TB",IF(ABS(X45)&gt;=1E9,"GB",IF(ABS(X45)&gt;=1E6,"MB",IF(ABS(X45)&gt;=1E3,"KB","bytes")))))="",""," "&amp;(IF(ABS(X45)&gt;=1E12,"TB",IF(ABS(X45)&gt;=1E9,"GB",IF(ABS(X45)&gt;=1E6,"MB",IF(ABS(X45)&gt;=1E3,"KB","bytes"))))))</f>
        <v>0.000 B</v>
      </c>
      <c r="H45" s="31" t="str">
        <f>TEXT(IF(ABS(Y45)&gt;=1E15,Y45/1E15,IF(ABS(Y45)&gt;=1E12,Y45/1E12,IF(ABS(Y45)&gt;=1E9,Y45/1E9,IF(ABS(Y45)&gt;=1E6,Y45/1E6,Y45)))),"#,##0.000")&amp;IF((IF(ABS(Y45)&gt;=1E15,"PFLOPs",IF(ABS(Y45)&gt;=1E12,"TFLOPs",IF(ABS(Y45)&gt;=1E9,"GFLOPs",IF(ABS(Y45)&gt;=1E6,"MFLOPs","flops")))))="",""," "&amp;(IF(ABS(Y45)&gt;=1E15,"PFLOPs",IF(ABS(Y45)&gt;=1E12,"TFLOPs",IF(ABS(Y45)&gt;=1E9,"GFLOPs",IF(ABS(Y45)&gt;=1E6,"MFLOPs","flops"))))))</f>
        <v>0.000 FLOPs</v>
      </c>
      <c r="I45" s="31" t="str">
        <f>TEXT(IF(ABS(Z45)&gt;=1E12,Z45/1E12,IF(ABS(Z45)&gt;=1E9,Z45/1E9,IF(ABS(Z45)&gt;=1E6,Z45/1E6,IF(ABS(Z45)&gt;=1E3,Z45/1E3,Z45)))),"#,##0.000")&amp;IF((IF(ABS(Z45)&gt;=1E12,"TB",IF(ABS(Z45)&gt;=1E9,"GB",IF(ABS(Z45)&gt;=1E6,"MB",IF(ABS(Z45)&gt;=1E3,"KB","bytes")))))="",""," "&amp;(IF(ABS(Z45)&gt;=1E12,"TB",IF(ABS(Z45)&gt;=1E9,"GB",IF(ABS(Z45)&gt;=1E6,"MB",IF(ABS(Z45)&gt;=1E3,"KB","bytes"))))))</f>
        <v>0.000 B</v>
      </c>
      <c r="J45" s="4" t="s">
        <v>245</v>
      </c>
      <c r="K45" s="4" t="s">
        <v>246</v>
      </c>
      <c r="L45" s="4" t="s">
        <v>324</v>
      </c>
      <c r="U45" s="30">
        <f>0</f>
        <v>0</v>
      </c>
      <c r="V45" s="30">
        <f>0</f>
        <v>0</v>
      </c>
      <c r="W45" s="30">
        <f>0</f>
        <v>0</v>
      </c>
      <c r="X45" s="30">
        <f>0</f>
        <v>0</v>
      </c>
      <c r="Y45" s="30">
        <f>0</f>
        <v>0</v>
      </c>
      <c r="Z45" s="30">
        <f>0</f>
        <v>0</v>
      </c>
    </row>
    <row r="46" spans="1:44">
      <c r="A46" s="4" t="s">
        <v>234</v>
      </c>
      <c r="B46" s="4" t="s">
        <v>234</v>
      </c>
      <c r="C46" s="4" t="s">
        <v>325</v>
      </c>
      <c r="D46" s="31" t="str">
        <f>TEXT(IF(ABS(U46)&gt;=1E12,U46/1E12,IF(ABS(U46)&gt;=1E9,U46/1E9,IF(ABS(U46)&gt;=1E6,U46/1E6,IF(ABS(U46)&gt;=1E3,U46/1E3,U46)))),"#,##0.000")&amp;IF((IF(ABS(U46)&gt;=1E12,"TB",IF(ABS(U46)&gt;=1E9,"GB",IF(ABS(U46)&gt;=1E6,"MB",IF(ABS(U46)&gt;=1E3,"KB","bytes")))))="",""," "&amp;(IF(ABS(U46)&gt;=1E12,"TB",IF(ABS(U46)&gt;=1E9,"GB",IF(ABS(U46)&gt;=1E6,"MB",IF(ABS(U46)&gt;=1E3,"KB","bytes"))))))</f>
        <v>2.118 GB</v>
      </c>
      <c r="E46" s="31" t="str">
        <f>TEXT(IF(ABS(V46)&gt;=1E15,V46/1E15,IF(ABS(V46)&gt;=1E12,V46/1E12,IF(ABS(V46)&gt;=1E9,V46/1E9,IF(ABS(V46)&gt;=1E6,V46/1E6,V46)))),"#,##0.000")&amp;IF((IF(ABS(V46)&gt;=1E15,"PFLOPs",IF(ABS(V46)&gt;=1E12,"TFLOPs",IF(ABS(V46)&gt;=1E9,"GFLOPs",IF(ABS(V46)&gt;=1E6,"MFLOPs","flops")))))="",""," "&amp;(IF(ABS(V46)&gt;=1E15,"PFLOPs",IF(ABS(V46)&gt;=1E12,"TFLOPs",IF(ABS(V46)&gt;=1E9,"GFLOPs",IF(ABS(V46)&gt;=1E6,"MFLOPs","flops"))))))</f>
        <v>1.059 GFLOPs</v>
      </c>
      <c r="F46" s="31" t="str">
        <f>TEXT(IF(ABS(W46)&gt;=1E12,W46/1E12,IF(ABS(W46)&gt;=1E9,W46/1E9,IF(ABS(W46)&gt;=1E6,W46/1E6,IF(ABS(W46)&gt;=1E3,W46/1E3,W46)))),"#,##0.000")&amp;IF((IF(ABS(W46)&gt;=1E12,"TB",IF(ABS(W46)&gt;=1E9,"GB",IF(ABS(W46)&gt;=1E6,"MB",IF(ABS(W46)&gt;=1E3,"KB","bytes")))))="",""," "&amp;(IF(ABS(W46)&gt;=1E12,"TB",IF(ABS(W46)&gt;=1E9,"GB",IF(ABS(W46)&gt;=1E6,"MB",IF(ABS(W46)&gt;=1E3,"KB","bytes"))))))</f>
        <v>0.000 B</v>
      </c>
      <c r="G46" s="31" t="str">
        <f>TEXT(IF(ABS(X46)&gt;=1E12,X46/1E12,IF(ABS(X46)&gt;=1E9,X46/1E9,IF(ABS(X46)&gt;=1E6,X46/1E6,IF(ABS(X46)&gt;=1E3,X46/1E3,X46)))),"#,##0.000")&amp;IF((IF(ABS(X46)&gt;=1E12,"TB",IF(ABS(X46)&gt;=1E9,"GB",IF(ABS(X46)&gt;=1E6,"MB",IF(ABS(X46)&gt;=1E3,"KB","bytes")))))="",""," "&amp;(IF(ABS(X46)&gt;=1E12,"TB",IF(ABS(X46)&gt;=1E9,"GB",IF(ABS(X46)&gt;=1E6,"MB",IF(ABS(X46)&gt;=1E3,"KB","bytes"))))))</f>
        <v>264.765 MB</v>
      </c>
      <c r="H46" s="31" t="str">
        <f>TEXT(IF(ABS(Y46)&gt;=1E15,Y46/1E15,IF(ABS(Y46)&gt;=1E12,Y46/1E12,IF(ABS(Y46)&gt;=1E9,Y46/1E9,IF(ABS(Y46)&gt;=1E6,Y46/1E6,Y46)))),"#,##0.000")&amp;IF((IF(ABS(Y46)&gt;=1E15,"PFLOPs",IF(ABS(Y46)&gt;=1E12,"TFLOPs",IF(ABS(Y46)&gt;=1E9,"GFLOPs",IF(ABS(Y46)&gt;=1E6,"MFLOPs","flops")))))="",""," "&amp;(IF(ABS(Y46)&gt;=1E15,"PFLOPs",IF(ABS(Y46)&gt;=1E12,"TFLOPs",IF(ABS(Y46)&gt;=1E9,"GFLOPs",IF(ABS(Y46)&gt;=1E6,"MFLOPs","flops"))))))</f>
        <v>132.383 MFLOPs</v>
      </c>
      <c r="I46" s="31" t="str">
        <f>TEXT(IF(ABS(Z46)&gt;=1E12,Z46/1E12,IF(ABS(Z46)&gt;=1E9,Z46/1E9,IF(ABS(Z46)&gt;=1E6,Z46/1E6,IF(ABS(Z46)&gt;=1E3,Z46/1E3,Z46)))),"#,##0.000")&amp;IF((IF(ABS(Z46)&gt;=1E12,"TB",IF(ABS(Z46)&gt;=1E9,"GB",IF(ABS(Z46)&gt;=1E6,"MB",IF(ABS(Z46)&gt;=1E3,"KB","bytes")))))="",""," "&amp;(IF(ABS(Z46)&gt;=1E12,"TB",IF(ABS(Z46)&gt;=1E9,"GB",IF(ABS(Z46)&gt;=1E6,"MB",IF(ABS(Z46)&gt;=1E3,"KB","bytes"))))))</f>
        <v>904.960 KB</v>
      </c>
      <c r="J46" s="4" t="s">
        <v>326</v>
      </c>
      <c r="K46" s="4" t="s">
        <v>237</v>
      </c>
      <c r="L46" s="4" t="s">
        <v>327</v>
      </c>
      <c r="U46" s="30">
        <f>TP1LocalVocab*HiddenSize*FP32Bytes</f>
        <v>2118123520.0</v>
      </c>
      <c r="V46" s="30">
        <f>2*PrefillBatch*HiddenSize*TP1LocalVocab</f>
        <v>1059061760.0</v>
      </c>
      <c r="W46" s="30">
        <f>2*(TP1Size-1)*PrefillBatch*TP1LocalVocab*FP32Bytes</f>
        <v>0.0</v>
      </c>
      <c r="X46" s="30">
        <f>TP8LocalVocab*HiddenSize*FP32Bytes</f>
        <v>264765440.0</v>
      </c>
      <c r="Y46" s="30">
        <f>2*PrefillBatch*HiddenSize*TP8LocalVocab</f>
        <v>132382720.0</v>
      </c>
      <c r="Z46" s="30">
        <f>2*(TP8Size-1)*PrefillBatch*TP8LocalVocab*FP32Bytes</f>
        <v>904960.0</v>
      </c>
    </row>
    <row r="48" spans="1:44" hidden="1">
      <c r="AO48" s="30">
        <f>(0)+(TotalLayers*2*(2*PF_Rows*HCSlots*HiddenSize*((2+HCSlots)*HCSlots)+PF_Rows*(2*HCSlots*HiddenSize+1)+PF_Rows*HiddenSize*(2*HCSlots-1)+PF_Rows*HCSlots*HiddenSize*(2*HCSlots+1))+2*PF_Rows*HCSlots*HiddenSize*HCSlots+PF_Rows*(2*HCSlots*HiddenSize+1)+PF_Rows*HiddenSize*(2*HCSlots-1))+(PF_Rows*TotalLayers*2*(4*HiddenSize+1)+PF_Rows*(4*HiddenSize+1))+(0)+(2*PrefillBatch*HiddenSize*TP1LocalVocab)</f>
        <v>715535007744.0</v>
      </c>
      <c r="AP48" s="30">
        <f>(0)+(TotalLayers*2*(2*PF_Rows*HCSlots*HiddenSize*((2+HCSlots)*HCSlots)+PF_Rows*(2*HCSlots*HiddenSize+1)+PF_Rows*HiddenSize*(2*HCSlots-1)+PF_Rows*HCSlots*HiddenSize*(2*HCSlots+1))+2*PF_Rows*HCSlots*HiddenSize*HCSlots+PF_Rows*(2*HCSlots*HiddenSize+1)+PF_Rows*HiddenSize*(2*HCSlots-1))+(PF_Rows*TotalLayers*2*(4*HiddenSize+1)+PF_Rows*(4*HiddenSize+1))+(0)+(2*PrefillBatch*HiddenSize*TP8LocalVocab)</f>
        <v>714608328704.0</v>
      </c>
      <c r="AQ48" s="30">
        <f>(4*(TP1Size-1)/TP1Size*PF_Rows*HiddenSize*BF16Bytes)+(0)+(0)+(0)+(0)+(0)+(0)+(0)+(0)+(0)+(0)+(0)+(0)+(0)+(0)+(0)+(2*(TP1Size-1)*PrefillBatch*TP1LocalVocab*FP32Bytes)+(4*(TP1Size-1)/TP1Size*PF_Rows*HiddenSize*FP32Bytes*TotalLayers)+(4*(TP1Size-1)/TP1Size*PF_Rows*HiddenSize*FP32Bytes*TotalLayers)</f>
        <v>0.0</v>
      </c>
      <c r="AR48" s="30">
        <f>(4*(TP8Size-1)/TP8Size*PF_Rows*HiddenSize*BF16Bytes)+(0)+(0)+(0)+(0)+(0)+(0)+(0)+(0)+(0)+(0)+(0)+(0)+(0)+(0)+(0)+(2*(TP8Size-1)*PrefillBatch*TP8LocalVocab*FP32Bytes)+(4*(TP8Size-1)/TP8Size*PF_Rows*HiddenSize*FP32Bytes*TotalLayers)+(4*(TP8Size-1)/TP8Size*PF_Rows*HiddenSize*FP32Bytes*TotalLayers)</f>
        <v>40635322112.0</v>
      </c>
    </row>
    <row r="49" spans="51:54" hidden="1">
      <c r="AY49" s="30">
        <f>(TotalLayers*(HiddenSize*QLoraRank+QLoraRank*TP1LocalHeads*HeadDim+HiddenSize*HeadDim+TP1LocalHeads*HeadDim*OLoraRank+TP1LocalOGroups*OLoraRank*HiddenSize))+(ShortLayers*(2*HiddenSize*(2*HeadDim)+ShortRatio*2*HeadDim+HeadDim))+(LongLayers*(2*HiddenSize*HeadDim+LongRatio*HeadDim+HeadDim))+(ShortLayers*(QLoraRank*TP1LocalIndexHeads*IndexHeadDim+HiddenSize*TP1LocalIndexHeads))+(ShortLayers*(2*HiddenSize*(2*IndexHeadDim)+ShortRatio*2*IndexHeadDim+IndexHeadDim))</f>
        <v>5086249088.0</v>
      </c>
      <c r="AZ49" s="30">
        <f>(TotalLayers*(HiddenSize*QLoraRank+QLoraRank*TP8LocalHeads*HeadDim+HiddenSize*HeadDim+TP8LocalHeads*HeadDim*OLoraRank+TP8LocalOGroups*OLoraRank*HiddenSize))+(ShortLayers*(2*HiddenSize*(2*HeadDim)+ShortRatio*2*HeadDim+HeadDim))+(LongLayers*(2*HiddenSize*HeadDim+LongRatio*HeadDim+HeadDim))+(ShortLayers*(QLoraRank*TP8LocalIndexHeads*IndexHeadDim+HiddenSize*TP8LocalIndexHeads))+(ShortLayers*(2*HiddenSize*(2*IndexHeadDim)+ShortRatio*2*IndexHeadDim+IndexHeadDim))</f>
        <v>1139835008.0</v>
      </c>
      <c r="BA49" s="30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1LocalIndexHeads*IndexHeadDim)*FP8Bytes+ROUNDUP((QLoraRank)/FP8Block,0)*ROUNDUP((TP1LocalIndexHeads*IndexHeadDim)/FP8Block,0)*ScaleBytes)+HiddenSize*TP1LocalIndexHeads*BF16Bytes))+(ShortLayers*(2*HiddenSize*(2*IndexHeadDim)*FP32Bytes+ShortRatio*2*IndexHeadDim*FP32Bytes+IndexHeadDim*FP32Bytes))</f>
        <v>7451384960</v>
      </c>
      <c r="BB49" s="30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8LocalIndexHeads*IndexHeadDim)*FP8Bytes+ROUNDUP((QLoraRank)/FP8Block,0)*ROUNDUP((TP8LocalIndexHeads*IndexHeadDim)/FP8Block,0)*ScaleBytes)+HiddenSize*TP8LocalIndexHeads*BF16Bytes))+(ShortLayers*(2*HiddenSize*(2*IndexHeadDim)*FP32Bytes+ShortRatio*2*IndexHeadDim*FP32Bytes+IndexHeadDim*FP32Bytes))</f>
        <v>2237504960</v>
      </c>
    </row>
    <row r="50" spans="51:54">
      <c r="AY50" s="30">
        <f>(TotalLayers*TP1LocalExperts*3*HiddenSize*ExpertInter)+(TotalLayers*SharedExperts*3*HiddenSize*ExpertInter)+(TotalLayers*RoutedExperts*HiddenSize+(TotalLayers-ActiveHashLayers)*RoutedExperts+ActiveHashLayers*VocabSize*ActivatedExperts)</f>
        <v>278154947072.0</v>
      </c>
      <c r="AZ50" s="30">
        <f>(TotalLayers*TP8LocalExperts*3*HiddenSize*ExpertInter)+(TotalLayers*SharedExperts*3*HiddenSize*ExpertInter)+(TotalLayers*RoutedExperts*HiddenSize+(TotalLayers-ActiveHashLayers)*RoutedExperts+ActiveHashLayers*VocabSize*ActivatedExperts)</f>
        <v>35757730304.0</v>
      </c>
      <c r="BA50" s="30">
        <f>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</f>
        <v>148351461888.0</v>
      </c>
      <c r="BB50" s="30">
        <f>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</f>
        <v>19577940480.0</v>
      </c>
    </row>
    <row r="51" spans="51:54">
      <c r="AY51" s="30">
        <f>(TP1LocalVocab*HiddenSize)+(TP1LocalVocab*HiddenSize)+(TotalLayers*2*(((2+HCSlots)*HCSlots)*HCSlots*HiddenSize+((2+HCSlots)*HCSlots)+3))+(TotalLayers*(2*HiddenSize+QLoraRank+HeadDim+TP1LocalHeads))+(HCSlots*HCSlots*HiddenSize+HCSlots+1)+(HiddenSize)</f>
        <v>1093371351.0</v>
      </c>
      <c r="AZ51" s="30">
        <f>(TP8LocalVocab*HiddenSize)+(TP8LocalVocab*HiddenSize)+(TotalLayers*2*(((2+HCSlots)*HCSlots)*HCSlots*HiddenSize+((2+HCSlots)*HCSlots)+3))+(TotalLayers*(2*HiddenSize+QLoraRank+HeadDim+TP8LocalHeads))+(HCSlots*HCSlots*HiddenSize+HCSlots+1)+(HiddenSize)</f>
        <v>166689903.0</v>
      </c>
      <c r="BA51" s="30">
        <f>(TP1LocalVocab*HiddenSize*BF16Bytes)+(TP1LocalVocab*HiddenSize*FP32Bytes)+((TotalLayers*2*(((2+HCSlots)*HCSlots)*HCSlots*HiddenSize+((2+HCSlots)*HCSlots)+3))*FP32Bytes)+((TotalLayers*(2*HiddenSize+QLoraRank+HeadDim+TP1LocalHeads))*FP32Bytes)+((HCSlots*HCSlots*HiddenSize+HCSlots+1)*FP32Bytes)+((HiddenSize)*FP32Bytes)</f>
        <v>3314423644.0</v>
      </c>
      <c r="BB51" s="30">
        <f>(TP8LocalVocab*HiddenSize*BF16Bytes)+(TP8LocalVocab*HiddenSize*FP32Bytes)+((TotalLayers*2*(((2+HCSlots)*HCSlots)*HCSlots*HiddenSize+((2+HCSlots)*HCSlots)+3))*FP32Bytes)+((TotalLayers*(2*HiddenSize+QLoraRank+HeadDim+TP8LocalHeads))*FP32Bytes)+((HCSlots*HCSlots*HiddenSize+HCSlots+1)*FP32Bytes)+((HiddenSize)*FP32Bytes)</f>
        <v>534376892.0</v>
      </c>
    </row>
    <row r="52" spans="51:54">
      <c r="AY52" s="30">
        <f>(TotalLayers*(HiddenSize*QLoraRank+QLoraRank*TP1LocalHeads*HeadDim+HiddenSize*HeadDim+TP1LocalHeads*HeadDim*OLoraRank+TP1LocalOGroups*OLoraRank*HiddenSize))+(ShortLayers*(2*HiddenSize*(2*HeadDim)+ShortRatio*2*HeadDim+HeadDim))+(LongLayers*(2*HiddenSize*HeadDim+LongRatio*HeadDim+HeadDim))+(ShortLayers*(QLoraRank*TP1LocalIndexHeads*IndexHeadDim+HiddenSize*TP1LocalIndexHeads))+(ShortLayers*(2*HiddenSize*(2*IndexHeadDim)+ShortRatio*2*IndexHeadDim+IndexHeadDim))+(TotalLayers*TP1LocalExperts*3*HiddenSize*ExpertInter)+(TotalLayers*SharedExperts*3*HiddenSize*ExpertInter)+(TotalLayers*RoutedExperts*HiddenSize+(TotalLayers-ActiveHashLayers)*RoutedExperts+ActiveHashLayers*VocabSize*ActivatedExperts)+(TP1LocalVocab*HiddenSize)+(TP1LocalVocab*HiddenSize)+(TotalLayers*2*(((2+HCSlots)*HCSlots)*HCSlots*HiddenSize+((2+HCSlots)*HCSlots)+3))+(TotalLayers*(2*HiddenSize+QLoraRank+HeadDim+TP1LocalHeads))+(HCSlots*HCSlots*HiddenSize+HCSlots+1)+(HiddenSize)</f>
        <v>284334567511.0</v>
      </c>
      <c r="AZ52" s="30">
        <f>(TotalLayers*(HiddenSize*QLoraRank+QLoraRank*TP8LocalHeads*HeadDim+HiddenSize*HeadDim+TP8LocalHeads*HeadDim*OLoraRank+TP8LocalOGroups*OLoraRank*HiddenSize))+(ShortLayers*(2*HiddenSize*(2*HeadDim)+ShortRatio*2*HeadDim+HeadDim))+(LongLayers*(2*HiddenSize*HeadDim+LongRatio*HeadDim+HeadDim))+(ShortLayers*(QLoraRank*TP8LocalIndexHeads*IndexHeadDim+HiddenSize*TP8LocalIndexHeads))+(ShortLayers*(2*HiddenSize*(2*IndexHeadDim)+ShortRatio*2*IndexHeadDim+IndexHeadDim))+(TotalLayers*TP8LocalExperts*3*HiddenSize*ExpertInter)+(TotalLayers*SharedExperts*3*HiddenSize*ExpertInter)+(TotalLayers*RoutedExperts*HiddenSize+(TotalLayers-ActiveHashLayers)*RoutedExperts+ActiveHashLayers*VocabSize*ActivatedExperts)+(TP8LocalVocab*HiddenSize)+(TP8LocalVocab*HiddenSize)+(TotalLayers*2*(((2+HCSlots)*HCSlots)*HCSlots*HiddenSize+((2+HCSlots)*HCSlots)+3))+(TotalLayers*(2*HiddenSize+QLoraRank+HeadDim+TP8LocalHeads))+(HCSlots*HCSlots*HiddenSize+HCSlots+1)+(HiddenSize)</f>
        <v>37064255215.0</v>
      </c>
      <c r="BA52" s="30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1LocalIndexHeads*IndexHeadDim)*FP8Bytes+ROUNDUP((QLoraRank)/FP8Block,0)*ROUNDUP((TP1LocalIndexHeads*IndexHeadDim)/FP8Block,0)*ScaleBytes)+HiddenSize*TP1LocalIndexHeads*BF16Bytes))+(ShortLayers*(2*HiddenSize*(2*IndexHeadDim)*FP32Bytes+ShortRatio*2*IndexHeadDim*FP32Bytes+IndexHeadDim*FP32Bytes))+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+(TP1LocalVocab*HiddenSize*BF16Bytes)+(TP1LocalVocab*HiddenSize*FP32Bytes)+((TotalLayers*2*(((2+HCSlots)*HCSlots)*HCSlots*HiddenSize+((2+HCSlots)*HCSlots)+3))*FP32Bytes)+((TotalLayers*(2*HiddenSize+QLoraRank+HeadDim+TP1LocalHeads))*FP32Bytes)+((HCSlots*HCSlots*HiddenSize+HCSlots+1)*FP32Bytes)+((HiddenSize)*FP32Bytes)</f>
        <v>159117270492.0</v>
      </c>
      <c r="BB52" s="30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8LocalIndexHeads*IndexHeadDim)*FP8Bytes+ROUNDUP((QLoraRank)/FP8Block,0)*ROUNDUP((TP8LocalIndexHeads*IndexHeadDim)/FP8Block,0)*ScaleBytes)+HiddenSize*TP8LocalIndexHeads*BF16Bytes))+(ShortLayers*(2*HiddenSize*(2*IndexHeadDim)*FP32Bytes+ShortRatio*2*IndexHeadDim*FP32Bytes+IndexHeadDim*FP32Bytes))+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+(TP8LocalVocab*HiddenSize*BF16Bytes)+(TP8LocalVocab*HiddenSize*FP32Bytes)+((TotalLayers*2*(((2+HCSlots)*HCSlots)*HCSlots*HiddenSize+((2+HCSlots)*HCSlots)+3))*FP32Bytes)+((TotalLayers*(2*HiddenSize+QLoraRank+HeadDim+TP8LocalHeads))*FP32Bytes)+((HCSlots*HCSlots*HiddenSize+HCSlots+1)*FP32Bytes)+((HiddenSize)*FP32Bytes)</f>
        <v>22349822332.0</v>
      </c>
    </row>
  </sheetData>
  <mergeCells count="2">
    <mergeCell ref="A11:J11"/>
    <mergeCell ref="A22:L22"/>
  </mergeCell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BB52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5.7109375" customWidth="1"/>
    <col min="2" max="2" width="34.7109375" customWidth="1"/>
    <col min="3" max="3" width="27.7109375" customWidth="1"/>
    <col min="4" max="9" width="16.7109375" customWidth="1"/>
    <col min="10" max="11" width="34.7109375" customWidth="1"/>
    <col min="12" max="12" width="66.7109375" customWidth="1"/>
    <col min="21" max="26" width="0" hidden="1" customWidth="1"/>
    <col min="31" max="36" width="0" hidden="1" customWidth="1"/>
    <col min="41" max="54" width="0" hidden="1" customWidth="1"/>
  </cols>
  <sheetData>
    <row r="1" spans="1:36">
      <c r="A1" s="1" t="s">
        <v>328</v>
      </c>
    </row>
    <row r="2" spans="1:36">
      <c r="A2" s="2" t="s">
        <v>192</v>
      </c>
    </row>
    <row r="3" spans="1:36" hidden="1">
      <c r="A3" s="3" t="s">
        <v>193</v>
      </c>
      <c r="B3" s="3" t="s">
        <v>5</v>
      </c>
      <c r="C3" s="3" t="s">
        <v>194</v>
      </c>
      <c r="D3" s="3" t="s">
        <v>6</v>
      </c>
    </row>
    <row r="4" spans="1:36" ht="54" hidden="1" customHeight="1">
      <c r="A4" s="4" t="s">
        <v>195</v>
      </c>
      <c r="B4" s="25">
        <f>DecodeBatch*DecodeTokens</f>
        <v>1</v>
      </c>
      <c r="C4" s="4" t="s">
        <v>196</v>
      </c>
      <c r="D4" s="4" t="s">
        <v>197</v>
      </c>
    </row>
    <row r="5" spans="1:36" ht="54" hidden="1" customHeight="1">
      <c r="A5" s="4" t="s">
        <v>329</v>
      </c>
      <c r="B5" s="26">
        <f>DecodeTokens*MIN(WindowSize,DecodeContext)</f>
        <v>128</v>
      </c>
      <c r="C5" s="4" t="s">
        <v>199</v>
      </c>
      <c r="D5" s="4" t="s">
        <v>330</v>
      </c>
    </row>
    <row r="6" spans="1:36" ht="54" hidden="1" customHeight="1">
      <c r="A6" s="4" t="s">
        <v>331</v>
      </c>
      <c r="B6" s="26">
        <f>DecodeTokens*MIN(IndexTopK,INT(DecodeContext/ShortRatio))</f>
        <v>512</v>
      </c>
      <c r="C6" s="4" t="s">
        <v>199</v>
      </c>
      <c r="D6" s="4" t="s">
        <v>332</v>
      </c>
    </row>
    <row r="7" spans="1:36" ht="54" hidden="1" customHeight="1">
      <c r="A7" s="4" t="s">
        <v>333</v>
      </c>
      <c r="B7" s="26">
        <f>DecodeTokens*INT(DecodeContext/LongRatio)</f>
        <v>8192</v>
      </c>
      <c r="C7" s="4" t="s">
        <v>199</v>
      </c>
      <c r="D7" s="4" t="s">
        <v>334</v>
      </c>
    </row>
    <row r="8" spans="1:36" ht="54" hidden="1" customHeight="1">
      <c r="A8" s="4" t="s">
        <v>335</v>
      </c>
      <c r="B8" s="26">
        <f>DecodeTokens*INT(DecodeContext/ShortRatio)</f>
        <v>262144</v>
      </c>
      <c r="C8" s="4" t="s">
        <v>199</v>
      </c>
      <c r="D8" s="4" t="s">
        <v>336</v>
      </c>
    </row>
    <row r="9" spans="1:36" ht="54" hidden="1" customHeight="1">
      <c r="A9" s="4" t="s">
        <v>207</v>
      </c>
      <c r="B9" s="27">
        <f>1-(1-ActivatedExperts/RoutedExperts)^DC_Rows</f>
        <v>0.0234375</v>
      </c>
      <c r="C9" s="4" t="s">
        <v>208</v>
      </c>
      <c r="D9" s="4" t="s">
        <v>209</v>
      </c>
    </row>
    <row r="11" spans="1:36">
      <c r="A11" s="28" t="s">
        <v>210</v>
      </c>
      <c r="B11" s="28"/>
      <c r="C11" s="28"/>
      <c r="D11" s="28"/>
      <c r="E11" s="28"/>
      <c r="F11" s="28"/>
      <c r="G11" s="28"/>
      <c r="H11" s="28"/>
      <c r="I11" s="28"/>
      <c r="J11" s="28"/>
    </row>
    <row r="12" spans="1:36">
      <c r="A12" t="s">
        <v>211</v>
      </c>
      <c r="B12" t="s">
        <v>212</v>
      </c>
      <c r="C12" t="s">
        <v>213</v>
      </c>
      <c r="D12" t="s">
        <v>214</v>
      </c>
      <c r="E12" t="s">
        <v>215</v>
      </c>
      <c r="F12" t="s">
        <v>216</v>
      </c>
      <c r="G12" t="s">
        <v>217</v>
      </c>
      <c r="H12" t="s">
        <v>218</v>
      </c>
      <c r="I12" t="s">
        <v>219</v>
      </c>
      <c r="J12" t="s">
        <v>220</v>
      </c>
    </row>
    <row r="13" spans="1:36">
      <c r="A13" s="29" t="s">
        <v>221</v>
      </c>
      <c r="B13" s="29" t="str">
        <f>TEXT(IF(ABS(AE13)&gt;=1E12,AE13/1E12,IF(ABS(AE13)&gt;=1E9,AE13/1E9,IF(ABS(AE13)&gt;=1E6,AE13/1E6,IF(ABS(AE13)&gt;=1E3,AE13/1E3,AE13)))),"#,##0.000")&amp;IF((IF(ABS(AE13)&gt;=1E12,"TB",IF(ABS(AE13)&gt;=1E9,"GB",IF(ABS(AE13)&gt;=1E6,"MB",IF(ABS(AE13)&gt;=1E3,"KB","bytes")))))="",""," "&amp;(IF(ABS(AE13)&gt;=1E12,"TB",IF(ABS(AE13)&gt;=1E9,"GB",IF(ABS(AE13)&gt;=1E6,"MB",IF(ABS(AE13)&gt;=1E3,"KB","bytes"))))))</f>
        <v>166.349 GB</v>
      </c>
      <c r="C13" s="29" t="str">
        <f>TEXT(IF(ABS(AF13)&gt;=1E15,AF13/1E15,IF(ABS(AF13)&gt;=1E12,AF13/1E12,IF(ABS(AF13)&gt;=1E9,AF13/1E9,IF(ABS(AF13)&gt;=1E6,AF13/1E6,AF13)))),"#,##0.000")&amp;IF((IF(ABS(AF13)&gt;=1E15,"PFLOPs",IF(ABS(AF13)&gt;=1E12,"TFLOPs",IF(ABS(AF13)&gt;=1E9,"GFLOPs",IF(ABS(AF13)&gt;=1E6,"MFLOPs","flops")))))="",""," "&amp;(IF(ABS(AF13)&gt;=1E15,"PFLOPs",IF(ABS(AF13)&gt;=1E12,"TFLOPs",IF(ABS(AF13)&gt;=1E9,"GFLOPs",IF(ABS(AF13)&gt;=1E6,"MFLOPs","flops"))))))</f>
        <v>140.356 GFLOPs</v>
      </c>
      <c r="D13" s="29" t="str">
        <f>TEXT(IF(ABS(AG13)&gt;=1E12,AG13/1E12,IF(ABS(AG13)&gt;=1E9,AG13/1E9,IF(ABS(AG13)&gt;=1E6,AG13/1E6,IF(ABS(AG13)&gt;=1E3,AG13/1E3,AG13)))),"#,##0.000")&amp;IF((IF(ABS(AG13)&gt;=1E12,"TB",IF(ABS(AG13)&gt;=1E9,"GB",IF(ABS(AG13)&gt;=1E6,"MB",IF(ABS(AG13)&gt;=1E3,"KB","bytes")))))="",""," "&amp;(IF(ABS(AG13)&gt;=1E12,"TB",IF(ABS(AG13)&gt;=1E9,"GB",IF(ABS(AG13)&gt;=1E6,"MB",IF(ABS(AG13)&gt;=1E3,"KB","bytes"))))))</f>
        <v>0.000 B</v>
      </c>
      <c r="E13" s="29" t="str">
        <f>TEXT(IF(ABS(AH13)&gt;=1E12,AH13/1E12,IF(ABS(AH13)&gt;=1E9,AH13/1E9,IF(ABS(AH13)&gt;=1E6,AH13/1E6,IF(ABS(AH13)&gt;=1E3,AH13/1E3,AH13)))),"#,##0.000")&amp;IF((IF(ABS(AH13)&gt;=1E12,"TB",IF(ABS(AH13)&gt;=1E9,"GB",IF(ABS(AH13)&gt;=1E6,"MB",IF(ABS(AH13)&gt;=1E3,"KB","bytes")))))="",""," "&amp;(IF(ABS(AH13)&gt;=1E12,"TB",IF(ABS(AH13)&gt;=1E9,"GB",IF(ABS(AH13)&gt;=1E6,"MB",IF(ABS(AH13)&gt;=1E3,"KB","bytes"))))))</f>
        <v>29.582 GB</v>
      </c>
      <c r="F13" s="29" t="str">
        <f>TEXT(IF(ABS(AI13)&gt;=1E15,AI13/1E15,IF(ABS(AI13)&gt;=1E12,AI13/1E12,IF(ABS(AI13)&gt;=1E9,AI13/1E9,IF(ABS(AI13)&gt;=1E6,AI13/1E6,AI13)))),"#,##0.000")&amp;IF((IF(ABS(AI13)&gt;=1E15,"PFLOPs",IF(ABS(AI13)&gt;=1E12,"TFLOPs",IF(ABS(AI13)&gt;=1E9,"GFLOPs",IF(ABS(AI13)&gt;=1E6,"MFLOPs","flops")))))="",""," "&amp;(IF(ABS(AI13)&gt;=1E15,"PFLOPs",IF(ABS(AI13)&gt;=1E12,"TFLOPs",IF(ABS(AI13)&gt;=1E9,"GFLOPs",IF(ABS(AI13)&gt;=1E6,"MFLOPs","flops"))))))</f>
        <v>23.550 GFLOPs</v>
      </c>
      <c r="G13" s="29" t="str">
        <f>TEXT(IF(ABS(AJ13)&gt;=1E12,AJ13/1E12,IF(ABS(AJ13)&gt;=1E9,AJ13/1E9,IF(ABS(AJ13)&gt;=1E6,AJ13/1E6,IF(ABS(AJ13)&gt;=1E3,AJ13/1E3,AJ13)))),"#,##0.000")&amp;IF((IF(ABS(AJ13)&gt;=1E12,"TB",IF(ABS(AJ13)&gt;=1E9,"GB",IF(ABS(AJ13)&gt;=1E6,"MB",IF(ABS(AJ13)&gt;=1E3,"KB","bytes")))))="",""," "&amp;(IF(ABS(AJ13)&gt;=1E12,"TB",IF(ABS(AJ13)&gt;=1E9,"GB",IF(ABS(AJ13)&gt;=1E6,"MB",IF(ABS(AJ13)&gt;=1E3,"KB","bytes"))))))</f>
        <v>5.865 MB</v>
      </c>
      <c r="H13" s="4" t="s">
        <v>223</v>
      </c>
      <c r="I13" s="4" t="s">
        <v>224</v>
      </c>
      <c r="J13" s="4" t="s">
        <v>222</v>
      </c>
      <c r="AE13" s="30">
        <f>((TP1LocalVocab*HiddenSize*BF16Bytes)+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(0)+(0)+(0)+(ShortLayers*(((QLoraRank)*(TP1LocalIndexHeads*IndexHeadDim)*FP8Bytes+ROUNDUP((QLoraRank)/FP8Block,0)*ROUNDUP((TP1LocalIndexHeads*IndexHeadDim)/FP8Block,0)*ScaleBytes)+HiddenSize*TP1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TotalLayers*RoutedExperts*HiddenSize*BF16Bytes+(TotalLayers-ActiveHashLayers)*RoutedExperts*FP32Bytes+ActiveHashLayers*VocabSize*ActivatedExperts*INT32Bytes)+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(TotalLayers*2*(((2+HCSlots)*HCSlots)*HCSlots*HiddenSize+((2+HCSlots)*HCSlots)+3))*FP32Bytes+(HCSlots*HCSlots*HiddenSize+HCSlots+1)*FP32Bytes)+((TotalLayers*(2*HiddenSize+QLoraRank+HeadDim+TP1LocalHeads))*FP32Bytes+(HiddenSize)*FP32Bytes)+(0)+(TP1LocalVocab*HiddenSize*FP32Bytes)+(0)+(0))+(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)</f>
        <v>166349315548.0</v>
      </c>
      <c r="AF13" s="30">
        <f>(0)+(DC_Rows*TotalLayers*2*(HiddenSize*QLoraRank+QLoraRank*TP1LocalHeads*HeadDim+HiddenSize*HeadDim+TP1LocalHeads*HeadDim*OLoraRank+TP1LocalOGroups*OLoraRank*HiddenSize))+(4*DecodeBatch*TP1KernelLocalHeads*HeadDim*(WindowLayers*DC_RawPairs))+(4*DecodeBatch*TP1KernelLocalHeads*HeadDim*(ShortLayers*(DC_RawPairs+DC_ShortPairs)))+(4*DecodeBatch*TP1KernelLocalHeads*HeadDim*(LongLayers*(DC_RawPairs+DC_LongPairs)))+(2*DC_Rows*ShortLayers*(QLoraRank*TP1LocalIndexHeads*IndexHeadDim+HiddenSize*TP1LocalIndexHeads))+(2*DecodeBatch*ShortLayers*TP1LocalIndexHeads*IndexHeadDim*DC_IndexPairs)+(DC_Rows*ShortLayers*8*HiddenSize*HeadDim)+(DC_Rows*LongLayers*4*HiddenSize*HeadDim)+(DC_Rows*ShortLayers*8*HiddenSize*IndexHeadDim)+(2*DC_Rows*TotalLayers*HiddenSize*RoutedExperts)+(DC_Rows*TotalLayers*(ActivatedExperts/TP1Size)*6*HiddenSize*ExpertInter)+(DC_Rows*TotalLayers*SharedExperts*6*HiddenSize*ExpertInter)+(TotalLayers*2*(2*DC_Rows*HCSlots*HiddenSize*((2+HCSlots)*HCSlots)+DC_Rows*(2*HCSlots*HiddenSize+1)+DC_Rows*HiddenSize*(2*HCSlots-1)+DC_Rows*HCSlots*HiddenSize*(2*HCSlots+1))+2*DC_Rows*HCSlots*HiddenSize*HCSlots+DC_Rows*(2*HCSlots*HiddenSize+1)+DC_Rows*HiddenSize*(2*HCSlots-1))+(DC_Rows*TotalLayers*2*(4*HiddenSize+1)+DC_Rows*(4*HiddenSize+1))+(0)+(2*DC_Rows*HiddenSize*TP1LocalVocab)+(0)+(0)</f>
        <v>140355752110.0</v>
      </c>
      <c r="AG13" s="30">
        <f>(4*(TP1Size-1)/TP1Size*DC_Rows*HiddenSize*BF16Bytes)+(0)+(0)+(0)+(0)+(0)+(0)+(0)+(0)+(0)+(0)+(0)+(0)+(0)+(0)+(0)+(2*(TP1Size-1)*DC_Rows*TP1LocalVocab*FP32Bytes)+(4*(TP1Size-1)/TP1Size*DC_Rows*HiddenSize*FP32Bytes*TotalLayers)+(4*(TP1Size-1)/TP1Size*DC_Rows*HiddenSize*FP32Bytes*TotalLayers)</f>
        <v>0.0</v>
      </c>
      <c r="AH13" s="30">
        <f>((TP8LocalVocab*HiddenSize*BF16Bytes)+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(0)+(0)+(0)+(ShortLayers*(((QLoraRank)*(TP8LocalIndexHeads*IndexHeadDim)*FP8Bytes+ROUNDUP((QLoraRank)/FP8Block,0)*ROUNDUP((TP8LocalIndexHeads*IndexHeadDim)/FP8Block,0)*ScaleBytes)+HiddenSize*TP8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TotalLayers*RoutedExperts*HiddenSize*BF16Bytes+(TotalLayers-ActiveHashLayers)*RoutedExperts*FP32Bytes+ActiveHashLayers*VocabSize*ActivatedExperts*INT32Bytes)+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(TotalLayers*2*(((2+HCSlots)*HCSlots)*HCSlots*HiddenSize+((2+HCSlots)*HCSlots)+3))*FP32Bytes+(HCSlots*HCSlots*HiddenSize+HCSlots+1)*FP32Bytes)+((TotalLayers*(2*HiddenSize+QLoraRank+HeadDim+TP8LocalHeads))*FP32Bytes+(HiddenSize)*FP32Bytes)+(0)+(TP8LocalVocab*HiddenSize*FP32Bytes)+(0)+(0))+(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)</f>
        <v>29581867388.0</v>
      </c>
      <c r="AI13" s="30">
        <f>(0)+(DC_Rows*TotalLayers*2*(HiddenSize*QLoraRank+QLoraRank*TP8LocalHeads*HeadDim+HiddenSize*HeadDim+TP8LocalHeads*HeadDim*OLoraRank+TP8LocalOGroups*OLoraRank*HiddenSize))+(4*DecodeBatch*TP8KernelLocalHeads*HeadDim*(WindowLayers*DC_RawPairs))+(4*DecodeBatch*TP8KernelLocalHeads*HeadDim*(ShortLayers*(DC_RawPairs+DC_ShortPairs)))+(4*DecodeBatch*TP8KernelLocalHeads*HeadDim*(LongLayers*(DC_RawPairs+DC_LongPairs)))+(2*DC_Rows*ShortLayers*(QLoraRank*TP8LocalIndexHeads*IndexHeadDim+HiddenSize*TP8LocalIndexHeads))+(2*DecodeBatch*ShortLayers*TP8LocalIndexHeads*IndexHeadDim*DC_IndexPairs)+(DC_Rows*ShortLayers*8*HiddenSize*HeadDim)+(DC_Rows*LongLayers*4*HiddenSize*HeadDim)+(DC_Rows*ShortLayers*8*HiddenSize*IndexHeadDim)+(2*DC_Rows*TotalLayers*HiddenSize*RoutedExperts)+(DC_Rows*TotalLayers*(ActivatedExperts/TP8Size)*6*HiddenSize*ExpertInter)+(DC_Rows*TotalLayers*SharedExperts*6*HiddenSize*ExpertInter)+(TotalLayers*2*(2*DC_Rows*HCSlots*HiddenSize*((2+HCSlots)*HCSlots)+DC_Rows*(2*HCSlots*HiddenSize+1)+DC_Rows*HiddenSize*(2*HCSlots-1)+DC_Rows*HCSlots*HiddenSize*(2*HCSlots+1))+2*DC_Rows*HCSlots*HiddenSize*HCSlots+DC_Rows*(2*HCSlots*HiddenSize+1)+DC_Rows*HiddenSize*(2*HCSlots-1))+(DC_Rows*TotalLayers*2*(4*HiddenSize+1)+DC_Rows*(4*HiddenSize+1))+(0)+(2*DC_Rows*HiddenSize*TP8LocalVocab)+(0)+(0)</f>
        <v>23549694126.0</v>
      </c>
      <c r="AJ13" s="30">
        <f>(4*(TP8Size-1)/TP8Size*DC_Rows*HiddenSize*BF16Bytes)+(0)+(0)+(0)+(0)+(0)+(0)+(0)+(0)+(0)+(0)+(0)+(0)+(0)+(0)+(0)+(2*(TP8Size-1)*DC_Rows*TP8LocalVocab*FP32Bytes)+(4*(TP8Size-1)/TP8Size*DC_Rows*HiddenSize*FP32Bytes*TotalLayers)+(4*(TP8Size-1)/TP8Size*DC_Rows*HiddenSize*FP32Bytes*TotalLayers)</f>
        <v>5865216.0</v>
      </c>
    </row>
    <row r="14" spans="1:36">
      <c r="A14" s="4" t="s">
        <v>40</v>
      </c>
      <c r="B14" s="31" t="str">
        <f>TEXT(IF(ABS(AE14)&gt;=1E12,AE14/1E12,IF(ABS(AE14)&gt;=1E9,AE14/1E9,IF(ABS(AE14)&gt;=1E6,AE14/1E6,IF(ABS(AE14)&gt;=1E3,AE14/1E3,AE14)))),"#,##0.000")&amp;IF((IF(ABS(AE14)&gt;=1E12,"TB",IF(ABS(AE14)&gt;=1E9,"GB",IF(ABS(AE14)&gt;=1E6,"MB",IF(ABS(AE14)&gt;=1E3,"KB","bytes")))))="",""," "&amp;(IF(ABS(AE14)&gt;=1E12,"TB",IF(ABS(AE14)&gt;=1E9,"GB",IF(ABS(AE14)&gt;=1E6,"MB",IF(ABS(AE14)&gt;=1E3,"KB","bytes"))))))</f>
        <v>7.451 GB</v>
      </c>
      <c r="C14" s="31" t="str">
        <f>TEXT(IF(ABS(AF14)&gt;=1E15,AF14/1E15,IF(ABS(AF14)&gt;=1E12,AF14/1E12,IF(ABS(AF14)&gt;=1E9,AF14/1E9,IF(ABS(AF14)&gt;=1E6,AF14/1E6,AF14)))),"#,##0.000")&amp;IF((IF(ABS(AF14)&gt;=1E15,"PFLOPs",IF(ABS(AF14)&gt;=1E12,"TFLOPs",IF(ABS(AF14)&gt;=1E9,"GFLOPs",IF(ABS(AF14)&gt;=1E6,"MFLOPs","flops")))))="",""," "&amp;(IF(ABS(AF14)&gt;=1E15,"PFLOPs",IF(ABS(AF14)&gt;=1E12,"TFLOPs",IF(ABS(AF14)&gt;=1E9,"GFLOPs",IF(ABS(AF14)&gt;=1E6,"MFLOPs","flops"))))))</f>
        <v>123.969 GFLOPs</v>
      </c>
      <c r="D14" s="31" t="str">
        <f>TEXT(IF(ABS(AG14)&gt;=1E12,AG14/1E12,IF(ABS(AG14)&gt;=1E9,AG14/1E9,IF(ABS(AG14)&gt;=1E6,AG14/1E6,IF(ABS(AG14)&gt;=1E3,AG14/1E3,AG14)))),"#,##0.000")&amp;IF((IF(ABS(AG14)&gt;=1E12,"TB",IF(ABS(AG14)&gt;=1E9,"GB",IF(ABS(AG14)&gt;=1E6,"MB",IF(ABS(AG14)&gt;=1E3,"KB","bytes")))))="",""," "&amp;(IF(ABS(AG14)&gt;=1E12,"TB",IF(ABS(AG14)&gt;=1E9,"GB",IF(ABS(AG14)&gt;=1E6,"MB",IF(ABS(AG14)&gt;=1E3,"KB","bytes"))))))</f>
        <v>0.000 B</v>
      </c>
      <c r="E14" s="31" t="str">
        <f>TEXT(IF(ABS(AH14)&gt;=1E12,AH14/1E12,IF(ABS(AH14)&gt;=1E9,AH14/1E9,IF(ABS(AH14)&gt;=1E6,AH14/1E6,IF(ABS(AH14)&gt;=1E3,AH14/1E3,AH14)))),"#,##0.000")&amp;IF((IF(ABS(AH14)&gt;=1E12,"TB",IF(ABS(AH14)&gt;=1E9,"GB",IF(ABS(AH14)&gt;=1E6,"MB",IF(ABS(AH14)&gt;=1E3,"KB","bytes")))))="",""," "&amp;(IF(ABS(AH14)&gt;=1E12,"TB",IF(ABS(AH14)&gt;=1E9,"GB",IF(ABS(AH14)&gt;=1E6,"MB",IF(ABS(AH14)&gt;=1E3,"KB","bytes"))))))</f>
        <v>2.238 GB</v>
      </c>
      <c r="F14" s="31" t="str">
        <f>TEXT(IF(ABS(AI14)&gt;=1E15,AI14/1E15,IF(ABS(AI14)&gt;=1E12,AI14/1E12,IF(ABS(AI14)&gt;=1E9,AI14/1E9,IF(ABS(AI14)&gt;=1E6,AI14/1E6,AI14)))),"#,##0.000")&amp;IF((IF(ABS(AI14)&gt;=1E15,"PFLOPs",IF(ABS(AI14)&gt;=1E12,"TFLOPs",IF(ABS(AI14)&gt;=1E9,"GFLOPs",IF(ABS(AI14)&gt;=1E6,"MFLOPs","flops")))))="",""," "&amp;(IF(ABS(AI14)&gt;=1E15,"PFLOPs",IF(ABS(AI14)&gt;=1E12,"TFLOPs",IF(ABS(AI14)&gt;=1E9,"GFLOPs",IF(ABS(AI14)&gt;=1E6,"MFLOPs","flops"))))))</f>
        <v>19.452 GFLOPs</v>
      </c>
      <c r="G14" s="31" t="str">
        <f>TEXT(IF(ABS(AJ14)&gt;=1E12,AJ14/1E12,IF(ABS(AJ14)&gt;=1E9,AJ14/1E9,IF(ABS(AJ14)&gt;=1E6,AJ14/1E6,IF(ABS(AJ14)&gt;=1E3,AJ14/1E3,AJ14)))),"#,##0.000")&amp;IF((IF(ABS(AJ14)&gt;=1E12,"TB",IF(ABS(AJ14)&gt;=1E9,"GB",IF(ABS(AJ14)&gt;=1E6,"MB",IF(ABS(AJ14)&gt;=1E3,"KB","bytes")))))="",""," "&amp;(IF(ABS(AJ14)&gt;=1E12,"TB",IF(ABS(AJ14)&gt;=1E9,"GB",IF(ABS(AJ14)&gt;=1E6,"MB",IF(ABS(AJ14)&gt;=1E3,"KB","bytes"))))))</f>
        <v>2.466 MB</v>
      </c>
      <c r="H14" s="4" t="s">
        <v>226</v>
      </c>
      <c r="I14" s="4" t="s">
        <v>227</v>
      </c>
      <c r="J14" s="4" t="s">
        <v>225</v>
      </c>
      <c r="AE14" s="30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(0)+(0)+(0)+(ShortLayers*(((QLoraRank)*(TP1LocalIndexHeads*IndexHeadDim)*FP8Bytes+ROUNDUP((QLoraRank)/FP8Block,0)*ROUNDUP((TP1LocalIndexHeads*IndexHeadDim)/FP8Block,0)*ScaleBytes)+HiddenSize*TP1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(0)</f>
        <v>7451384960</v>
      </c>
      <c r="AF14" s="30">
        <f>(DC_Rows*TotalLayers*2*(HiddenSize*QLoraRank+QLoraRank*TP1LocalHeads*HeadDim+HiddenSize*HeadDim+TP1LocalHeads*HeadDim*OLoraRank+TP1LocalOGroups*OLoraRank*HiddenSize))+(4*DecodeBatch*TP1KernelLocalHeads*HeadDim*(WindowLayers*DC_RawPairs))+(4*DecodeBatch*TP1KernelLocalHeads*HeadDim*(ShortLayers*(DC_RawPairs+DC_ShortPairs)))+(4*DecodeBatch*TP1KernelLocalHeads*HeadDim*(LongLayers*(DC_RawPairs+DC_LongPairs)))+(2*DC_Rows*ShortLayers*(QLoraRank*TP1LocalIndexHeads*IndexHeadDim+HiddenSize*TP1LocalIndexHeads))+(2*DecodeBatch*ShortLayers*TP1LocalIndexHeads*IndexHeadDim*DC_IndexPairs)+(DC_Rows*ShortLayers*8*HiddenSize*HeadDim)+(DC_Rows*LongLayers*4*HiddenSize*HeadDim)+(DC_Rows*ShortLayers*8*HiddenSize*IndexHeadDim)+(0)</f>
        <v>123969470464.0</v>
      </c>
      <c r="AG14" s="30">
        <f>(0)+(0)+(0)+(0)+(0)+(0)+(0)+(0)+(0)+(4*(TP1Size-1)/TP1Size*DC_Rows*HiddenSize*FP32Bytes*TotalLayers)</f>
        <v>0.0</v>
      </c>
      <c r="AH14" s="30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(0)+(0)+(0)+(ShortLayers*(((QLoraRank)*(TP8LocalIndexHeads*IndexHeadDim)*FP8Bytes+ROUNDUP((QLoraRank)/FP8Block,0)*ROUNDUP((TP8LocalIndexHeads*IndexHeadDim)/FP8Block,0)*ScaleBytes)+HiddenSize*TP8LocalIndexHeads*BF16Bytes))+(0)+(ShortLayers*(2*HiddenSize*(2*HeadDim)*FP32Bytes+ShortRatio*2*HeadDim*FP32Bytes+HeadDim*FP32Bytes))+(LongLayers*(2*HiddenSize*HeadDim*FP32Bytes+LongRatio*HeadDim*FP32Bytes+HeadDim*FP32Bytes))+(ShortLayers*(2*HiddenSize*(2*IndexHeadDim)*FP32Bytes+ShortRatio*2*IndexHeadDim*FP32Bytes+IndexHeadDim*FP32Bytes))+(0)</f>
        <v>2237504960</v>
      </c>
      <c r="AI14" s="30">
        <f>(DC_Rows*TotalLayers*2*(HiddenSize*QLoraRank+QLoraRank*TP8LocalHeads*HeadDim+HiddenSize*HeadDim+TP8LocalHeads*HeadDim*OLoraRank+TP8LocalOGroups*OLoraRank*HiddenSize))+(4*DecodeBatch*TP8KernelLocalHeads*HeadDim*(WindowLayers*DC_RawPairs))+(4*DecodeBatch*TP8KernelLocalHeads*HeadDim*(ShortLayers*(DC_RawPairs+DC_ShortPairs)))+(4*DecodeBatch*TP8KernelLocalHeads*HeadDim*(LongLayers*(DC_RawPairs+DC_LongPairs)))+(2*DC_Rows*ShortLayers*(QLoraRank*TP8LocalIndexHeads*IndexHeadDim+HiddenSize*TP8LocalIndexHeads))+(2*DecodeBatch*ShortLayers*TP8LocalIndexHeads*IndexHeadDim*DC_IndexPairs)+(DC_Rows*ShortLayers*8*HiddenSize*HeadDim)+(DC_Rows*LongLayers*4*HiddenSize*HeadDim)+(DC_Rows*ShortLayers*8*HiddenSize*IndexHeadDim)+(0)</f>
        <v>19452461056.0</v>
      </c>
      <c r="AJ14" s="30">
        <f>(0)+(0)+(0)+(0)+(0)+(0)+(0)+(0)+(0)+(4*(TP8Size-1)/TP8Size*DC_Rows*HiddenSize*FP32Bytes*TotalLayers)</f>
        <v>2465792.0</v>
      </c>
    </row>
    <row r="15" spans="1:36">
      <c r="A15" s="4" t="s">
        <v>59</v>
      </c>
      <c r="B15" s="31" t="str">
        <f>TEXT(IF(ABS(AE15)&gt;=1E12,AE15/1E12,IF(ABS(AE15)&gt;=1E9,AE15/1E9,IF(ABS(AE15)&gt;=1E6,AE15/1E6,IF(ABS(AE15)&gt;=1E3,AE15/1E3,AE15)))),"#,##0.000")&amp;IF((IF(ABS(AE15)&gt;=1E12,"TB",IF(ABS(AE15)&gt;=1E9,"GB",IF(ABS(AE15)&gt;=1E6,"MB",IF(ABS(AE15)&gt;=1E3,"KB","bytes")))))="",""," "&amp;(IF(ABS(AE15)&gt;=1E12,"TB",IF(ABS(AE15)&gt;=1E9,"GB",IF(ABS(AE15)&gt;=1E6,"MB",IF(ABS(AE15)&gt;=1E3,"KB","bytes"))))))</f>
        <v>148.351 GB</v>
      </c>
      <c r="C15" s="31" t="str">
        <f>TEXT(IF(ABS(AF15)&gt;=1E15,AF15/1E15,IF(ABS(AF15)&gt;=1E12,AF15/1E12,IF(ABS(AF15)&gt;=1E9,AF15/1E9,IF(ABS(AF15)&gt;=1E6,AF15/1E6,AF15)))),"#,##0.000")&amp;IF((IF(ABS(AF15)&gt;=1E15,"PFLOPs",IF(ABS(AF15)&gt;=1E12,"TFLOPs",IF(ABS(AF15)&gt;=1E9,"GFLOPs",IF(ABS(AF15)&gt;=1E6,"MFLOPs","flops")))))="",""," "&amp;(IF(ABS(AF15)&gt;=1E15,"PFLOPs",IF(ABS(AF15)&gt;=1E12,"TFLOPs",IF(ABS(AF15)&gt;=1E9,"GFLOPs",IF(ABS(AF15)&gt;=1E6,"MFLOPs","flops"))))))</f>
        <v>15.240 GFLOPs</v>
      </c>
      <c r="D15" s="31" t="str">
        <f>TEXT(IF(ABS(AG15)&gt;=1E12,AG15/1E12,IF(ABS(AG15)&gt;=1E9,AG15/1E9,IF(ABS(AG15)&gt;=1E6,AG15/1E6,IF(ABS(AG15)&gt;=1E3,AG15/1E3,AG15)))),"#,##0.000")&amp;IF((IF(ABS(AG15)&gt;=1E12,"TB",IF(ABS(AG15)&gt;=1E9,"GB",IF(ABS(AG15)&gt;=1E6,"MB",IF(ABS(AG15)&gt;=1E3,"KB","bytes")))))="",""," "&amp;(IF(ABS(AG15)&gt;=1E12,"TB",IF(ABS(AG15)&gt;=1E9,"GB",IF(ABS(AG15)&gt;=1E6,"MB",IF(ABS(AG15)&gt;=1E3,"KB","bytes"))))))</f>
        <v>0.000 B</v>
      </c>
      <c r="E15" s="31" t="str">
        <f>TEXT(IF(ABS(AH15)&gt;=1E12,AH15/1E12,IF(ABS(AH15)&gt;=1E9,AH15/1E9,IF(ABS(AH15)&gt;=1E6,AH15/1E6,IF(ABS(AH15)&gt;=1E3,AH15/1E3,AH15)))),"#,##0.000")&amp;IF((IF(ABS(AH15)&gt;=1E12,"TB",IF(ABS(AH15)&gt;=1E9,"GB",IF(ABS(AH15)&gt;=1E6,"MB",IF(ABS(AH15)&gt;=1E3,"KB","bytes")))))="",""," "&amp;(IF(ABS(AH15)&gt;=1E12,"TB",IF(ABS(AH15)&gt;=1E9,"GB",IF(ABS(AH15)&gt;=1E6,"MB",IF(ABS(AH15)&gt;=1E3,"KB","bytes"))))))</f>
        <v>19.578 GB</v>
      </c>
      <c r="F15" s="31" t="str">
        <f>TEXT(IF(ABS(AI15)&gt;=1E15,AI15/1E15,IF(ABS(AI15)&gt;=1E12,AI15/1E12,IF(ABS(AI15)&gt;=1E9,AI15/1E9,IF(ABS(AI15)&gt;=1E6,AI15/1E6,AI15)))),"#,##0.000")&amp;IF((IF(ABS(AI15)&gt;=1E15,"PFLOPs",IF(ABS(AI15)&gt;=1E12,"TFLOPs",IF(ABS(AI15)&gt;=1E9,"GFLOPs",IF(ABS(AI15)&gt;=1E6,"MFLOPs","flops")))))="",""," "&amp;(IF(ABS(AI15)&gt;=1E15,"PFLOPs",IF(ABS(AI15)&gt;=1E12,"TFLOPs",IF(ABS(AI15)&gt;=1E9,"GFLOPs",IF(ABS(AI15)&gt;=1E6,"MFLOPs","flops"))))))</f>
        <v>3.878 GFLOPs</v>
      </c>
      <c r="G15" s="31" t="str">
        <f>TEXT(IF(ABS(AJ15)&gt;=1E12,AJ15/1E12,IF(ABS(AJ15)&gt;=1E9,AJ15/1E9,IF(ABS(AJ15)&gt;=1E6,AJ15/1E6,IF(ABS(AJ15)&gt;=1E3,AJ15/1E3,AJ15)))),"#,##0.000")&amp;IF((IF(ABS(AJ15)&gt;=1E12,"TB",IF(ABS(AJ15)&gt;=1E9,"GB",IF(ABS(AJ15)&gt;=1E6,"MB",IF(ABS(AJ15)&gt;=1E3,"KB","bytes")))))="",""," "&amp;(IF(ABS(AJ15)&gt;=1E12,"TB",IF(ABS(AJ15)&gt;=1E9,"GB",IF(ABS(AJ15)&gt;=1E6,"MB",IF(ABS(AJ15)&gt;=1E3,"KB","bytes"))))))</f>
        <v>2.466 MB</v>
      </c>
      <c r="H15" s="4" t="s">
        <v>229</v>
      </c>
      <c r="I15" s="4" t="s">
        <v>224</v>
      </c>
      <c r="J15" s="4" t="s">
        <v>228</v>
      </c>
      <c r="AE15" s="30">
        <f>(TotalLayers*RoutedExperts*HiddenSize*BF16Bytes+(TotalLayers-ActiveHashLayers)*RoutedExperts*FP32Bytes+ActiveHashLayers*VocabSize*ActivatedExperts*INT32Bytes)+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(0)</f>
        <v>148351461888.0</v>
      </c>
      <c r="AF15" s="30">
        <f>(2*DC_Rows*TotalLayers*HiddenSize*RoutedExperts)+(DC_Rows*TotalLayers*(ActivatedExperts/TP1Size)*6*HiddenSize*ExpertInter)+(DC_Rows*TotalLayers*SharedExperts*6*HiddenSize*ExpertInter)+(0)</f>
        <v>15240003584.0</v>
      </c>
      <c r="AG15" s="30">
        <f>(0)+(0)+(0)+(4*(TP1Size-1)/TP1Size*DC_Rows*HiddenSize*FP32Bytes*TotalLayers)</f>
        <v>0.0</v>
      </c>
      <c r="AH15" s="30">
        <f>(TotalLayers*RoutedExperts*HiddenSize*BF16Bytes+(TotalLayers-ActiveHashLayers)*RoutedExperts*FP32Bytes+ActiveHashLayers*VocabSize*ActivatedExperts*INT32Bytes)+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(0)</f>
        <v>19577940480.0</v>
      </c>
      <c r="AI15" s="30">
        <f>(2*DC_Rows*TotalLayers*HiddenSize*RoutedExperts)+(DC_Rows*TotalLayers*(ActivatedExperts/TP8Size)*6*HiddenSize*ExpertInter)+(DC_Rows*TotalLayers*SharedExperts*6*HiddenSize*ExpertInter)+(0)</f>
        <v>3877634048.0</v>
      </c>
      <c r="AJ15" s="30">
        <f>(0)+(0)+(0)+(4*(TP8Size-1)/TP8Size*DC_Rows*HiddenSize*FP32Bytes*TotalLayers)</f>
        <v>2465792.0</v>
      </c>
    </row>
    <row r="16" spans="1:36">
      <c r="A16" s="4" t="s">
        <v>230</v>
      </c>
      <c r="B16" s="31" t="str">
        <f>TEXT(IF(ABS(AE16)&gt;=1E12,AE16/1E12,IF(ABS(AE16)&gt;=1E9,AE16/1E9,IF(ABS(AE16)&gt;=1E6,AE16/1E6,IF(ABS(AE16)&gt;=1E3,AE16/1E3,AE16)))),"#,##0.000")&amp;IF((IF(ABS(AE16)&gt;=1E12,"TB",IF(ABS(AE16)&gt;=1E9,"GB",IF(ABS(AE16)&gt;=1E6,"MB",IF(ABS(AE16)&gt;=1E3,"KB","bytes")))))="",""," "&amp;(IF(ABS(AE16)&gt;=1E12,"TB",IF(ABS(AE16)&gt;=1E9,"GB",IF(ABS(AE16)&gt;=1E6,"MB",IF(ABS(AE16)&gt;=1E3,"KB","bytes"))))))</f>
        <v>1.059 GB</v>
      </c>
      <c r="C16" s="31" t="str">
        <f>TEXT(IF(ABS(AF16)&gt;=1E15,AF16/1E15,IF(ABS(AF16)&gt;=1E12,AF16/1E12,IF(ABS(AF16)&gt;=1E9,AF16/1E9,IF(ABS(AF16)&gt;=1E6,AF16/1E6,AF16)))),"#,##0.000")&amp;IF((IF(ABS(AF16)&gt;=1E15,"PFLOPs",IF(ABS(AF16)&gt;=1E12,"TFLOPs",IF(ABS(AF16)&gt;=1E9,"GFLOPs",IF(ABS(AF16)&gt;=1E6,"MFLOPs","flops")))))="",""," "&amp;(IF(ABS(AF16)&gt;=1E15,"PFLOPs",IF(ABS(AF16)&gt;=1E12,"TFLOPs",IF(ABS(AF16)&gt;=1E9,"GFLOPs",IF(ABS(AF16)&gt;=1E6,"MFLOPs","flops"))))))</f>
        <v>0.000 FLOPs</v>
      </c>
      <c r="D16" s="31" t="str">
        <f>TEXT(IF(ABS(AG16)&gt;=1E12,AG16/1E12,IF(ABS(AG16)&gt;=1E9,AG16/1E9,IF(ABS(AG16)&gt;=1E6,AG16/1E6,IF(ABS(AG16)&gt;=1E3,AG16/1E3,AG16)))),"#,##0.000")&amp;IF((IF(ABS(AG16)&gt;=1E12,"TB",IF(ABS(AG16)&gt;=1E9,"GB",IF(ABS(AG16)&gt;=1E6,"MB",IF(ABS(AG16)&gt;=1E3,"KB","bytes")))))="",""," "&amp;(IF(ABS(AG16)&gt;=1E12,"TB",IF(ABS(AG16)&gt;=1E9,"GB",IF(ABS(AG16)&gt;=1E6,"MB",IF(ABS(AG16)&gt;=1E3,"KB","bytes"))))))</f>
        <v>0.000 B</v>
      </c>
      <c r="E16" s="31" t="str">
        <f>TEXT(IF(ABS(AH16)&gt;=1E12,AH16/1E12,IF(ABS(AH16)&gt;=1E9,AH16/1E9,IF(ABS(AH16)&gt;=1E6,AH16/1E6,IF(ABS(AH16)&gt;=1E3,AH16/1E3,AH16)))),"#,##0.000")&amp;IF((IF(ABS(AH16)&gt;=1E12,"TB",IF(ABS(AH16)&gt;=1E9,"GB",IF(ABS(AH16)&gt;=1E6,"MB",IF(ABS(AH16)&gt;=1E3,"KB","bytes")))))="",""," "&amp;(IF(ABS(AH16)&gt;=1E12,"TB",IF(ABS(AH16)&gt;=1E9,"GB",IF(ABS(AH16)&gt;=1E6,"MB",IF(ABS(AH16)&gt;=1E3,"KB","bytes"))))))</f>
        <v>132.383 MB</v>
      </c>
      <c r="F16" s="31" t="str">
        <f>TEXT(IF(ABS(AI16)&gt;=1E15,AI16/1E15,IF(ABS(AI16)&gt;=1E12,AI16/1E12,IF(ABS(AI16)&gt;=1E9,AI16/1E9,IF(ABS(AI16)&gt;=1E6,AI16/1E6,AI16)))),"#,##0.000")&amp;IF((IF(ABS(AI16)&gt;=1E15,"PFLOPs",IF(ABS(AI16)&gt;=1E12,"TFLOPs",IF(ABS(AI16)&gt;=1E9,"GFLOPs",IF(ABS(AI16)&gt;=1E6,"MFLOPs","flops")))))="",""," "&amp;(IF(ABS(AI16)&gt;=1E15,"PFLOPs",IF(ABS(AI16)&gt;=1E12,"TFLOPs",IF(ABS(AI16)&gt;=1E9,"GFLOPs",IF(ABS(AI16)&gt;=1E6,"MFLOPs","flops"))))))</f>
        <v>0.000 FLOPs</v>
      </c>
      <c r="G16" s="31" t="str">
        <f>TEXT(IF(ABS(AJ16)&gt;=1E12,AJ16/1E12,IF(ABS(AJ16)&gt;=1E9,AJ16/1E9,IF(ABS(AJ16)&gt;=1E6,AJ16/1E6,IF(ABS(AJ16)&gt;=1E3,AJ16/1E3,AJ16)))),"#,##0.000")&amp;IF((IF(ABS(AJ16)&gt;=1E12,"TB",IF(ABS(AJ16)&gt;=1E9,"GB",IF(ABS(AJ16)&gt;=1E6,"MB",IF(ABS(AJ16)&gt;=1E3,"KB","bytes")))))="",""," "&amp;(IF(ABS(AJ16)&gt;=1E12,"TB",IF(ABS(AJ16)&gt;=1E9,"GB",IF(ABS(AJ16)&gt;=1E6,"MB",IF(ABS(AJ16)&gt;=1E3,"KB","bytes"))))))</f>
        <v>28.672 KB</v>
      </c>
      <c r="H16" s="4" t="s">
        <v>232</v>
      </c>
      <c r="I16" s="4" t="s">
        <v>233</v>
      </c>
      <c r="J16" s="4" t="s">
        <v>231</v>
      </c>
      <c r="AE16" s="30">
        <f>(TP1LocalVocab*HiddenSize*BF16Bytes)</f>
        <v>1059061760.0</v>
      </c>
      <c r="AF16" s="30">
        <f>(0)</f>
        <v>0</v>
      </c>
      <c r="AG16" s="30">
        <f>(4*(TP1Size-1)/TP1Size*DC_Rows*HiddenSize*BF16Bytes)</f>
        <v>0.0</v>
      </c>
      <c r="AH16" s="30">
        <f>(TP8LocalVocab*HiddenSize*BF16Bytes)</f>
        <v>132382720.0</v>
      </c>
      <c r="AI16" s="30">
        <f>(0)</f>
        <v>0</v>
      </c>
      <c r="AJ16" s="30">
        <f>(4*(TP8Size-1)/TP8Size*DC_Rows*HiddenSize*BF16Bytes)</f>
        <v>28672.0</v>
      </c>
    </row>
    <row r="17" spans="1:36">
      <c r="A17" s="4" t="s">
        <v>234</v>
      </c>
      <c r="B17" s="31" t="str">
        <f>TEXT(IF(ABS(AE17)&gt;=1E12,AE17/1E12,IF(ABS(AE17)&gt;=1E9,AE17/1E9,IF(ABS(AE17)&gt;=1E6,AE17/1E6,IF(ABS(AE17)&gt;=1E3,AE17/1E3,AE17)))),"#,##0.000")&amp;IF((IF(ABS(AE17)&gt;=1E12,"TB",IF(ABS(AE17)&gt;=1E9,"GB",IF(ABS(AE17)&gt;=1E6,"MB",IF(ABS(AE17)&gt;=1E3,"KB","bytes")))))="",""," "&amp;(IF(ABS(AE17)&gt;=1E12,"TB",IF(ABS(AE17)&gt;=1E9,"GB",IF(ABS(AE17)&gt;=1E6,"MB",IF(ABS(AE17)&gt;=1E3,"KB","bytes"))))))</f>
        <v>2.118 GB</v>
      </c>
      <c r="C17" s="31" t="str">
        <f>TEXT(IF(ABS(AF17)&gt;=1E15,AF17/1E15,IF(ABS(AF17)&gt;=1E12,AF17/1E12,IF(ABS(AF17)&gt;=1E9,AF17/1E9,IF(ABS(AF17)&gt;=1E6,AF17/1E6,AF17)))),"#,##0.000")&amp;IF((IF(ABS(AF17)&gt;=1E15,"PFLOPs",IF(ABS(AF17)&gt;=1E12,"TFLOPs",IF(ABS(AF17)&gt;=1E9,"GFLOPs",IF(ABS(AF17)&gt;=1E6,"MFLOPs","flops")))))="",""," "&amp;(IF(ABS(AF17)&gt;=1E15,"PFLOPs",IF(ABS(AF17)&gt;=1E12,"TFLOPs",IF(ABS(AF17)&gt;=1E9,"GFLOPs",IF(ABS(AF17)&gt;=1E6,"MFLOPs","flops"))))))</f>
        <v>1.059 GFLOPs</v>
      </c>
      <c r="D17" s="31" t="str">
        <f>TEXT(IF(ABS(AG17)&gt;=1E12,AG17/1E12,IF(ABS(AG17)&gt;=1E9,AG17/1E9,IF(ABS(AG17)&gt;=1E6,AG17/1E6,IF(ABS(AG17)&gt;=1E3,AG17/1E3,AG17)))),"#,##0.000")&amp;IF((IF(ABS(AG17)&gt;=1E12,"TB",IF(ABS(AG17)&gt;=1E9,"GB",IF(ABS(AG17)&gt;=1E6,"MB",IF(ABS(AG17)&gt;=1E3,"KB","bytes")))))="",""," "&amp;(IF(ABS(AG17)&gt;=1E12,"TB",IF(ABS(AG17)&gt;=1E9,"GB",IF(ABS(AG17)&gt;=1E6,"MB",IF(ABS(AG17)&gt;=1E3,"KB","bytes"))))))</f>
        <v>0.000 B</v>
      </c>
      <c r="E17" s="31" t="str">
        <f>TEXT(IF(ABS(AH17)&gt;=1E12,AH17/1E12,IF(ABS(AH17)&gt;=1E9,AH17/1E9,IF(ABS(AH17)&gt;=1E6,AH17/1E6,IF(ABS(AH17)&gt;=1E3,AH17/1E3,AH17)))),"#,##0.000")&amp;IF((IF(ABS(AH17)&gt;=1E12,"TB",IF(ABS(AH17)&gt;=1E9,"GB",IF(ABS(AH17)&gt;=1E6,"MB",IF(ABS(AH17)&gt;=1E3,"KB","bytes")))))="",""," "&amp;(IF(ABS(AH17)&gt;=1E12,"TB",IF(ABS(AH17)&gt;=1E9,"GB",IF(ABS(AH17)&gt;=1E6,"MB",IF(ABS(AH17)&gt;=1E3,"KB","bytes"))))))</f>
        <v>264.765 MB</v>
      </c>
      <c r="F17" s="31" t="str">
        <f>TEXT(IF(ABS(AI17)&gt;=1E15,AI17/1E15,IF(ABS(AI17)&gt;=1E12,AI17/1E12,IF(ABS(AI17)&gt;=1E9,AI17/1E9,IF(ABS(AI17)&gt;=1E6,AI17/1E6,AI17)))),"#,##0.000")&amp;IF((IF(ABS(AI17)&gt;=1E15,"PFLOPs",IF(ABS(AI17)&gt;=1E12,"TFLOPs",IF(ABS(AI17)&gt;=1E9,"GFLOPs",IF(ABS(AI17)&gt;=1E6,"MFLOPs","flops")))))="",""," "&amp;(IF(ABS(AI17)&gt;=1E15,"PFLOPs",IF(ABS(AI17)&gt;=1E12,"TFLOPs",IF(ABS(AI17)&gt;=1E9,"GFLOPs",IF(ABS(AI17)&gt;=1E6,"MFLOPs","flops"))))))</f>
        <v>132.383 MFLOPs</v>
      </c>
      <c r="G17" s="31" t="str">
        <f>TEXT(IF(ABS(AJ17)&gt;=1E12,AJ17/1E12,IF(ABS(AJ17)&gt;=1E9,AJ17/1E9,IF(ABS(AJ17)&gt;=1E6,AJ17/1E6,IF(ABS(AJ17)&gt;=1E3,AJ17/1E3,AJ17)))),"#,##0.000")&amp;IF((IF(ABS(AJ17)&gt;=1E12,"TB",IF(ABS(AJ17)&gt;=1E9,"GB",IF(ABS(AJ17)&gt;=1E6,"MB",IF(ABS(AJ17)&gt;=1E3,"KB","bytes")))))="",""," "&amp;(IF(ABS(AJ17)&gt;=1E12,"TB",IF(ABS(AJ17)&gt;=1E9,"GB",IF(ABS(AJ17)&gt;=1E6,"MB",IF(ABS(AJ17)&gt;=1E3,"KB","bytes"))))))</f>
        <v>904.960 KB</v>
      </c>
      <c r="H17" s="4" t="s">
        <v>236</v>
      </c>
      <c r="I17" s="4" t="s">
        <v>237</v>
      </c>
      <c r="J17" s="4" t="s">
        <v>235</v>
      </c>
      <c r="AE17" s="30">
        <f>(TP1LocalVocab*HiddenSize*FP32Bytes)</f>
        <v>2118123520.0</v>
      </c>
      <c r="AF17" s="30">
        <f>(2*DC_Rows*HiddenSize*TP1LocalVocab)</f>
        <v>1059061760.0</v>
      </c>
      <c r="AG17" s="30">
        <f>(2*(TP1Size-1)*DC_Rows*TP1LocalVocab*FP32Bytes)</f>
        <v>0.0</v>
      </c>
      <c r="AH17" s="30">
        <f>(TP8LocalVocab*HiddenSize*FP32Bytes)</f>
        <v>264765440.0</v>
      </c>
      <c r="AI17" s="30">
        <f>(2*DC_Rows*HiddenSize*TP8LocalVocab)</f>
        <v>132382720.0</v>
      </c>
      <c r="AJ17" s="30">
        <f>(2*(TP8Size-1)*DC_Rows*TP8LocalVocab*FP32Bytes)</f>
        <v>904960.0</v>
      </c>
    </row>
    <row r="18" spans="1:36">
      <c r="A18" s="4" t="s">
        <v>238</v>
      </c>
      <c r="B18" s="31" t="str">
        <f>TEXT(IF(ABS(AE18)&gt;=1E12,AE18/1E12,IF(ABS(AE18)&gt;=1E9,AE18/1E9,IF(ABS(AE18)&gt;=1E6,AE18/1E6,IF(ABS(AE18)&gt;=1E3,AE18/1E3,AE18)))),"#,##0.000")&amp;IF((IF(ABS(AE18)&gt;=1E12,"TB",IF(ABS(AE18)&gt;=1E9,"GB",IF(ABS(AE18)&gt;=1E6,"MB",IF(ABS(AE18)&gt;=1E3,"KB","bytes")))))="",""," "&amp;(IF(ABS(AE18)&gt;=1E12,"TB",IF(ABS(AE18)&gt;=1E9,"GB",IF(ABS(AE18)&gt;=1E6,"MB",IF(ABS(AE18)&gt;=1E3,"KB","bytes"))))))</f>
        <v>1.701 MB</v>
      </c>
      <c r="C18" s="31" t="str">
        <f>TEXT(IF(ABS(AF18)&gt;=1E15,AF18/1E15,IF(ABS(AF18)&gt;=1E12,AF18/1E12,IF(ABS(AF18)&gt;=1E9,AF18/1E9,IF(ABS(AF18)&gt;=1E6,AF18/1E6,AF18)))),"#,##0.000")&amp;IF((IF(ABS(AF18)&gt;=1E15,"PFLOPs",IF(ABS(AF18)&gt;=1E12,"TFLOPs",IF(ABS(AF18)&gt;=1E9,"GFLOPs",IF(ABS(AF18)&gt;=1E6,"MFLOPs","flops")))))="",""," "&amp;(IF(ABS(AF18)&gt;=1E15,"PFLOPs",IF(ABS(AF18)&gt;=1E12,"TFLOPs",IF(ABS(AF18)&gt;=1E9,"GFLOPs",IF(ABS(AF18)&gt;=1E6,"MFLOPs","flops"))))))</f>
        <v>1.425 MFLOPs</v>
      </c>
      <c r="D18" s="31" t="str">
        <f>TEXT(IF(ABS(AG18)&gt;=1E12,AG18/1E12,IF(ABS(AG18)&gt;=1E9,AG18/1E9,IF(ABS(AG18)&gt;=1E6,AG18/1E6,IF(ABS(AG18)&gt;=1E3,AG18/1E3,AG18)))),"#,##0.000")&amp;IF((IF(ABS(AG18)&gt;=1E12,"TB",IF(ABS(AG18)&gt;=1E9,"GB",IF(ABS(AG18)&gt;=1E6,"MB",IF(ABS(AG18)&gt;=1E3,"KB","bytes")))))="",""," "&amp;(IF(ABS(AG18)&gt;=1E12,"TB",IF(ABS(AG18)&gt;=1E9,"GB",IF(ABS(AG18)&gt;=1E6,"MB",IF(ABS(AG18)&gt;=1E3,"KB","bytes"))))))</f>
        <v>0.000 B</v>
      </c>
      <c r="E18" s="31" t="str">
        <f>TEXT(IF(ABS(AH18)&gt;=1E12,AH18/1E12,IF(ABS(AH18)&gt;=1E9,AH18/1E9,IF(ABS(AH18)&gt;=1E6,AH18/1E6,IF(ABS(AH18)&gt;=1E3,AH18/1E3,AH18)))),"#,##0.000")&amp;IF((IF(ABS(AH18)&gt;=1E12,"TB",IF(ABS(AH18)&gt;=1E9,"GB",IF(ABS(AH18)&gt;=1E6,"MB",IF(ABS(AH18)&gt;=1E3,"KB","bytes")))))="",""," "&amp;(IF(ABS(AH18)&gt;=1E12,"TB",IF(ABS(AH18)&gt;=1E9,"GB",IF(ABS(AH18)&gt;=1E6,"MB",IF(ABS(AH18)&gt;=1E3,"KB","bytes"))))))</f>
        <v>1.691 MB</v>
      </c>
      <c r="F18" s="31" t="str">
        <f>TEXT(IF(ABS(AI18)&gt;=1E15,AI18/1E15,IF(ABS(AI18)&gt;=1E12,AI18/1E12,IF(ABS(AI18)&gt;=1E9,AI18/1E9,IF(ABS(AI18)&gt;=1E6,AI18/1E6,AI18)))),"#,##0.000")&amp;IF((IF(ABS(AI18)&gt;=1E15,"PFLOPs",IF(ABS(AI18)&gt;=1E12,"TFLOPs",IF(ABS(AI18)&gt;=1E9,"GFLOPs",IF(ABS(AI18)&gt;=1E6,"MFLOPs","flops")))))="",""," "&amp;(IF(ABS(AI18)&gt;=1E15,"PFLOPs",IF(ABS(AI18)&gt;=1E12,"TFLOPs",IF(ABS(AI18)&gt;=1E9,"GFLOPs",IF(ABS(AI18)&gt;=1E6,"MFLOPs","flops"))))))</f>
        <v>1.425 MFLOPs</v>
      </c>
      <c r="G18" s="31" t="str">
        <f>TEXT(IF(ABS(AJ18)&gt;=1E12,AJ18/1E12,IF(ABS(AJ18)&gt;=1E9,AJ18/1E9,IF(ABS(AJ18)&gt;=1E6,AJ18/1E6,IF(ABS(AJ18)&gt;=1E3,AJ18/1E3,AJ18)))),"#,##0.000")&amp;IF((IF(ABS(AJ18)&gt;=1E12,"TB",IF(ABS(AJ18)&gt;=1E9,"GB",IF(ABS(AJ18)&gt;=1E6,"MB",IF(ABS(AJ18)&gt;=1E3,"KB","bytes")))))="",""," "&amp;(IF(ABS(AJ18)&gt;=1E12,"TB",IF(ABS(AJ18)&gt;=1E9,"GB",IF(ABS(AJ18)&gt;=1E6,"MB",IF(ABS(AJ18)&gt;=1E3,"KB","bytes"))))))</f>
        <v>0.000 B</v>
      </c>
      <c r="H18" s="4" t="s">
        <v>236</v>
      </c>
      <c r="I18" s="4" t="s">
        <v>240</v>
      </c>
      <c r="J18" s="4" t="s">
        <v>239</v>
      </c>
      <c r="AE18" s="30">
        <f>((TotalLayers*(2*HiddenSize+QLoraRank+HeadDim+TP1LocalHeads))*FP32Bytes+(HiddenSize)*FP32Bytes)</f>
        <v>1700608</v>
      </c>
      <c r="AF18" s="30">
        <f>(DC_Rows*TotalLayers*2*(4*HiddenSize+1)+DC_Rows*(4*HiddenSize+1))</f>
        <v>1425495</v>
      </c>
      <c r="AG18" s="30">
        <f>(0)</f>
        <v>0</v>
      </c>
      <c r="AH18" s="30">
        <f>((TotalLayers*(2*HiddenSize+QLoraRank+HeadDim+TP8LocalHeads))*FP32Bytes+(HiddenSize)*FP32Bytes)</f>
        <v>1690976</v>
      </c>
      <c r="AI18" s="30">
        <f>(DC_Rows*TotalLayers*2*(4*HiddenSize+1)+DC_Rows*(4*HiddenSize+1))</f>
        <v>1425495</v>
      </c>
      <c r="AJ18" s="30">
        <f>(0)</f>
        <v>0</v>
      </c>
    </row>
    <row r="19" spans="1:36">
      <c r="A19" s="4" t="s">
        <v>92</v>
      </c>
      <c r="B19" s="31" t="str">
        <f>TEXT(IF(ABS(AE19)&gt;=1E12,AE19/1E12,IF(ABS(AE19)&gt;=1E9,AE19/1E9,IF(ABS(AE19)&gt;=1E6,AE19/1E6,IF(ABS(AE19)&gt;=1E3,AE19/1E3,AE19)))),"#,##0.000")&amp;IF((IF(ABS(AE19)&gt;=1E12,"TB",IF(ABS(AE19)&gt;=1E9,"GB",IF(ABS(AE19)&gt;=1E6,"MB",IF(ABS(AE19)&gt;=1E3,"KB","bytes")))))="",""," "&amp;(IF(ABS(AE19)&gt;=1E12,"TB",IF(ABS(AE19)&gt;=1E9,"GB",IF(ABS(AE19)&gt;=1E6,"MB",IF(ABS(AE19)&gt;=1E3,"KB","bytes"))))))</f>
        <v>135.538 MB</v>
      </c>
      <c r="C19" s="31" t="str">
        <f>TEXT(IF(ABS(AF19)&gt;=1E15,AF19/1E15,IF(ABS(AF19)&gt;=1E12,AF19/1E12,IF(ABS(AF19)&gt;=1E9,AF19/1E9,IF(ABS(AF19)&gt;=1E6,AF19/1E6,AF19)))),"#,##0.000")&amp;IF((IF(ABS(AF19)&gt;=1E15,"PFLOPs",IF(ABS(AF19)&gt;=1E12,"TFLOPs",IF(ABS(AF19)&gt;=1E9,"GFLOPs",IF(ABS(AF19)&gt;=1E6,"MFLOPs","flops")))))="",""," "&amp;(IF(ABS(AF19)&gt;=1E15,"PFLOPs",IF(ABS(AF19)&gt;=1E12,"TFLOPs",IF(ABS(AF19)&gt;=1E9,"GFLOPs",IF(ABS(AF19)&gt;=1E6,"MFLOPs","flops"))))))</f>
        <v>85.791 MFLOPs</v>
      </c>
      <c r="D19" s="31" t="str">
        <f>TEXT(IF(ABS(AG19)&gt;=1E12,AG19/1E12,IF(ABS(AG19)&gt;=1E9,AG19/1E9,IF(ABS(AG19)&gt;=1E6,AG19/1E6,IF(ABS(AG19)&gt;=1E3,AG19/1E3,AG19)))),"#,##0.000")&amp;IF((IF(ABS(AG19)&gt;=1E12,"TB",IF(ABS(AG19)&gt;=1E9,"GB",IF(ABS(AG19)&gt;=1E6,"MB",IF(ABS(AG19)&gt;=1E3,"KB","bytes")))))="",""," "&amp;(IF(ABS(AG19)&gt;=1E12,"TB",IF(ABS(AG19)&gt;=1E9,"GB",IF(ABS(AG19)&gt;=1E6,"MB",IF(ABS(AG19)&gt;=1E3,"KB","bytes"))))))</f>
        <v>0.000 B</v>
      </c>
      <c r="E19" s="31" t="str">
        <f>TEXT(IF(ABS(AH19)&gt;=1E12,AH19/1E12,IF(ABS(AH19)&gt;=1E9,AH19/1E9,IF(ABS(AH19)&gt;=1E6,AH19/1E6,IF(ABS(AH19)&gt;=1E3,AH19/1E3,AH19)))),"#,##0.000")&amp;IF((IF(ABS(AH19)&gt;=1E12,"TB",IF(ABS(AH19)&gt;=1E9,"GB",IF(ABS(AH19)&gt;=1E6,"MB",IF(ABS(AH19)&gt;=1E3,"KB","bytes")))))="",""," "&amp;(IF(ABS(AH19)&gt;=1E12,"TB",IF(ABS(AH19)&gt;=1E9,"GB",IF(ABS(AH19)&gt;=1E6,"MB",IF(ABS(AH19)&gt;=1E3,"KB","bytes"))))))</f>
        <v>135.538 MB</v>
      </c>
      <c r="F19" s="31" t="str">
        <f>TEXT(IF(ABS(AI19)&gt;=1E15,AI19/1E15,IF(ABS(AI19)&gt;=1E12,AI19/1E12,IF(ABS(AI19)&gt;=1E9,AI19/1E9,IF(ABS(AI19)&gt;=1E6,AI19/1E6,AI19)))),"#,##0.000")&amp;IF((IF(ABS(AI19)&gt;=1E15,"PFLOPs",IF(ABS(AI19)&gt;=1E12,"TFLOPs",IF(ABS(AI19)&gt;=1E9,"GFLOPs",IF(ABS(AI19)&gt;=1E6,"MFLOPs","flops")))))="",""," "&amp;(IF(ABS(AI19)&gt;=1E15,"PFLOPs",IF(ABS(AI19)&gt;=1E12,"TFLOPs",IF(ABS(AI19)&gt;=1E9,"GFLOPs",IF(ABS(AI19)&gt;=1E6,"MFLOPs","flops"))))))</f>
        <v>85.791 MFLOPs</v>
      </c>
      <c r="G19" s="31" t="str">
        <f>TEXT(IF(ABS(AJ19)&gt;=1E12,AJ19/1E12,IF(ABS(AJ19)&gt;=1E9,AJ19/1E9,IF(ABS(AJ19)&gt;=1E6,AJ19/1E6,IF(ABS(AJ19)&gt;=1E3,AJ19/1E3,AJ19)))),"#,##0.000")&amp;IF((IF(ABS(AJ19)&gt;=1E12,"TB",IF(ABS(AJ19)&gt;=1E9,"GB",IF(ABS(AJ19)&gt;=1E6,"MB",IF(ABS(AJ19)&gt;=1E3,"KB","bytes")))))="",""," "&amp;(IF(ABS(AJ19)&gt;=1E12,"TB",IF(ABS(AJ19)&gt;=1E9,"GB",IF(ABS(AJ19)&gt;=1E6,"MB",IF(ABS(AJ19)&gt;=1E3,"KB","bytes"))))))</f>
        <v>0.000 B</v>
      </c>
      <c r="H19" s="4" t="s">
        <v>236</v>
      </c>
      <c r="I19" s="4" t="s">
        <v>242</v>
      </c>
      <c r="J19" s="4" t="s">
        <v>241</v>
      </c>
      <c r="AE19" s="30">
        <f>((TotalLayers*2*(((2+HCSlots)*HCSlots)*HCSlots*HiddenSize+((2+HCSlots)*HCSlots)+3))*FP32Bytes+(HCSlots*HCSlots*HiddenSize+HCSlots+1)*FP32Bytes)</f>
        <v>135537756</v>
      </c>
      <c r="AF19" s="30">
        <f>(TotalLayers*2*(2*DC_Rows*HCSlots*HiddenSize*((2+HCSlots)*HCSlots)+DC_Rows*(2*HCSlots*HiddenSize+1)+DC_Rows*HiddenSize*(2*HCSlots-1)+DC_Rows*HCSlots*HiddenSize*(2*HCSlots+1))+2*DC_Rows*HCSlots*HiddenSize*HCSlots+DC_Rows*(2*HCSlots*HiddenSize+1)+DC_Rows*HiddenSize*(2*HCSlots-1))</f>
        <v>85790807</v>
      </c>
      <c r="AG19" s="30">
        <f>(0)</f>
        <v>0</v>
      </c>
      <c r="AH19" s="30">
        <f>((TotalLayers*2*(((2+HCSlots)*HCSlots)*HCSlots*HiddenSize+((2+HCSlots)*HCSlots)+3))*FP32Bytes+(HCSlots*HCSlots*HiddenSize+HCSlots+1)*FP32Bytes)</f>
        <v>135537756</v>
      </c>
      <c r="AI19" s="30">
        <f>(TotalLayers*2*(2*DC_Rows*HCSlots*HiddenSize*((2+HCSlots)*HCSlots)+DC_Rows*(2*HCSlots*HiddenSize+1)+DC_Rows*HiddenSize*(2*HCSlots-1)+DC_Rows*HCSlots*HiddenSize*(2*HCSlots+1))+2*DC_Rows*HCSlots*HiddenSize*HCSlots+DC_Rows*(2*HCSlots*HiddenSize+1)+DC_Rows*HiddenSize*(2*HCSlots-1))</f>
        <v>85790807</v>
      </c>
      <c r="AJ19" s="30">
        <f>(0)</f>
        <v>0</v>
      </c>
    </row>
    <row r="20" spans="1:36">
      <c r="A20" s="4" t="s">
        <v>243</v>
      </c>
      <c r="B20" s="31" t="str">
        <f>TEXT(IF(ABS(AE20)&gt;=1E12,AE20/1E12,IF(ABS(AE20)&gt;=1E9,AE20/1E9,IF(ABS(AE20)&gt;=1E6,AE20/1E6,IF(ABS(AE20)&gt;=1E3,AE20/1E3,AE20)))),"#,##0.000")&amp;IF((IF(ABS(AE20)&gt;=1E12,"TB",IF(ABS(AE20)&gt;=1E9,"GB",IF(ABS(AE20)&gt;=1E6,"MB",IF(ABS(AE20)&gt;=1E3,"KB","bytes")))))="",""," "&amp;(IF(ABS(AE20)&gt;=1E12,"TB",IF(ABS(AE20)&gt;=1E9,"GB",IF(ABS(AE20)&gt;=1E6,"MB",IF(ABS(AE20)&gt;=1E3,"KB","bytes"))))))</f>
        <v>0.000 B</v>
      </c>
      <c r="C20" s="31" t="str">
        <f>TEXT(IF(ABS(AF20)&gt;=1E15,AF20/1E15,IF(ABS(AF20)&gt;=1E12,AF20/1E12,IF(ABS(AF20)&gt;=1E9,AF20/1E9,IF(ABS(AF20)&gt;=1E6,AF20/1E6,AF20)))),"#,##0.000")&amp;IF((IF(ABS(AF20)&gt;=1E15,"PFLOPs",IF(ABS(AF20)&gt;=1E12,"TFLOPs",IF(ABS(AF20)&gt;=1E9,"GFLOPs",IF(ABS(AF20)&gt;=1E6,"MFLOPs","flops")))))="",""," "&amp;(IF(ABS(AF20)&gt;=1E15,"PFLOPs",IF(ABS(AF20)&gt;=1E12,"TFLOPs",IF(ABS(AF20)&gt;=1E9,"GFLOPs",IF(ABS(AF20)&gt;=1E6,"MFLOPs","flops"))))))</f>
        <v>0.000 FLOPs</v>
      </c>
      <c r="D20" s="31" t="str">
        <f>TEXT(IF(ABS(AG20)&gt;=1E12,AG20/1E12,IF(ABS(AG20)&gt;=1E9,AG20/1E9,IF(ABS(AG20)&gt;=1E6,AG20/1E6,IF(ABS(AG20)&gt;=1E3,AG20/1E3,AG20)))),"#,##0.000")&amp;IF((IF(ABS(AG20)&gt;=1E12,"TB",IF(ABS(AG20)&gt;=1E9,"GB",IF(ABS(AG20)&gt;=1E6,"MB",IF(ABS(AG20)&gt;=1E3,"KB","bytes")))))="",""," "&amp;(IF(ABS(AG20)&gt;=1E12,"TB",IF(ABS(AG20)&gt;=1E9,"GB",IF(ABS(AG20)&gt;=1E6,"MB",IF(ABS(AG20)&gt;=1E3,"KB","bytes"))))))</f>
        <v>0.000 B</v>
      </c>
      <c r="E20" s="31" t="str">
        <f>TEXT(IF(ABS(AH20)&gt;=1E12,AH20/1E12,IF(ABS(AH20)&gt;=1E9,AH20/1E9,IF(ABS(AH20)&gt;=1E6,AH20/1E6,IF(ABS(AH20)&gt;=1E3,AH20/1E3,AH20)))),"#,##0.000")&amp;IF((IF(ABS(AH20)&gt;=1E12,"TB",IF(ABS(AH20)&gt;=1E9,"GB",IF(ABS(AH20)&gt;=1E6,"MB",IF(ABS(AH20)&gt;=1E3,"KB","bytes")))))="",""," "&amp;(IF(ABS(AH20)&gt;=1E12,"TB",IF(ABS(AH20)&gt;=1E9,"GB",IF(ABS(AH20)&gt;=1E6,"MB",IF(ABS(AH20)&gt;=1E3,"KB","bytes"))))))</f>
        <v>0.000 B</v>
      </c>
      <c r="F20" s="31" t="str">
        <f>TEXT(IF(ABS(AI20)&gt;=1E15,AI20/1E15,IF(ABS(AI20)&gt;=1E12,AI20/1E12,IF(ABS(AI20)&gt;=1E9,AI20/1E9,IF(ABS(AI20)&gt;=1E6,AI20/1E6,AI20)))),"#,##0.000")&amp;IF((IF(ABS(AI20)&gt;=1E15,"PFLOPs",IF(ABS(AI20)&gt;=1E12,"TFLOPs",IF(ABS(AI20)&gt;=1E9,"GFLOPs",IF(ABS(AI20)&gt;=1E6,"MFLOPs","flops")))))="",""," "&amp;(IF(ABS(AI20)&gt;=1E15,"PFLOPs",IF(ABS(AI20)&gt;=1E12,"TFLOPs",IF(ABS(AI20)&gt;=1E9,"GFLOPs",IF(ABS(AI20)&gt;=1E6,"MFLOPs","flops"))))))</f>
        <v>0.000 FLOPs</v>
      </c>
      <c r="G20" s="31" t="str">
        <f>TEXT(IF(ABS(AJ20)&gt;=1E12,AJ20/1E12,IF(ABS(AJ20)&gt;=1E9,AJ20/1E9,IF(ABS(AJ20)&gt;=1E6,AJ20/1E6,IF(ABS(AJ20)&gt;=1E3,AJ20/1E3,AJ20)))),"#,##0.000")&amp;IF((IF(ABS(AJ20)&gt;=1E12,"TB",IF(ABS(AJ20)&gt;=1E9,"GB",IF(ABS(AJ20)&gt;=1E6,"MB",IF(ABS(AJ20)&gt;=1E3,"KB","bytes")))))="",""," "&amp;(IF(ABS(AJ20)&gt;=1E12,"TB",IF(ABS(AJ20)&gt;=1E9,"GB",IF(ABS(AJ20)&gt;=1E6,"MB",IF(ABS(AJ20)&gt;=1E3,"KB","bytes"))))))</f>
        <v>0.000 B</v>
      </c>
      <c r="H20" s="4" t="s">
        <v>245</v>
      </c>
      <c r="I20" s="4" t="s">
        <v>246</v>
      </c>
      <c r="J20" s="4" t="s">
        <v>244</v>
      </c>
      <c r="AE20" s="30">
        <f>(0)</f>
        <v>0</v>
      </c>
      <c r="AF20" s="30">
        <f>(0)</f>
        <v>0</v>
      </c>
      <c r="AG20" s="30">
        <f>(0)</f>
        <v>0</v>
      </c>
      <c r="AH20" s="30">
        <f>(0)</f>
        <v>0</v>
      </c>
      <c r="AI20" s="30">
        <f>(0)</f>
        <v>0</v>
      </c>
      <c r="AJ20" s="30">
        <f>(0)</f>
        <v>0</v>
      </c>
    </row>
    <row r="22" spans="1:36">
      <c r="A22" s="28" t="s">
        <v>247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</row>
    <row r="23" spans="1:36">
      <c r="A23" t="s">
        <v>211</v>
      </c>
      <c r="B23" t="s">
        <v>248</v>
      </c>
      <c r="C23" t="s">
        <v>249</v>
      </c>
      <c r="D23" t="s">
        <v>212</v>
      </c>
      <c r="E23" t="s">
        <v>213</v>
      </c>
      <c r="F23" t="s">
        <v>214</v>
      </c>
      <c r="G23" t="s">
        <v>215</v>
      </c>
      <c r="H23" t="s">
        <v>216</v>
      </c>
      <c r="I23" t="s">
        <v>217</v>
      </c>
      <c r="J23" t="s">
        <v>218</v>
      </c>
      <c r="K23" t="s">
        <v>219</v>
      </c>
      <c r="L23" t="s">
        <v>220</v>
      </c>
    </row>
    <row r="24" spans="1:36">
      <c r="A24" s="4" t="s">
        <v>230</v>
      </c>
      <c r="B24" s="4" t="s">
        <v>230</v>
      </c>
      <c r="C24" s="4" t="s">
        <v>250</v>
      </c>
      <c r="D24" s="31" t="str">
        <f>TEXT(IF(ABS(U24)&gt;=1E12,U24/1E12,IF(ABS(U24)&gt;=1E9,U24/1E9,IF(ABS(U24)&gt;=1E6,U24/1E6,IF(ABS(U24)&gt;=1E3,U24/1E3,U24)))),"#,##0.000")&amp;IF((IF(ABS(U24)&gt;=1E12,"TB",IF(ABS(U24)&gt;=1E9,"GB",IF(ABS(U24)&gt;=1E6,"MB",IF(ABS(U24)&gt;=1E3,"KB","bytes")))))="",""," "&amp;(IF(ABS(U24)&gt;=1E12,"TB",IF(ABS(U24)&gt;=1E9,"GB",IF(ABS(U24)&gt;=1E6,"MB",IF(ABS(U24)&gt;=1E3,"KB","bytes"))))))</f>
        <v>1.059 GB</v>
      </c>
      <c r="E24" s="31" t="str">
        <f>TEXT(IF(ABS(V24)&gt;=1E15,V24/1E15,IF(ABS(V24)&gt;=1E12,V24/1E12,IF(ABS(V24)&gt;=1E9,V24/1E9,IF(ABS(V24)&gt;=1E6,V24/1E6,V24)))),"#,##0.000")&amp;IF((IF(ABS(V24)&gt;=1E15,"PFLOPs",IF(ABS(V24)&gt;=1E12,"TFLOPs",IF(ABS(V24)&gt;=1E9,"GFLOPs",IF(ABS(V24)&gt;=1E6,"MFLOPs","flops")))))="",""," "&amp;(IF(ABS(V24)&gt;=1E15,"PFLOPs",IF(ABS(V24)&gt;=1E12,"TFLOPs",IF(ABS(V24)&gt;=1E9,"GFLOPs",IF(ABS(V24)&gt;=1E6,"MFLOPs","flops"))))))</f>
        <v>0.000 FLOPs</v>
      </c>
      <c r="F24" s="31" t="str">
        <f>TEXT(IF(ABS(W24)&gt;=1E12,W24/1E12,IF(ABS(W24)&gt;=1E9,W24/1E9,IF(ABS(W24)&gt;=1E6,W24/1E6,IF(ABS(W24)&gt;=1E3,W24/1E3,W24)))),"#,##0.000")&amp;IF((IF(ABS(W24)&gt;=1E12,"TB",IF(ABS(W24)&gt;=1E9,"GB",IF(ABS(W24)&gt;=1E6,"MB",IF(ABS(W24)&gt;=1E3,"KB","bytes")))))="",""," "&amp;(IF(ABS(W24)&gt;=1E12,"TB",IF(ABS(W24)&gt;=1E9,"GB",IF(ABS(W24)&gt;=1E6,"MB",IF(ABS(W24)&gt;=1E3,"KB","bytes"))))))</f>
        <v>0.000 B</v>
      </c>
      <c r="G24" s="31" t="str">
        <f>TEXT(IF(ABS(X24)&gt;=1E12,X24/1E12,IF(ABS(X24)&gt;=1E9,X24/1E9,IF(ABS(X24)&gt;=1E6,X24/1E6,IF(ABS(X24)&gt;=1E3,X24/1E3,X24)))),"#,##0.000")&amp;IF((IF(ABS(X24)&gt;=1E12,"TB",IF(ABS(X24)&gt;=1E9,"GB",IF(ABS(X24)&gt;=1E6,"MB",IF(ABS(X24)&gt;=1E3,"KB","bytes")))))="",""," "&amp;(IF(ABS(X24)&gt;=1E12,"TB",IF(ABS(X24)&gt;=1E9,"GB",IF(ABS(X24)&gt;=1E6,"MB",IF(ABS(X24)&gt;=1E3,"KB","bytes"))))))</f>
        <v>132.383 MB</v>
      </c>
      <c r="H24" s="31" t="str">
        <f>TEXT(IF(ABS(Y24)&gt;=1E15,Y24/1E15,IF(ABS(Y24)&gt;=1E12,Y24/1E12,IF(ABS(Y24)&gt;=1E9,Y24/1E9,IF(ABS(Y24)&gt;=1E6,Y24/1E6,Y24)))),"#,##0.000")&amp;IF((IF(ABS(Y24)&gt;=1E15,"PFLOPs",IF(ABS(Y24)&gt;=1E12,"TFLOPs",IF(ABS(Y24)&gt;=1E9,"GFLOPs",IF(ABS(Y24)&gt;=1E6,"MFLOPs","flops")))))="",""," "&amp;(IF(ABS(Y24)&gt;=1E15,"PFLOPs",IF(ABS(Y24)&gt;=1E12,"TFLOPs",IF(ABS(Y24)&gt;=1E9,"GFLOPs",IF(ABS(Y24)&gt;=1E6,"MFLOPs","flops"))))))</f>
        <v>0.000 FLOPs</v>
      </c>
      <c r="I24" s="31" t="str">
        <f>TEXT(IF(ABS(Z24)&gt;=1E12,Z24/1E12,IF(ABS(Z24)&gt;=1E9,Z24/1E9,IF(ABS(Z24)&gt;=1E6,Z24/1E6,IF(ABS(Z24)&gt;=1E3,Z24/1E3,Z24)))),"#,##0.000")&amp;IF((IF(ABS(Z24)&gt;=1E12,"TB",IF(ABS(Z24)&gt;=1E9,"GB",IF(ABS(Z24)&gt;=1E6,"MB",IF(ABS(Z24)&gt;=1E3,"KB","bytes")))))="",""," "&amp;(IF(ABS(Z24)&gt;=1E12,"TB",IF(ABS(Z24)&gt;=1E9,"GB",IF(ABS(Z24)&gt;=1E6,"MB",IF(ABS(Z24)&gt;=1E3,"KB","bytes"))))))</f>
        <v>28.672 KB</v>
      </c>
      <c r="J24" s="4" t="s">
        <v>251</v>
      </c>
      <c r="K24" s="4" t="s">
        <v>233</v>
      </c>
      <c r="L24" s="4" t="s">
        <v>252</v>
      </c>
      <c r="U24" s="30">
        <f>TP1LocalVocab*HiddenSize*BF16Bytes</f>
        <v>1059061760.0</v>
      </c>
      <c r="V24" s="30">
        <f>0</f>
        <v>0</v>
      </c>
      <c r="W24" s="30">
        <f>4*(TP1Size-1)/TP1Size*DC_Rows*HiddenSize*BF16Bytes</f>
        <v>0.0</v>
      </c>
      <c r="X24" s="30">
        <f>TP8LocalVocab*HiddenSize*BF16Bytes</f>
        <v>132382720.0</v>
      </c>
      <c r="Y24" s="30">
        <f>0</f>
        <v>0</v>
      </c>
      <c r="Z24" s="30">
        <f>4*(TP8Size-1)/TP8Size*DC_Rows*HiddenSize*BF16Bytes</f>
        <v>28672.0</v>
      </c>
    </row>
    <row r="25" spans="1:36">
      <c r="A25" s="4" t="s">
        <v>40</v>
      </c>
      <c r="B25" s="4" t="s">
        <v>253</v>
      </c>
      <c r="C25" s="4" t="s">
        <v>254</v>
      </c>
      <c r="D25" s="31" t="str">
        <f>TEXT(IF(ABS(U25)&gt;=1E12,U25/1E12,IF(ABS(U25)&gt;=1E9,U25/1E9,IF(ABS(U25)&gt;=1E6,U25/1E6,IF(ABS(U25)&gt;=1E3,U25/1E3,U25)))),"#,##0.000")&amp;IF((IF(ABS(U25)&gt;=1E12,"TB",IF(ABS(U25)&gt;=1E9,"GB",IF(ABS(U25)&gt;=1E6,"MB",IF(ABS(U25)&gt;=1E3,"KB","bytes")))))="",""," "&amp;(IF(ABS(U25)&gt;=1E12,"TB",IF(ABS(U25)&gt;=1E9,"GB",IF(ABS(U25)&gt;=1E6,"MB",IF(ABS(U25)&gt;=1E3,"KB","bytes"))))))</f>
        <v>6.042 GB</v>
      </c>
      <c r="E25" s="31" t="str">
        <f>TEXT(IF(ABS(V25)&gt;=1E15,V25/1E15,IF(ABS(V25)&gt;=1E12,V25/1E12,IF(ABS(V25)&gt;=1E9,V25/1E9,IF(ABS(V25)&gt;=1E6,V25/1E6,V25)))),"#,##0.000")&amp;IF((IF(ABS(V25)&gt;=1E15,"PFLOPs",IF(ABS(V25)&gt;=1E12,"TFLOPs",IF(ABS(V25)&gt;=1E9,"GFLOPs",IF(ABS(V25)&gt;=1E6,"MFLOPs","flops")))))="",""," "&amp;(IF(ABS(V25)&gt;=1E15,"PFLOPs",IF(ABS(V25)&gt;=1E12,"TFLOPs",IF(ABS(V25)&gt;=1E9,"GFLOPs",IF(ABS(V25)&gt;=1E6,"MFLOPs","flops"))))))</f>
        <v>9.198 GFLOPs</v>
      </c>
      <c r="F25" s="31" t="str">
        <f>TEXT(IF(ABS(W25)&gt;=1E12,W25/1E12,IF(ABS(W25)&gt;=1E9,W25/1E9,IF(ABS(W25)&gt;=1E6,W25/1E6,IF(ABS(W25)&gt;=1E3,W25/1E3,W25)))),"#,##0.000")&amp;IF((IF(ABS(W25)&gt;=1E12,"TB",IF(ABS(W25)&gt;=1E9,"GB",IF(ABS(W25)&gt;=1E6,"MB",IF(ABS(W25)&gt;=1E3,"KB","bytes")))))="",""," "&amp;(IF(ABS(W25)&gt;=1E12,"TB",IF(ABS(W25)&gt;=1E9,"GB",IF(ABS(W25)&gt;=1E6,"MB",IF(ABS(W25)&gt;=1E3,"KB","bytes"))))))</f>
        <v>0.000 B</v>
      </c>
      <c r="G25" s="31" t="str">
        <f>TEXT(IF(ABS(X25)&gt;=1E12,X25/1E12,IF(ABS(X25)&gt;=1E9,X25/1E9,IF(ABS(X25)&gt;=1E6,X25/1E6,IF(ABS(X25)&gt;=1E3,X25/1E3,X25)))),"#,##0.000")&amp;IF((IF(ABS(X25)&gt;=1E12,"TB",IF(ABS(X25)&gt;=1E9,"GB",IF(ABS(X25)&gt;=1E6,"MB",IF(ABS(X25)&gt;=1E3,"KB","bytes")))))="",""," "&amp;(IF(ABS(X25)&gt;=1E12,"TB",IF(ABS(X25)&gt;=1E9,"GB",IF(ABS(X25)&gt;=1E6,"MB",IF(ABS(X25)&gt;=1E3,"KB","bytes"))))))</f>
        <v>991.991 MB</v>
      </c>
      <c r="H25" s="31" t="str">
        <f>TEXT(IF(ABS(Y25)&gt;=1E15,Y25/1E15,IF(ABS(Y25)&gt;=1E12,Y25/1E12,IF(ABS(Y25)&gt;=1E9,Y25/1E9,IF(ABS(Y25)&gt;=1E6,Y25/1E6,Y25)))),"#,##0.000")&amp;IF((IF(ABS(Y25)&gt;=1E15,"PFLOPs",IF(ABS(Y25)&gt;=1E12,"TFLOPs",IF(ABS(Y25)&gt;=1E9,"GFLOPs",IF(ABS(Y25)&gt;=1E6,"MFLOPs","flops")))))="",""," "&amp;(IF(ABS(Y25)&gt;=1E15,"PFLOPs",IF(ABS(Y25)&gt;=1E12,"TFLOPs",IF(ABS(Y25)&gt;=1E9,"GFLOPs",IF(ABS(Y25)&gt;=1E6,"MFLOPs","flops"))))))</f>
        <v>1.623 GFLOPs</v>
      </c>
      <c r="I25" s="31" t="str">
        <f>TEXT(IF(ABS(Z25)&gt;=1E12,Z25/1E12,IF(ABS(Z25)&gt;=1E9,Z25/1E9,IF(ABS(Z25)&gt;=1E6,Z25/1E6,IF(ABS(Z25)&gt;=1E3,Z25/1E3,Z25)))),"#,##0.000")&amp;IF((IF(ABS(Z25)&gt;=1E12,"TB",IF(ABS(Z25)&gt;=1E9,"GB",IF(ABS(Z25)&gt;=1E6,"MB",IF(ABS(Z25)&gt;=1E3,"KB","bytes")))))="",""," "&amp;(IF(ABS(Z25)&gt;=1E12,"TB",IF(ABS(Z25)&gt;=1E9,"GB",IF(ABS(Z25)&gt;=1E6,"MB",IF(ABS(Z25)&gt;=1E3,"KB","bytes"))))))</f>
        <v>0.000 B</v>
      </c>
      <c r="J25" s="4" t="s">
        <v>255</v>
      </c>
      <c r="K25" s="4" t="s">
        <v>256</v>
      </c>
      <c r="L25" s="4" t="s">
        <v>257</v>
      </c>
      <c r="U25" s="30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</f>
        <v>6042087552</v>
      </c>
      <c r="V25" s="30">
        <f>DC_Rows*TotalLayers*2*(HiddenSize*QLoraRank+QLoraRank*TP1LocalHeads*HeadDim+HiddenSize*HeadDim+TP1LocalHeads*HeadDim*OLoraRank+TP1LocalOGroups*OLoraRank*HiddenSize)</f>
        <v>9198108672.0</v>
      </c>
      <c r="W25" s="30">
        <f>0</f>
        <v>0</v>
      </c>
      <c r="X25" s="30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</f>
        <v>991991424</v>
      </c>
      <c r="Y25" s="30">
        <f>DC_Rows*TotalLayers*2*(HiddenSize*QLoraRank+QLoraRank*TP8LocalHeads*HeadDim+HiddenSize*HeadDim+TP8LocalHeads*HeadDim*OLoraRank+TP8LocalOGroups*OLoraRank*HiddenSize)</f>
        <v>1623195648.0</v>
      </c>
      <c r="Z25" s="30">
        <f>0</f>
        <v>0</v>
      </c>
    </row>
    <row r="26" spans="1:36">
      <c r="A26" s="4" t="s">
        <v>40</v>
      </c>
      <c r="B26" s="4" t="s">
        <v>258</v>
      </c>
      <c r="C26" s="4" t="s">
        <v>259</v>
      </c>
      <c r="D26" s="31" t="str">
        <f>TEXT(IF(ABS(U26)&gt;=1E12,U26/1E12,IF(ABS(U26)&gt;=1E9,U26/1E9,IF(ABS(U26)&gt;=1E6,U26/1E6,IF(ABS(U26)&gt;=1E3,U26/1E3,U26)))),"#,##0.000")&amp;IF((IF(ABS(U26)&gt;=1E12,"TB",IF(ABS(U26)&gt;=1E9,"GB",IF(ABS(U26)&gt;=1E6,"MB",IF(ABS(U26)&gt;=1E3,"KB","bytes")))))="",""," "&amp;(IF(ABS(U26)&gt;=1E12,"TB",IF(ABS(U26)&gt;=1E9,"GB",IF(ABS(U26)&gt;=1E6,"MB",IF(ABS(U26)&gt;=1E3,"KB","bytes"))))))</f>
        <v>0.000 B</v>
      </c>
      <c r="E26" s="31" t="str">
        <f>TEXT(IF(ABS(V26)&gt;=1E15,V26/1E15,IF(ABS(V26)&gt;=1E12,V26/1E12,IF(ABS(V26)&gt;=1E9,V26/1E9,IF(ABS(V26)&gt;=1E6,V26/1E6,V26)))),"#,##0.000")&amp;IF((IF(ABS(V26)&gt;=1E15,"PFLOPs",IF(ABS(V26)&gt;=1E12,"TFLOPs",IF(ABS(V26)&gt;=1E9,"GFLOPs",IF(ABS(V26)&gt;=1E6,"MFLOPs","flops")))))="",""," "&amp;(IF(ABS(V26)&gt;=1E15,"PFLOPs",IF(ABS(V26)&gt;=1E12,"TFLOPs",IF(ABS(V26)&gt;=1E9,"GFLOPs",IF(ABS(V26)&gt;=1E6,"MFLOPs","flops"))))))</f>
        <v>33.554 MFLOPs</v>
      </c>
      <c r="F26" s="31" t="str">
        <f>TEXT(IF(ABS(W26)&gt;=1E12,W26/1E12,IF(ABS(W26)&gt;=1E9,W26/1E9,IF(ABS(W26)&gt;=1E6,W26/1E6,IF(ABS(W26)&gt;=1E3,W26/1E3,W26)))),"#,##0.000")&amp;IF((IF(ABS(W26)&gt;=1E12,"TB",IF(ABS(W26)&gt;=1E9,"GB",IF(ABS(W26)&gt;=1E6,"MB",IF(ABS(W26)&gt;=1E3,"KB","bytes")))))="",""," "&amp;(IF(ABS(W26)&gt;=1E12,"TB",IF(ABS(W26)&gt;=1E9,"GB",IF(ABS(W26)&gt;=1E6,"MB",IF(ABS(W26)&gt;=1E3,"KB","bytes"))))))</f>
        <v>0.000 B</v>
      </c>
      <c r="G26" s="31" t="str">
        <f>TEXT(IF(ABS(X26)&gt;=1E12,X26/1E12,IF(ABS(X26)&gt;=1E9,X26/1E9,IF(ABS(X26)&gt;=1E6,X26/1E6,IF(ABS(X26)&gt;=1E3,X26/1E3,X26)))),"#,##0.000")&amp;IF((IF(ABS(X26)&gt;=1E12,"TB",IF(ABS(X26)&gt;=1E9,"GB",IF(ABS(X26)&gt;=1E6,"MB",IF(ABS(X26)&gt;=1E3,"KB","bytes")))))="",""," "&amp;(IF(ABS(X26)&gt;=1E12,"TB",IF(ABS(X26)&gt;=1E9,"GB",IF(ABS(X26)&gt;=1E6,"MB",IF(ABS(X26)&gt;=1E3,"KB","bytes"))))))</f>
        <v>0.000 B</v>
      </c>
      <c r="H26" s="31" t="str">
        <f>TEXT(IF(ABS(Y26)&gt;=1E15,Y26/1E15,IF(ABS(Y26)&gt;=1E12,Y26/1E12,IF(ABS(Y26)&gt;=1E9,Y26/1E9,IF(ABS(Y26)&gt;=1E6,Y26/1E6,Y26)))),"#,##0.000")&amp;IF((IF(ABS(Y26)&gt;=1E15,"PFLOPs",IF(ABS(Y26)&gt;=1E12,"TFLOPs",IF(ABS(Y26)&gt;=1E9,"GFLOPs",IF(ABS(Y26)&gt;=1E6,"MFLOPs","flops")))))="",""," "&amp;(IF(ABS(Y26)&gt;=1E15,"PFLOPs",IF(ABS(Y26)&gt;=1E12,"TFLOPs",IF(ABS(Y26)&gt;=1E9,"GFLOPs",IF(ABS(Y26)&gt;=1E6,"MFLOPs","flops"))))))</f>
        <v>8.389 MFLOPs</v>
      </c>
      <c r="I26" s="31" t="str">
        <f>TEXT(IF(ABS(Z26)&gt;=1E12,Z26/1E12,IF(ABS(Z26)&gt;=1E9,Z26/1E9,IF(ABS(Z26)&gt;=1E6,Z26/1E6,IF(ABS(Z26)&gt;=1E3,Z26/1E3,Z26)))),"#,##0.000")&amp;IF((IF(ABS(Z26)&gt;=1E12,"TB",IF(ABS(Z26)&gt;=1E9,"GB",IF(ABS(Z26)&gt;=1E6,"MB",IF(ABS(Z26)&gt;=1E3,"KB","bytes")))))="",""," "&amp;(IF(ABS(Z26)&gt;=1E12,"TB",IF(ABS(Z26)&gt;=1E9,"GB",IF(ABS(Z26)&gt;=1E6,"MB",IF(ABS(Z26)&gt;=1E3,"KB","bytes"))))))</f>
        <v>0.000 B</v>
      </c>
      <c r="J26" s="4" t="s">
        <v>245</v>
      </c>
      <c r="K26" s="4" t="s">
        <v>260</v>
      </c>
      <c r="L26" s="4" t="s">
        <v>261</v>
      </c>
      <c r="U26" s="30">
        <f>0</f>
        <v>0</v>
      </c>
      <c r="V26" s="30">
        <f>4*DecodeBatch*TP1KernelLocalHeads*HeadDim*(WindowLayers*DC_RawPairs)</f>
        <v>33554432.0</v>
      </c>
      <c r="W26" s="30">
        <f>0</f>
        <v>0</v>
      </c>
      <c r="X26" s="30">
        <f>0</f>
        <v>0</v>
      </c>
      <c r="Y26" s="30">
        <f>4*DecodeBatch*TP8KernelLocalHeads*HeadDim*(WindowLayers*DC_RawPairs)</f>
        <v>8388608.0</v>
      </c>
      <c r="Z26" s="30">
        <f>0</f>
        <v>0</v>
      </c>
    </row>
    <row r="27" spans="1:36">
      <c r="A27" s="4" t="s">
        <v>40</v>
      </c>
      <c r="B27" s="4" t="s">
        <v>262</v>
      </c>
      <c r="C27" s="4" t="s">
        <v>263</v>
      </c>
      <c r="D27" s="31" t="str">
        <f>TEXT(IF(ABS(U27)&gt;=1E12,U27/1E12,IF(ABS(U27)&gt;=1E9,U27/1E9,IF(ABS(U27)&gt;=1E6,U27/1E6,IF(ABS(U27)&gt;=1E3,U27/1E3,U27)))),"#,##0.000")&amp;IF((IF(ABS(U27)&gt;=1E12,"TB",IF(ABS(U27)&gt;=1E9,"GB",IF(ABS(U27)&gt;=1E6,"MB",IF(ABS(U27)&gt;=1E3,"KB","bytes")))))="",""," "&amp;(IF(ABS(U27)&gt;=1E12,"TB",IF(ABS(U27)&gt;=1E9,"GB",IF(ABS(U27)&gt;=1E6,"MB",IF(ABS(U27)&gt;=1E3,"KB","bytes"))))))</f>
        <v>0.000 B</v>
      </c>
      <c r="E27" s="31" t="str">
        <f>TEXT(IF(ABS(V27)&gt;=1E15,V27/1E15,IF(ABS(V27)&gt;=1E12,V27/1E12,IF(ABS(V27)&gt;=1E9,V27/1E9,IF(ABS(V27)&gt;=1E6,V27/1E6,V27)))),"#,##0.000")&amp;IF((IF(ABS(V27)&gt;=1E15,"PFLOPs",IF(ABS(V27)&gt;=1E12,"TFLOPs",IF(ABS(V27)&gt;=1E9,"GFLOPs",IF(ABS(V27)&gt;=1E6,"MFLOPs","flops")))))="",""," "&amp;(IF(ABS(V27)&gt;=1E15,"PFLOPs",IF(ABS(V27)&gt;=1E12,"TFLOPs",IF(ABS(V27)&gt;=1E9,"GFLOPs",IF(ABS(V27)&gt;=1E6,"MFLOPs","flops"))))))</f>
        <v>1.762 GFLOPs</v>
      </c>
      <c r="F27" s="31" t="str">
        <f>TEXT(IF(ABS(W27)&gt;=1E12,W27/1E12,IF(ABS(W27)&gt;=1E9,W27/1E9,IF(ABS(W27)&gt;=1E6,W27/1E6,IF(ABS(W27)&gt;=1E3,W27/1E3,W27)))),"#,##0.000")&amp;IF((IF(ABS(W27)&gt;=1E12,"TB",IF(ABS(W27)&gt;=1E9,"GB",IF(ABS(W27)&gt;=1E6,"MB",IF(ABS(W27)&gt;=1E3,"KB","bytes")))))="",""," "&amp;(IF(ABS(W27)&gt;=1E12,"TB",IF(ABS(W27)&gt;=1E9,"GB",IF(ABS(W27)&gt;=1E6,"MB",IF(ABS(W27)&gt;=1E3,"KB","bytes"))))))</f>
        <v>0.000 B</v>
      </c>
      <c r="G27" s="31" t="str">
        <f>TEXT(IF(ABS(X27)&gt;=1E12,X27/1E12,IF(ABS(X27)&gt;=1E9,X27/1E9,IF(ABS(X27)&gt;=1E6,X27/1E6,IF(ABS(X27)&gt;=1E3,X27/1E3,X27)))),"#,##0.000")&amp;IF((IF(ABS(X27)&gt;=1E12,"TB",IF(ABS(X27)&gt;=1E9,"GB",IF(ABS(X27)&gt;=1E6,"MB",IF(ABS(X27)&gt;=1E3,"KB","bytes")))))="",""," "&amp;(IF(ABS(X27)&gt;=1E12,"TB",IF(ABS(X27)&gt;=1E9,"GB",IF(ABS(X27)&gt;=1E6,"MB",IF(ABS(X27)&gt;=1E3,"KB","bytes"))))))</f>
        <v>0.000 B</v>
      </c>
      <c r="H27" s="31" t="str">
        <f>TEXT(IF(ABS(Y27)&gt;=1E15,Y27/1E15,IF(ABS(Y27)&gt;=1E12,Y27/1E12,IF(ABS(Y27)&gt;=1E9,Y27/1E9,IF(ABS(Y27)&gt;=1E6,Y27/1E6,Y27)))),"#,##0.000")&amp;IF((IF(ABS(Y27)&gt;=1E15,"PFLOPs",IF(ABS(Y27)&gt;=1E12,"TFLOPs",IF(ABS(Y27)&gt;=1E9,"GFLOPs",IF(ABS(Y27)&gt;=1E6,"MFLOPs","flops")))))="",""," "&amp;(IF(ABS(Y27)&gt;=1E15,"PFLOPs",IF(ABS(Y27)&gt;=1E12,"TFLOPs",IF(ABS(Y27)&gt;=1E9,"GFLOPs",IF(ABS(Y27)&gt;=1E6,"MFLOPs","flops"))))))</f>
        <v>440.402 MFLOPs</v>
      </c>
      <c r="I27" s="31" t="str">
        <f>TEXT(IF(ABS(Z27)&gt;=1E12,Z27/1E12,IF(ABS(Z27)&gt;=1E9,Z27/1E9,IF(ABS(Z27)&gt;=1E6,Z27/1E6,IF(ABS(Z27)&gt;=1E3,Z27/1E3,Z27)))),"#,##0.000")&amp;IF((IF(ABS(Z27)&gt;=1E12,"TB",IF(ABS(Z27)&gt;=1E9,"GB",IF(ABS(Z27)&gt;=1E6,"MB",IF(ABS(Z27)&gt;=1E3,"KB","bytes")))))="",""," "&amp;(IF(ABS(Z27)&gt;=1E12,"TB",IF(ABS(Z27)&gt;=1E9,"GB",IF(ABS(Z27)&gt;=1E6,"MB",IF(ABS(Z27)&gt;=1E3,"KB","bytes"))))))</f>
        <v>0.000 B</v>
      </c>
      <c r="J27" s="4" t="s">
        <v>245</v>
      </c>
      <c r="K27" s="4" t="s">
        <v>264</v>
      </c>
      <c r="L27" s="4" t="s">
        <v>261</v>
      </c>
      <c r="U27" s="30">
        <f>0</f>
        <v>0</v>
      </c>
      <c r="V27" s="30">
        <f>4*DecodeBatch*TP1KernelLocalHeads*HeadDim*(ShortLayers*(DC_RawPairs+DC_ShortPairs))</f>
        <v>1761607680.0</v>
      </c>
      <c r="W27" s="30">
        <f>0</f>
        <v>0</v>
      </c>
      <c r="X27" s="30">
        <f>0</f>
        <v>0</v>
      </c>
      <c r="Y27" s="30">
        <f>4*DecodeBatch*TP8KernelLocalHeads*HeadDim*(ShortLayers*(DC_RawPairs+DC_ShortPairs))</f>
        <v>440401920.0</v>
      </c>
      <c r="Z27" s="30">
        <f>0</f>
        <v>0</v>
      </c>
    </row>
    <row r="28" spans="1:36">
      <c r="A28" s="4" t="s">
        <v>40</v>
      </c>
      <c r="B28" s="4" t="s">
        <v>265</v>
      </c>
      <c r="C28" s="4" t="s">
        <v>266</v>
      </c>
      <c r="D28" s="31" t="str">
        <f>TEXT(IF(ABS(U28)&gt;=1E12,U28/1E12,IF(ABS(U28)&gt;=1E9,U28/1E9,IF(ABS(U28)&gt;=1E6,U28/1E6,IF(ABS(U28)&gt;=1E3,U28/1E3,U28)))),"#,##0.000")&amp;IF((IF(ABS(U28)&gt;=1E12,"TB",IF(ABS(U28)&gt;=1E9,"GB",IF(ABS(U28)&gt;=1E6,"MB",IF(ABS(U28)&gt;=1E3,"KB","bytes")))))="",""," "&amp;(IF(ABS(U28)&gt;=1E12,"TB",IF(ABS(U28)&gt;=1E9,"GB",IF(ABS(U28)&gt;=1E6,"MB",IF(ABS(U28)&gt;=1E3,"KB","bytes"))))))</f>
        <v>0.000 B</v>
      </c>
      <c r="E28" s="31" t="str">
        <f>TEXT(IF(ABS(V28)&gt;=1E15,V28/1E15,IF(ABS(V28)&gt;=1E12,V28/1E12,IF(ABS(V28)&gt;=1E9,V28/1E9,IF(ABS(V28)&gt;=1E6,V28/1E6,V28)))),"#,##0.000")&amp;IF((IF(ABS(V28)&gt;=1E15,"PFLOPs",IF(ABS(V28)&gt;=1E12,"TFLOPs",IF(ABS(V28)&gt;=1E9,"GFLOPs",IF(ABS(V28)&gt;=1E6,"MFLOPs","flops")))))="",""," "&amp;(IF(ABS(V28)&gt;=1E15,"PFLOPs",IF(ABS(V28)&gt;=1E12,"TFLOPs",IF(ABS(V28)&gt;=1E9,"GFLOPs",IF(ABS(V28)&gt;=1E6,"MFLOPs","flops"))))))</f>
        <v>21.810 GFLOPs</v>
      </c>
      <c r="F28" s="31" t="str">
        <f>TEXT(IF(ABS(W28)&gt;=1E12,W28/1E12,IF(ABS(W28)&gt;=1E9,W28/1E9,IF(ABS(W28)&gt;=1E6,W28/1E6,IF(ABS(W28)&gt;=1E3,W28/1E3,W28)))),"#,##0.000")&amp;IF((IF(ABS(W28)&gt;=1E12,"TB",IF(ABS(W28)&gt;=1E9,"GB",IF(ABS(W28)&gt;=1E6,"MB",IF(ABS(W28)&gt;=1E3,"KB","bytes")))))="",""," "&amp;(IF(ABS(W28)&gt;=1E12,"TB",IF(ABS(W28)&gt;=1E9,"GB",IF(ABS(W28)&gt;=1E6,"MB",IF(ABS(W28)&gt;=1E3,"KB","bytes"))))))</f>
        <v>0.000 B</v>
      </c>
      <c r="G28" s="31" t="str">
        <f>TEXT(IF(ABS(X28)&gt;=1E12,X28/1E12,IF(ABS(X28)&gt;=1E9,X28/1E9,IF(ABS(X28)&gt;=1E6,X28/1E6,IF(ABS(X28)&gt;=1E3,X28/1E3,X28)))),"#,##0.000")&amp;IF((IF(ABS(X28)&gt;=1E12,"TB",IF(ABS(X28)&gt;=1E9,"GB",IF(ABS(X28)&gt;=1E6,"MB",IF(ABS(X28)&gt;=1E3,"KB","bytes")))))="",""," "&amp;(IF(ABS(X28)&gt;=1E12,"TB",IF(ABS(X28)&gt;=1E9,"GB",IF(ABS(X28)&gt;=1E6,"MB",IF(ABS(X28)&gt;=1E3,"KB","bytes"))))))</f>
        <v>0.000 B</v>
      </c>
      <c r="H28" s="31" t="str">
        <f>TEXT(IF(ABS(Y28)&gt;=1E15,Y28/1E15,IF(ABS(Y28)&gt;=1E12,Y28/1E12,IF(ABS(Y28)&gt;=1E9,Y28/1E9,IF(ABS(Y28)&gt;=1E6,Y28/1E6,Y28)))),"#,##0.000")&amp;IF((IF(ABS(Y28)&gt;=1E15,"PFLOPs",IF(ABS(Y28)&gt;=1E12,"TFLOPs",IF(ABS(Y28)&gt;=1E9,"GFLOPs",IF(ABS(Y28)&gt;=1E6,"MFLOPs","flops")))))="",""," "&amp;(IF(ABS(Y28)&gt;=1E15,"PFLOPs",IF(ABS(Y28)&gt;=1E12,"TFLOPs",IF(ABS(Y28)&gt;=1E9,"GFLOPs",IF(ABS(Y28)&gt;=1E6,"MFLOPs","flops"))))))</f>
        <v>5.453 GFLOPs</v>
      </c>
      <c r="I28" s="31" t="str">
        <f>TEXT(IF(ABS(Z28)&gt;=1E12,Z28/1E12,IF(ABS(Z28)&gt;=1E9,Z28/1E9,IF(ABS(Z28)&gt;=1E6,Z28/1E6,IF(ABS(Z28)&gt;=1E3,Z28/1E3,Z28)))),"#,##0.000")&amp;IF((IF(ABS(Z28)&gt;=1E12,"TB",IF(ABS(Z28)&gt;=1E9,"GB",IF(ABS(Z28)&gt;=1E6,"MB",IF(ABS(Z28)&gt;=1E3,"KB","bytes")))))="",""," "&amp;(IF(ABS(Z28)&gt;=1E12,"TB",IF(ABS(Z28)&gt;=1E9,"GB",IF(ABS(Z28)&gt;=1E6,"MB",IF(ABS(Z28)&gt;=1E3,"KB","bytes"))))))</f>
        <v>0.000 B</v>
      </c>
      <c r="J28" s="4" t="s">
        <v>245</v>
      </c>
      <c r="K28" s="4" t="s">
        <v>264</v>
      </c>
      <c r="L28" s="4" t="s">
        <v>261</v>
      </c>
      <c r="U28" s="30">
        <f>0</f>
        <v>0</v>
      </c>
      <c r="V28" s="30">
        <f>4*DecodeBatch*TP1KernelLocalHeads*HeadDim*(LongLayers*(DC_RawPairs+DC_LongPairs))</f>
        <v>21810380800.0</v>
      </c>
      <c r="W28" s="30">
        <f>0</f>
        <v>0</v>
      </c>
      <c r="X28" s="30">
        <f>0</f>
        <v>0</v>
      </c>
      <c r="Y28" s="30">
        <f>4*DecodeBatch*TP8KernelLocalHeads*HeadDim*(LongLayers*(DC_RawPairs+DC_LongPairs))</f>
        <v>5452595200.0</v>
      </c>
      <c r="Z28" s="30">
        <f>0</f>
        <v>0</v>
      </c>
    </row>
    <row r="29" spans="1:36">
      <c r="A29" s="4" t="s">
        <v>40</v>
      </c>
      <c r="B29" s="4" t="s">
        <v>267</v>
      </c>
      <c r="C29" s="4" t="s">
        <v>147</v>
      </c>
      <c r="D29" s="31" t="str">
        <f>TEXT(IF(ABS(U29)&gt;=1E12,U29/1E12,IF(ABS(U29)&gt;=1E9,U29/1E9,IF(ABS(U29)&gt;=1E6,U29/1E6,IF(ABS(U29)&gt;=1E3,U29/1E3,U29)))),"#,##0.000")&amp;IF((IF(ABS(U29)&gt;=1E12,"TB",IF(ABS(U29)&gt;=1E9,"GB",IF(ABS(U29)&gt;=1E6,"MB",IF(ABS(U29)&gt;=1E3,"KB","bytes")))))="",""," "&amp;(IF(ABS(U29)&gt;=1E12,"TB",IF(ABS(U29)&gt;=1E9,"GB",IF(ABS(U29)&gt;=1E6,"MB",IF(ABS(U29)&gt;=1E3,"KB","bytes"))))))</f>
        <v>187.182 MB</v>
      </c>
      <c r="E29" s="31" t="str">
        <f>TEXT(IF(ABS(V29)&gt;=1E15,V29/1E15,IF(ABS(V29)&gt;=1E12,V29/1E12,IF(ABS(V29)&gt;=1E9,V29/1E9,IF(ABS(V29)&gt;=1E6,V29/1E6,V29)))),"#,##0.000")&amp;IF((IF(ABS(V29)&gt;=1E15,"PFLOPs",IF(ABS(V29)&gt;=1E12,"TFLOPs",IF(ABS(V29)&gt;=1E9,"GFLOPs",IF(ABS(V29)&gt;=1E6,"MFLOPs","flops")))))="",""," "&amp;(IF(ABS(V29)&gt;=1E15,"PFLOPs",IF(ABS(V29)&gt;=1E12,"TFLOPs",IF(ABS(V29)&gt;=1E9,"GFLOPs",IF(ABS(V29)&gt;=1E6,"MFLOPs","flops"))))))</f>
        <v>363.332 MFLOPs</v>
      </c>
      <c r="F29" s="31" t="str">
        <f>TEXT(IF(ABS(W29)&gt;=1E12,W29/1E12,IF(ABS(W29)&gt;=1E9,W29/1E9,IF(ABS(W29)&gt;=1E6,W29/1E6,IF(ABS(W29)&gt;=1E3,W29/1E3,W29)))),"#,##0.000")&amp;IF((IF(ABS(W29)&gt;=1E12,"TB",IF(ABS(W29)&gt;=1E9,"GB",IF(ABS(W29)&gt;=1E6,"MB",IF(ABS(W29)&gt;=1E3,"KB","bytes")))))="",""," "&amp;(IF(ABS(W29)&gt;=1E12,"TB",IF(ABS(W29)&gt;=1E9,"GB",IF(ABS(W29)&gt;=1E6,"MB",IF(ABS(W29)&gt;=1E3,"KB","bytes"))))))</f>
        <v>0.000 B</v>
      </c>
      <c r="G29" s="31" t="str">
        <f>TEXT(IF(ABS(X29)&gt;=1E12,X29/1E12,IF(ABS(X29)&gt;=1E9,X29/1E9,IF(ABS(X29)&gt;=1E6,X29/1E6,IF(ABS(X29)&gt;=1E3,X29/1E3,X29)))),"#,##0.000")&amp;IF((IF(ABS(X29)&gt;=1E12,"TB",IF(ABS(X29)&gt;=1E9,"GB",IF(ABS(X29)&gt;=1E6,"MB",IF(ABS(X29)&gt;=1E3,"KB","bytes")))))="",""," "&amp;(IF(ABS(X29)&gt;=1E12,"TB",IF(ABS(X29)&gt;=1E9,"GB",IF(ABS(X29)&gt;=1E6,"MB",IF(ABS(X29)&gt;=1E3,"KB","bytes"))))))</f>
        <v>23.398 MB</v>
      </c>
      <c r="H29" s="31" t="str">
        <f>TEXT(IF(ABS(Y29)&gt;=1E15,Y29/1E15,IF(ABS(Y29)&gt;=1E12,Y29/1E12,IF(ABS(Y29)&gt;=1E9,Y29/1E9,IF(ABS(Y29)&gt;=1E6,Y29/1E6,Y29)))),"#,##0.000")&amp;IF((IF(ABS(Y29)&gt;=1E15,"PFLOPs",IF(ABS(Y29)&gt;=1E12,"TFLOPs",IF(ABS(Y29)&gt;=1E9,"GFLOPs",IF(ABS(Y29)&gt;=1E6,"MFLOPs","flops")))))="",""," "&amp;(IF(ABS(Y29)&gt;=1E15,"PFLOPs",IF(ABS(Y29)&gt;=1E12,"TFLOPs",IF(ABS(Y29)&gt;=1E9,"GFLOPs",IF(ABS(Y29)&gt;=1E6,"MFLOPs","flops"))))))</f>
        <v>45.416 MFLOPs</v>
      </c>
      <c r="I29" s="31" t="str">
        <f>TEXT(IF(ABS(Z29)&gt;=1E12,Z29/1E12,IF(ABS(Z29)&gt;=1E9,Z29/1E9,IF(ABS(Z29)&gt;=1E6,Z29/1E6,IF(ABS(Z29)&gt;=1E3,Z29/1E3,Z29)))),"#,##0.000")&amp;IF((IF(ABS(Z29)&gt;=1E12,"TB",IF(ABS(Z29)&gt;=1E9,"GB",IF(ABS(Z29)&gt;=1E6,"MB",IF(ABS(Z29)&gt;=1E3,"KB","bytes")))))="",""," "&amp;(IF(ABS(Z29)&gt;=1E12,"TB",IF(ABS(Z29)&gt;=1E9,"GB",IF(ABS(Z29)&gt;=1E6,"MB",IF(ABS(Z29)&gt;=1E3,"KB","bytes"))))))</f>
        <v>0.000 B</v>
      </c>
      <c r="J29" s="4" t="s">
        <v>268</v>
      </c>
      <c r="K29" s="4" t="s">
        <v>269</v>
      </c>
      <c r="L29" s="4" t="s">
        <v>270</v>
      </c>
      <c r="U29" s="30">
        <f>ShortLayers*(((QLoraRank)*(TP1LocalIndexHeads*IndexHeadDim)*FP8Bytes+ROUNDUP((QLoraRank)/FP8Block,0)*ROUNDUP((TP1LocalIndexHeads*IndexHeadDim)/FP8Block,0)*ScaleBytes)+HiddenSize*TP1LocalIndexHeads*BF16Bytes)</f>
        <v>187181568</v>
      </c>
      <c r="V29" s="30">
        <f>2*DC_Rows*ShortLayers*(QLoraRank*TP1LocalIndexHeads*IndexHeadDim+HiddenSize*TP1LocalIndexHeads)</f>
        <v>363331584.0</v>
      </c>
      <c r="W29" s="30">
        <f>0</f>
        <v>0</v>
      </c>
      <c r="X29" s="30">
        <f>ShortLayers*(((QLoraRank)*(TP8LocalIndexHeads*IndexHeadDim)*FP8Bytes+ROUNDUP((QLoraRank)/FP8Block,0)*ROUNDUP((TP8LocalIndexHeads*IndexHeadDim)/FP8Block,0)*ScaleBytes)+HiddenSize*TP8LocalIndexHeads*BF16Bytes)</f>
        <v>23397696</v>
      </c>
      <c r="Y29" s="30">
        <f>2*DC_Rows*ShortLayers*(QLoraRank*TP8LocalIndexHeads*IndexHeadDim+HiddenSize*TP8LocalIndexHeads)</f>
        <v>45416448.0</v>
      </c>
      <c r="Z29" s="30">
        <f>0</f>
        <v>0</v>
      </c>
    </row>
    <row r="30" spans="1:36">
      <c r="A30" s="4" t="s">
        <v>40</v>
      </c>
      <c r="B30" s="4" t="s">
        <v>271</v>
      </c>
      <c r="C30" s="4" t="s">
        <v>147</v>
      </c>
      <c r="D30" s="31" t="str">
        <f>TEXT(IF(ABS(U30)&gt;=1E12,U30/1E12,IF(ABS(U30)&gt;=1E9,U30/1E9,IF(ABS(U30)&gt;=1E6,U30/1E6,IF(ABS(U30)&gt;=1E3,U30/1E3,U30)))),"#,##0.000")&amp;IF((IF(ABS(U30)&gt;=1E12,"TB",IF(ABS(U30)&gt;=1E9,"GB",IF(ABS(U30)&gt;=1E6,"MB",IF(ABS(U30)&gt;=1E3,"KB","bytes")))))="",""," "&amp;(IF(ABS(U30)&gt;=1E12,"TB",IF(ABS(U30)&gt;=1E9,"GB",IF(ABS(U30)&gt;=1E6,"MB",IF(ABS(U30)&gt;=1E3,"KB","bytes"))))))</f>
        <v>0.000 B</v>
      </c>
      <c r="E30" s="31" t="str">
        <f>TEXT(IF(ABS(V30)&gt;=1E15,V30/1E15,IF(ABS(V30)&gt;=1E12,V30/1E12,IF(ABS(V30)&gt;=1E9,V30/1E9,IF(ABS(V30)&gt;=1E6,V30/1E6,V30)))),"#,##0.000")&amp;IF((IF(ABS(V30)&gt;=1E15,"PFLOPs",IF(ABS(V30)&gt;=1E12,"TFLOPs",IF(ABS(V30)&gt;=1E9,"GFLOPs",IF(ABS(V30)&gt;=1E6,"MFLOPs","flops")))))="",""," "&amp;(IF(ABS(V30)&gt;=1E15,"PFLOPs",IF(ABS(V30)&gt;=1E12,"TFLOPs",IF(ABS(V30)&gt;=1E9,"GFLOPs",IF(ABS(V30)&gt;=1E6,"MFLOPs","flops"))))))</f>
        <v>90.194 GFLOPs</v>
      </c>
      <c r="F30" s="31" t="str">
        <f>TEXT(IF(ABS(W30)&gt;=1E12,W30/1E12,IF(ABS(W30)&gt;=1E9,W30/1E9,IF(ABS(W30)&gt;=1E6,W30/1E6,IF(ABS(W30)&gt;=1E3,W30/1E3,W30)))),"#,##0.000")&amp;IF((IF(ABS(W30)&gt;=1E12,"TB",IF(ABS(W30)&gt;=1E9,"GB",IF(ABS(W30)&gt;=1E6,"MB",IF(ABS(W30)&gt;=1E3,"KB","bytes")))))="",""," "&amp;(IF(ABS(W30)&gt;=1E12,"TB",IF(ABS(W30)&gt;=1E9,"GB",IF(ABS(W30)&gt;=1E6,"MB",IF(ABS(W30)&gt;=1E3,"KB","bytes"))))))</f>
        <v>0.000 B</v>
      </c>
      <c r="G30" s="31" t="str">
        <f>TEXT(IF(ABS(X30)&gt;=1E12,X30/1E12,IF(ABS(X30)&gt;=1E9,X30/1E9,IF(ABS(X30)&gt;=1E6,X30/1E6,IF(ABS(X30)&gt;=1E3,X30/1E3,X30)))),"#,##0.000")&amp;IF((IF(ABS(X30)&gt;=1E12,"TB",IF(ABS(X30)&gt;=1E9,"GB",IF(ABS(X30)&gt;=1E6,"MB",IF(ABS(X30)&gt;=1E3,"KB","bytes")))))="",""," "&amp;(IF(ABS(X30)&gt;=1E12,"TB",IF(ABS(X30)&gt;=1E9,"GB",IF(ABS(X30)&gt;=1E6,"MB",IF(ABS(X30)&gt;=1E3,"KB","bytes"))))))</f>
        <v>0.000 B</v>
      </c>
      <c r="H30" s="31" t="str">
        <f>TEXT(IF(ABS(Y30)&gt;=1E15,Y30/1E15,IF(ABS(Y30)&gt;=1E12,Y30/1E12,IF(ABS(Y30)&gt;=1E9,Y30/1E9,IF(ABS(Y30)&gt;=1E6,Y30/1E6,Y30)))),"#,##0.000")&amp;IF((IF(ABS(Y30)&gt;=1E15,"PFLOPs",IF(ABS(Y30)&gt;=1E12,"TFLOPs",IF(ABS(Y30)&gt;=1E9,"GFLOPs",IF(ABS(Y30)&gt;=1E6,"MFLOPs","flops")))))="",""," "&amp;(IF(ABS(Y30)&gt;=1E15,"PFLOPs",IF(ABS(Y30)&gt;=1E12,"TFLOPs",IF(ABS(Y30)&gt;=1E9,"GFLOPs",IF(ABS(Y30)&gt;=1E6,"MFLOPs","flops"))))))</f>
        <v>11.274 GFLOPs</v>
      </c>
      <c r="I30" s="31" t="str">
        <f>TEXT(IF(ABS(Z30)&gt;=1E12,Z30/1E12,IF(ABS(Z30)&gt;=1E9,Z30/1E9,IF(ABS(Z30)&gt;=1E6,Z30/1E6,IF(ABS(Z30)&gt;=1E3,Z30/1E3,Z30)))),"#,##0.000")&amp;IF((IF(ABS(Z30)&gt;=1E12,"TB",IF(ABS(Z30)&gt;=1E9,"GB",IF(ABS(Z30)&gt;=1E6,"MB",IF(ABS(Z30)&gt;=1E3,"KB","bytes")))))="",""," "&amp;(IF(ABS(Z30)&gt;=1E12,"TB",IF(ABS(Z30)&gt;=1E9,"GB",IF(ABS(Z30)&gt;=1E6,"MB",IF(ABS(Z30)&gt;=1E3,"KB","bytes"))))))</f>
        <v>0.000 B</v>
      </c>
      <c r="J30" s="4" t="s">
        <v>245</v>
      </c>
      <c r="K30" s="4" t="s">
        <v>272</v>
      </c>
      <c r="L30" s="4" t="s">
        <v>273</v>
      </c>
      <c r="U30" s="30">
        <f>0</f>
        <v>0</v>
      </c>
      <c r="V30" s="30">
        <f>2*DecodeBatch*ShortLayers*TP1LocalIndexHeads*IndexHeadDim*DC_IndexPairs</f>
        <v>90194313216.0</v>
      </c>
      <c r="W30" s="30">
        <f>0</f>
        <v>0</v>
      </c>
      <c r="X30" s="30">
        <f>0</f>
        <v>0</v>
      </c>
      <c r="Y30" s="30">
        <f>2*DecodeBatch*ShortLayers*TP8LocalIndexHeads*IndexHeadDim*DC_IndexPairs</f>
        <v>11274289152.0</v>
      </c>
      <c r="Z30" s="30">
        <f>0</f>
        <v>0</v>
      </c>
    </row>
    <row r="31" spans="1:36">
      <c r="A31" s="4" t="s">
        <v>40</v>
      </c>
      <c r="B31" s="4" t="s">
        <v>274</v>
      </c>
      <c r="C31" s="4" t="s">
        <v>263</v>
      </c>
      <c r="D31" s="31" t="str">
        <f>TEXT(IF(ABS(U31)&gt;=1E12,U31/1E12,IF(ABS(U31)&gt;=1E9,U31/1E9,IF(ABS(U31)&gt;=1E6,U31/1E6,IF(ABS(U31)&gt;=1E3,U31/1E3,U31)))),"#,##0.000")&amp;IF((IF(ABS(U31)&gt;=1E12,"TB",IF(ABS(U31)&gt;=1E9,"GB",IF(ABS(U31)&gt;=1E6,"MB",IF(ABS(U31)&gt;=1E3,"KB","bytes")))))="",""," "&amp;(IF(ABS(U31)&gt;=1E12,"TB",IF(ABS(U31)&gt;=1E9,"GB",IF(ABS(U31)&gt;=1E6,"MB",IF(ABS(U31)&gt;=1E3,"KB","bytes"))))))</f>
        <v>705.030 MB</v>
      </c>
      <c r="E31" s="31" t="str">
        <f>TEXT(IF(ABS(V31)&gt;=1E15,V31/1E15,IF(ABS(V31)&gt;=1E12,V31/1E12,IF(ABS(V31)&gt;=1E9,V31/1E9,IF(ABS(V31)&gt;=1E6,V31/1E6,V31)))),"#,##0.000")&amp;IF((IF(ABS(V31)&gt;=1E15,"PFLOPs",IF(ABS(V31)&gt;=1E12,"TFLOPs",IF(ABS(V31)&gt;=1E9,"GFLOPs",IF(ABS(V31)&gt;=1E6,"MFLOPs","flops")))))="",""," "&amp;(IF(ABS(V31)&gt;=1E15,"PFLOPs",IF(ABS(V31)&gt;=1E12,"TFLOPs",IF(ABS(V31)&gt;=1E9,"GFLOPs",IF(ABS(V31)&gt;=1E6,"MFLOPs","flops"))))))</f>
        <v>352.322 MFLOPs</v>
      </c>
      <c r="F31" s="31" t="str">
        <f>TEXT(IF(ABS(W31)&gt;=1E12,W31/1E12,IF(ABS(W31)&gt;=1E9,W31/1E9,IF(ABS(W31)&gt;=1E6,W31/1E6,IF(ABS(W31)&gt;=1E3,W31/1E3,W31)))),"#,##0.000")&amp;IF((IF(ABS(W31)&gt;=1E12,"TB",IF(ABS(W31)&gt;=1E9,"GB",IF(ABS(W31)&gt;=1E6,"MB",IF(ABS(W31)&gt;=1E3,"KB","bytes")))))="",""," "&amp;(IF(ABS(W31)&gt;=1E12,"TB",IF(ABS(W31)&gt;=1E9,"GB",IF(ABS(W31)&gt;=1E6,"MB",IF(ABS(W31)&gt;=1E3,"KB","bytes"))))))</f>
        <v>0.000 B</v>
      </c>
      <c r="G31" s="31" t="str">
        <f>TEXT(IF(ABS(X31)&gt;=1E12,X31/1E12,IF(ABS(X31)&gt;=1E9,X31/1E9,IF(ABS(X31)&gt;=1E6,X31/1E6,IF(ABS(X31)&gt;=1E3,X31/1E3,X31)))),"#,##0.000")&amp;IF((IF(ABS(X31)&gt;=1E12,"TB",IF(ABS(X31)&gt;=1E9,"GB",IF(ABS(X31)&gt;=1E6,"MB",IF(ABS(X31)&gt;=1E3,"KB","bytes")))))="",""," "&amp;(IF(ABS(X31)&gt;=1E12,"TB",IF(ABS(X31)&gt;=1E9,"GB",IF(ABS(X31)&gt;=1E6,"MB",IF(ABS(X31)&gt;=1E3,"KB","bytes"))))))</f>
        <v>705.030 MB</v>
      </c>
      <c r="H31" s="31" t="str">
        <f>TEXT(IF(ABS(Y31)&gt;=1E15,Y31/1E15,IF(ABS(Y31)&gt;=1E12,Y31/1E12,IF(ABS(Y31)&gt;=1E9,Y31/1E9,IF(ABS(Y31)&gt;=1E6,Y31/1E6,Y31)))),"#,##0.000")&amp;IF((IF(ABS(Y31)&gt;=1E15,"PFLOPs",IF(ABS(Y31)&gt;=1E12,"TFLOPs",IF(ABS(Y31)&gt;=1E9,"GFLOPs",IF(ABS(Y31)&gt;=1E6,"MFLOPs","flops")))))="",""," "&amp;(IF(ABS(Y31)&gt;=1E15,"PFLOPs",IF(ABS(Y31)&gt;=1E12,"TFLOPs",IF(ABS(Y31)&gt;=1E9,"GFLOPs",IF(ABS(Y31)&gt;=1E6,"MFLOPs","flops"))))))</f>
        <v>352.322 MFLOPs</v>
      </c>
      <c r="I31" s="31" t="str">
        <f>TEXT(IF(ABS(Z31)&gt;=1E12,Z31/1E12,IF(ABS(Z31)&gt;=1E9,Z31/1E9,IF(ABS(Z31)&gt;=1E6,Z31/1E6,IF(ABS(Z31)&gt;=1E3,Z31/1E3,Z31)))),"#,##0.000")&amp;IF((IF(ABS(Z31)&gt;=1E12,"TB",IF(ABS(Z31)&gt;=1E9,"GB",IF(ABS(Z31)&gt;=1E6,"MB",IF(ABS(Z31)&gt;=1E3,"KB","bytes")))))="",""," "&amp;(IF(ABS(Z31)&gt;=1E12,"TB",IF(ABS(Z31)&gt;=1E9,"GB",IF(ABS(Z31)&gt;=1E6,"MB",IF(ABS(Z31)&gt;=1E3,"KB","bytes"))))))</f>
        <v>0.000 B</v>
      </c>
      <c r="J31" s="4" t="s">
        <v>275</v>
      </c>
      <c r="K31" s="4" t="s">
        <v>276</v>
      </c>
      <c r="L31" s="4" t="s">
        <v>277</v>
      </c>
      <c r="U31" s="30">
        <f>ShortLayers*(2*HiddenSize*(2*HeadDim)*FP32Bytes+ShortRatio*2*HeadDim*FP32Bytes+HeadDim*FP32Bytes)</f>
        <v>705030144</v>
      </c>
      <c r="V31" s="30">
        <f>DC_Rows*ShortLayers*8*HiddenSize*HeadDim</f>
        <v>352321536</v>
      </c>
      <c r="W31" s="30">
        <f>0</f>
        <v>0</v>
      </c>
      <c r="X31" s="30">
        <f>ShortLayers*(2*HiddenSize*(2*HeadDim)*FP32Bytes+ShortRatio*2*HeadDim*FP32Bytes+HeadDim*FP32Bytes)</f>
        <v>705030144</v>
      </c>
      <c r="Y31" s="30">
        <f>DC_Rows*ShortLayers*8*HiddenSize*HeadDim</f>
        <v>352321536</v>
      </c>
      <c r="Z31" s="30">
        <f>0</f>
        <v>0</v>
      </c>
    </row>
    <row r="32" spans="1:36">
      <c r="A32" s="4" t="s">
        <v>40</v>
      </c>
      <c r="B32" s="4" t="s">
        <v>278</v>
      </c>
      <c r="C32" s="4" t="s">
        <v>266</v>
      </c>
      <c r="D32" s="31" t="str">
        <f>TEXT(IF(ABS(U32)&gt;=1E12,U32/1E12,IF(ABS(U32)&gt;=1E9,U32/1E9,IF(ABS(U32)&gt;=1E6,U32/1E6,IF(ABS(U32)&gt;=1E3,U32/1E3,U32)))),"#,##0.000")&amp;IF((IF(ABS(U32)&gt;=1E12,"TB",IF(ABS(U32)&gt;=1E9,"GB",IF(ABS(U32)&gt;=1E6,"MB",IF(ABS(U32)&gt;=1E3,"KB","bytes")))))="",""," "&amp;(IF(ABS(U32)&gt;=1E12,"TB",IF(ABS(U32)&gt;=1E9,"GB",IF(ABS(U32)&gt;=1E6,"MB",IF(ABS(U32)&gt;=1E3,"KB","bytes"))))))</f>
        <v>340.828 MB</v>
      </c>
      <c r="E32" s="31" t="str">
        <f>TEXT(IF(ABS(V32)&gt;=1E15,V32/1E15,IF(ABS(V32)&gt;=1E12,V32/1E12,IF(ABS(V32)&gt;=1E9,V32/1E9,IF(ABS(V32)&gt;=1E6,V32/1E6,V32)))),"#,##0.000")&amp;IF((IF(ABS(V32)&gt;=1E15,"PFLOPs",IF(ABS(V32)&gt;=1E12,"TFLOPs",IF(ABS(V32)&gt;=1E9,"GFLOPs",IF(ABS(V32)&gt;=1E6,"MFLOPs","flops")))))="",""," "&amp;(IF(ABS(V32)&gt;=1E15,"PFLOPs",IF(ABS(V32)&gt;=1E12,"TFLOPs",IF(ABS(V32)&gt;=1E9,"GFLOPs",IF(ABS(V32)&gt;=1E6,"MFLOPs","flops"))))))</f>
        <v>167.772 MFLOPs</v>
      </c>
      <c r="F32" s="31" t="str">
        <f>TEXT(IF(ABS(W32)&gt;=1E12,W32/1E12,IF(ABS(W32)&gt;=1E9,W32/1E9,IF(ABS(W32)&gt;=1E6,W32/1E6,IF(ABS(W32)&gt;=1E3,W32/1E3,W32)))),"#,##0.000")&amp;IF((IF(ABS(W32)&gt;=1E12,"TB",IF(ABS(W32)&gt;=1E9,"GB",IF(ABS(W32)&gt;=1E6,"MB",IF(ABS(W32)&gt;=1E3,"KB","bytes")))))="",""," "&amp;(IF(ABS(W32)&gt;=1E12,"TB",IF(ABS(W32)&gt;=1E9,"GB",IF(ABS(W32)&gt;=1E6,"MB",IF(ABS(W32)&gt;=1E3,"KB","bytes"))))))</f>
        <v>0.000 B</v>
      </c>
      <c r="G32" s="31" t="str">
        <f>TEXT(IF(ABS(X32)&gt;=1E12,X32/1E12,IF(ABS(X32)&gt;=1E9,X32/1E9,IF(ABS(X32)&gt;=1E6,X32/1E6,IF(ABS(X32)&gt;=1E3,X32/1E3,X32)))),"#,##0.000")&amp;IF((IF(ABS(X32)&gt;=1E12,"TB",IF(ABS(X32)&gt;=1E9,"GB",IF(ABS(X32)&gt;=1E6,"MB",IF(ABS(X32)&gt;=1E3,"KB","bytes")))))="",""," "&amp;(IF(ABS(X32)&gt;=1E12,"TB",IF(ABS(X32)&gt;=1E9,"GB",IF(ABS(X32)&gt;=1E6,"MB",IF(ABS(X32)&gt;=1E3,"KB","bytes"))))))</f>
        <v>340.828 MB</v>
      </c>
      <c r="H32" s="31" t="str">
        <f>TEXT(IF(ABS(Y32)&gt;=1E15,Y32/1E15,IF(ABS(Y32)&gt;=1E12,Y32/1E12,IF(ABS(Y32)&gt;=1E9,Y32/1E9,IF(ABS(Y32)&gt;=1E6,Y32/1E6,Y32)))),"#,##0.000")&amp;IF((IF(ABS(Y32)&gt;=1E15,"PFLOPs",IF(ABS(Y32)&gt;=1E12,"TFLOPs",IF(ABS(Y32)&gt;=1E9,"GFLOPs",IF(ABS(Y32)&gt;=1E6,"MFLOPs","flops")))))="",""," "&amp;(IF(ABS(Y32)&gt;=1E15,"PFLOPs",IF(ABS(Y32)&gt;=1E12,"TFLOPs",IF(ABS(Y32)&gt;=1E9,"GFLOPs",IF(ABS(Y32)&gt;=1E6,"MFLOPs","flops"))))))</f>
        <v>167.772 MFLOPs</v>
      </c>
      <c r="I32" s="31" t="str">
        <f>TEXT(IF(ABS(Z32)&gt;=1E12,Z32/1E12,IF(ABS(Z32)&gt;=1E9,Z32/1E9,IF(ABS(Z32)&gt;=1E6,Z32/1E6,IF(ABS(Z32)&gt;=1E3,Z32/1E3,Z32)))),"#,##0.000")&amp;IF((IF(ABS(Z32)&gt;=1E12,"TB",IF(ABS(Z32)&gt;=1E9,"GB",IF(ABS(Z32)&gt;=1E6,"MB",IF(ABS(Z32)&gt;=1E3,"KB","bytes")))))="",""," "&amp;(IF(ABS(Z32)&gt;=1E12,"TB",IF(ABS(Z32)&gt;=1E9,"GB",IF(ABS(Z32)&gt;=1E6,"MB",IF(ABS(Z32)&gt;=1E3,"KB","bytes"))))))</f>
        <v>0.000 B</v>
      </c>
      <c r="J32" s="4" t="s">
        <v>275</v>
      </c>
      <c r="K32" s="4" t="s">
        <v>276</v>
      </c>
      <c r="L32" s="4" t="s">
        <v>279</v>
      </c>
      <c r="U32" s="30">
        <f>LongLayers*(2*HiddenSize*HeadDim*FP32Bytes+LongRatio*HeadDim*FP32Bytes+HeadDim*FP32Bytes)</f>
        <v>340828160</v>
      </c>
      <c r="V32" s="30">
        <f>DC_Rows*LongLayers*4*HiddenSize*HeadDim</f>
        <v>167772160</v>
      </c>
      <c r="W32" s="30">
        <f>0</f>
        <v>0</v>
      </c>
      <c r="X32" s="30">
        <f>LongLayers*(2*HiddenSize*HeadDim*FP32Bytes+LongRatio*HeadDim*FP32Bytes+HeadDim*FP32Bytes)</f>
        <v>340828160</v>
      </c>
      <c r="Y32" s="30">
        <f>DC_Rows*LongLayers*4*HiddenSize*HeadDim</f>
        <v>167772160</v>
      </c>
      <c r="Z32" s="30">
        <f>0</f>
        <v>0</v>
      </c>
    </row>
    <row r="33" spans="1:44">
      <c r="A33" s="4" t="s">
        <v>40</v>
      </c>
      <c r="B33" s="4" t="s">
        <v>280</v>
      </c>
      <c r="C33" s="4" t="s">
        <v>147</v>
      </c>
      <c r="D33" s="31" t="str">
        <f>TEXT(IF(ABS(U33)&gt;=1E12,U33/1E12,IF(ABS(U33)&gt;=1E9,U33/1E9,IF(ABS(U33)&gt;=1E6,U33/1E6,IF(ABS(U33)&gt;=1E3,U33/1E3,U33)))),"#,##0.000")&amp;IF((IF(ABS(U33)&gt;=1E12,"TB",IF(ABS(U33)&gt;=1E9,"GB",IF(ABS(U33)&gt;=1E6,"MB",IF(ABS(U33)&gt;=1E3,"KB","bytes")))))="",""," "&amp;(IF(ABS(U33)&gt;=1E12,"TB",IF(ABS(U33)&gt;=1E9,"GB",IF(ABS(U33)&gt;=1E6,"MB",IF(ABS(U33)&gt;=1E3,"KB","bytes"))))))</f>
        <v>176.258 MB</v>
      </c>
      <c r="E33" s="31" t="str">
        <f>TEXT(IF(ABS(V33)&gt;=1E15,V33/1E15,IF(ABS(V33)&gt;=1E12,V33/1E12,IF(ABS(V33)&gt;=1E9,V33/1E9,IF(ABS(V33)&gt;=1E6,V33/1E6,V33)))),"#,##0.000")&amp;IF((IF(ABS(V33)&gt;=1E15,"PFLOPs",IF(ABS(V33)&gt;=1E12,"TFLOPs",IF(ABS(V33)&gt;=1E9,"GFLOPs",IF(ABS(V33)&gt;=1E6,"MFLOPs","flops")))))="",""," "&amp;(IF(ABS(V33)&gt;=1E15,"PFLOPs",IF(ABS(V33)&gt;=1E12,"TFLOPs",IF(ABS(V33)&gt;=1E9,"GFLOPs",IF(ABS(V33)&gt;=1E6,"MFLOPs","flops"))))))</f>
        <v>88.080 MFLOPs</v>
      </c>
      <c r="F33" s="31" t="str">
        <f>TEXT(IF(ABS(W33)&gt;=1E12,W33/1E12,IF(ABS(W33)&gt;=1E9,W33/1E9,IF(ABS(W33)&gt;=1E6,W33/1E6,IF(ABS(W33)&gt;=1E3,W33/1E3,W33)))),"#,##0.000")&amp;IF((IF(ABS(W33)&gt;=1E12,"TB",IF(ABS(W33)&gt;=1E9,"GB",IF(ABS(W33)&gt;=1E6,"MB",IF(ABS(W33)&gt;=1E3,"KB","bytes")))))="",""," "&amp;(IF(ABS(W33)&gt;=1E12,"TB",IF(ABS(W33)&gt;=1E9,"GB",IF(ABS(W33)&gt;=1E6,"MB",IF(ABS(W33)&gt;=1E3,"KB","bytes"))))))</f>
        <v>0.000 B</v>
      </c>
      <c r="G33" s="31" t="str">
        <f>TEXT(IF(ABS(X33)&gt;=1E12,X33/1E12,IF(ABS(X33)&gt;=1E9,X33/1E9,IF(ABS(X33)&gt;=1E6,X33/1E6,IF(ABS(X33)&gt;=1E3,X33/1E3,X33)))),"#,##0.000")&amp;IF((IF(ABS(X33)&gt;=1E12,"TB",IF(ABS(X33)&gt;=1E9,"GB",IF(ABS(X33)&gt;=1E6,"MB",IF(ABS(X33)&gt;=1E3,"KB","bytes")))))="",""," "&amp;(IF(ABS(X33)&gt;=1E12,"TB",IF(ABS(X33)&gt;=1E9,"GB",IF(ABS(X33)&gt;=1E6,"MB",IF(ABS(X33)&gt;=1E3,"KB","bytes"))))))</f>
        <v>176.258 MB</v>
      </c>
      <c r="H33" s="31" t="str">
        <f>TEXT(IF(ABS(Y33)&gt;=1E15,Y33/1E15,IF(ABS(Y33)&gt;=1E12,Y33/1E12,IF(ABS(Y33)&gt;=1E9,Y33/1E9,IF(ABS(Y33)&gt;=1E6,Y33/1E6,Y33)))),"#,##0.000")&amp;IF((IF(ABS(Y33)&gt;=1E15,"PFLOPs",IF(ABS(Y33)&gt;=1E12,"TFLOPs",IF(ABS(Y33)&gt;=1E9,"GFLOPs",IF(ABS(Y33)&gt;=1E6,"MFLOPs","flops")))))="",""," "&amp;(IF(ABS(Y33)&gt;=1E15,"PFLOPs",IF(ABS(Y33)&gt;=1E12,"TFLOPs",IF(ABS(Y33)&gt;=1E9,"GFLOPs",IF(ABS(Y33)&gt;=1E6,"MFLOPs","flops"))))))</f>
        <v>88.080 MFLOPs</v>
      </c>
      <c r="I33" s="31" t="str">
        <f>TEXT(IF(ABS(Z33)&gt;=1E12,Z33/1E12,IF(ABS(Z33)&gt;=1E9,Z33/1E9,IF(ABS(Z33)&gt;=1E6,Z33/1E6,IF(ABS(Z33)&gt;=1E3,Z33/1E3,Z33)))),"#,##0.000")&amp;IF((IF(ABS(Z33)&gt;=1E12,"TB",IF(ABS(Z33)&gt;=1E9,"GB",IF(ABS(Z33)&gt;=1E6,"MB",IF(ABS(Z33)&gt;=1E3,"KB","bytes")))))="",""," "&amp;(IF(ABS(Z33)&gt;=1E12,"TB",IF(ABS(Z33)&gt;=1E9,"GB",IF(ABS(Z33)&gt;=1E6,"MB",IF(ABS(Z33)&gt;=1E3,"KB","bytes"))))))</f>
        <v>0.000 B</v>
      </c>
      <c r="J33" s="4" t="s">
        <v>281</v>
      </c>
      <c r="K33" s="4" t="s">
        <v>282</v>
      </c>
      <c r="L33" s="4" t="s">
        <v>283</v>
      </c>
      <c r="U33" s="30">
        <f>ShortLayers*(2*HiddenSize*(2*IndexHeadDim)*FP32Bytes+ShortRatio*2*IndexHeadDim*FP32Bytes+IndexHeadDim*FP32Bytes)</f>
        <v>176257536</v>
      </c>
      <c r="V33" s="30">
        <f>DC_Rows*ShortLayers*8*HiddenSize*IndexHeadDim</f>
        <v>88080384</v>
      </c>
      <c r="W33" s="30">
        <f>0</f>
        <v>0</v>
      </c>
      <c r="X33" s="30">
        <f>ShortLayers*(2*HiddenSize*(2*IndexHeadDim)*FP32Bytes+ShortRatio*2*IndexHeadDim*FP32Bytes+IndexHeadDim*FP32Bytes)</f>
        <v>176257536</v>
      </c>
      <c r="Y33" s="30">
        <f>DC_Rows*ShortLayers*8*HiddenSize*IndexHeadDim</f>
        <v>88080384</v>
      </c>
      <c r="Z33" s="30">
        <f>0</f>
        <v>0</v>
      </c>
    </row>
    <row r="34" spans="1:44">
      <c r="A34" s="4" t="s">
        <v>40</v>
      </c>
      <c r="B34" s="4" t="s">
        <v>284</v>
      </c>
      <c r="C34" s="4" t="s">
        <v>285</v>
      </c>
      <c r="D34" s="31" t="str">
        <f>TEXT(IF(ABS(U34)&gt;=1E12,U34/1E12,IF(ABS(U34)&gt;=1E9,U34/1E9,IF(ABS(U34)&gt;=1E6,U34/1E6,IF(ABS(U34)&gt;=1E3,U34/1E3,U34)))),"#,##0.000")&amp;IF((IF(ABS(U34)&gt;=1E12,"TB",IF(ABS(U34)&gt;=1E9,"GB",IF(ABS(U34)&gt;=1E6,"MB",IF(ABS(U34)&gt;=1E3,"KB","bytes")))))="",""," "&amp;(IF(ABS(U34)&gt;=1E12,"TB",IF(ABS(U34)&gt;=1E9,"GB",IF(ABS(U34)&gt;=1E6,"MB",IF(ABS(U34)&gt;=1E3,"KB","bytes"))))))</f>
        <v>0.000 B</v>
      </c>
      <c r="E34" s="31" t="str">
        <f>TEXT(IF(ABS(V34)&gt;=1E15,V34/1E15,IF(ABS(V34)&gt;=1E12,V34/1E12,IF(ABS(V34)&gt;=1E9,V34/1E9,IF(ABS(V34)&gt;=1E6,V34/1E6,V34)))),"#,##0.000")&amp;IF((IF(ABS(V34)&gt;=1E15,"PFLOPs",IF(ABS(V34)&gt;=1E12,"TFLOPs",IF(ABS(V34)&gt;=1E9,"GFLOPs",IF(ABS(V34)&gt;=1E6,"MFLOPs","flops")))))="",""," "&amp;(IF(ABS(V34)&gt;=1E15,"PFLOPs",IF(ABS(V34)&gt;=1E12,"TFLOPs",IF(ABS(V34)&gt;=1E9,"GFLOPs",IF(ABS(V34)&gt;=1E6,"MFLOPs","flops"))))))</f>
        <v>0.000 FLOPs</v>
      </c>
      <c r="F34" s="31" t="str">
        <f>TEXT(IF(ABS(W34)&gt;=1E12,W34/1E12,IF(ABS(W34)&gt;=1E9,W34/1E9,IF(ABS(W34)&gt;=1E6,W34/1E6,IF(ABS(W34)&gt;=1E3,W34/1E3,W34)))),"#,##0.000")&amp;IF((IF(ABS(W34)&gt;=1E12,"TB",IF(ABS(W34)&gt;=1E9,"GB",IF(ABS(W34)&gt;=1E6,"MB",IF(ABS(W34)&gt;=1E3,"KB","bytes")))))="",""," "&amp;(IF(ABS(W34)&gt;=1E12,"TB",IF(ABS(W34)&gt;=1E9,"GB",IF(ABS(W34)&gt;=1E6,"MB",IF(ABS(W34)&gt;=1E3,"KB","bytes"))))))</f>
        <v>0.000 B</v>
      </c>
      <c r="G34" s="31" t="str">
        <f>TEXT(IF(ABS(X34)&gt;=1E12,X34/1E12,IF(ABS(X34)&gt;=1E9,X34/1E9,IF(ABS(X34)&gt;=1E6,X34/1E6,IF(ABS(X34)&gt;=1E3,X34/1E3,X34)))),"#,##0.000")&amp;IF((IF(ABS(X34)&gt;=1E12,"TB",IF(ABS(X34)&gt;=1E9,"GB",IF(ABS(X34)&gt;=1E6,"MB",IF(ABS(X34)&gt;=1E3,"KB","bytes")))))="",""," "&amp;(IF(ABS(X34)&gt;=1E12,"TB",IF(ABS(X34)&gt;=1E9,"GB",IF(ABS(X34)&gt;=1E6,"MB",IF(ABS(X34)&gt;=1E3,"KB","bytes"))))))</f>
        <v>0.000 B</v>
      </c>
      <c r="H34" s="31" t="str">
        <f>TEXT(IF(ABS(Y34)&gt;=1E15,Y34/1E15,IF(ABS(Y34)&gt;=1E12,Y34/1E12,IF(ABS(Y34)&gt;=1E9,Y34/1E9,IF(ABS(Y34)&gt;=1E6,Y34/1E6,Y34)))),"#,##0.000")&amp;IF((IF(ABS(Y34)&gt;=1E15,"PFLOPs",IF(ABS(Y34)&gt;=1E12,"TFLOPs",IF(ABS(Y34)&gt;=1E9,"GFLOPs",IF(ABS(Y34)&gt;=1E6,"MFLOPs","flops")))))="",""," "&amp;(IF(ABS(Y34)&gt;=1E15,"PFLOPs",IF(ABS(Y34)&gt;=1E12,"TFLOPs",IF(ABS(Y34)&gt;=1E9,"GFLOPs",IF(ABS(Y34)&gt;=1E6,"MFLOPs","flops"))))))</f>
        <v>0.000 FLOPs</v>
      </c>
      <c r="I34" s="31" t="str">
        <f>TEXT(IF(ABS(Z34)&gt;=1E12,Z34/1E12,IF(ABS(Z34)&gt;=1E9,Z34/1E9,IF(ABS(Z34)&gt;=1E6,Z34/1E6,IF(ABS(Z34)&gt;=1E3,Z34/1E3,Z34)))),"#,##0.000")&amp;IF((IF(ABS(Z34)&gt;=1E12,"TB",IF(ABS(Z34)&gt;=1E9,"GB",IF(ABS(Z34)&gt;=1E6,"MB",IF(ABS(Z34)&gt;=1E3,"KB","bytes")))))="",""," "&amp;(IF(ABS(Z34)&gt;=1E12,"TB",IF(ABS(Z34)&gt;=1E9,"GB",IF(ABS(Z34)&gt;=1E6,"MB",IF(ABS(Z34)&gt;=1E3,"KB","bytes"))))))</f>
        <v>2.466 MB</v>
      </c>
      <c r="J34" s="4" t="s">
        <v>245</v>
      </c>
      <c r="K34" s="4" t="s">
        <v>286</v>
      </c>
      <c r="L34" s="4" t="s">
        <v>287</v>
      </c>
      <c r="U34" s="30">
        <f>0</f>
        <v>0</v>
      </c>
      <c r="V34" s="30">
        <f>0</f>
        <v>0</v>
      </c>
      <c r="W34" s="30">
        <f>4*(TP1Size-1)/TP1Size*DC_Rows*HiddenSize*FP32Bytes*TotalLayers</f>
        <v>0.0</v>
      </c>
      <c r="X34" s="30">
        <f>0</f>
        <v>0</v>
      </c>
      <c r="Y34" s="30">
        <f>0</f>
        <v>0</v>
      </c>
      <c r="Z34" s="30">
        <f>4*(TP8Size-1)/TP8Size*DC_Rows*HiddenSize*FP32Bytes*TotalLayers</f>
        <v>2465792.0</v>
      </c>
    </row>
    <row r="35" spans="1:44">
      <c r="A35" s="4" t="s">
        <v>40</v>
      </c>
      <c r="B35" s="4" t="s">
        <v>337</v>
      </c>
      <c r="C35" s="4" t="s">
        <v>289</v>
      </c>
      <c r="D35" s="31" t="str">
        <f>TEXT(IF(ABS(U35)&gt;=1E12,U35/1E12,IF(ABS(U35)&gt;=1E9,U35/1E9,IF(ABS(U35)&gt;=1E6,U35/1E6,IF(ABS(U35)&gt;=1E3,U35/1E3,U35)))),"#,##0.000")&amp;IF((IF(ABS(U35)&gt;=1E12,"TB",IF(ABS(U35)&gt;=1E9,"GB",IF(ABS(U35)&gt;=1E6,"MB",IF(ABS(U35)&gt;=1E3,"KB","bytes")))))="",""," "&amp;(IF(ABS(U35)&gt;=1E12,"TB",IF(ABS(U35)&gt;=1E9,"GB",IF(ABS(U35)&gt;=1E6,"MB",IF(ABS(U35)&gt;=1E3,"KB","bytes"))))))</f>
        <v>5.811 GB</v>
      </c>
      <c r="E35" s="31" t="str">
        <f>TEXT(IF(ABS(V35)&gt;=1E15,V35/1E15,IF(ABS(V35)&gt;=1E12,V35/1E12,IF(ABS(V35)&gt;=1E9,V35/1E9,IF(ABS(V35)&gt;=1E6,V35/1E6,V35)))),"#,##0.000")&amp;IF((IF(ABS(V35)&gt;=1E15,"PFLOPs",IF(ABS(V35)&gt;=1E12,"TFLOPs",IF(ABS(V35)&gt;=1E9,"GFLOPs",IF(ABS(V35)&gt;=1E6,"MFLOPs","flops")))))="",""," "&amp;(IF(ABS(V35)&gt;=1E15,"PFLOPs",IF(ABS(V35)&gt;=1E12,"TFLOPs",IF(ABS(V35)&gt;=1E9,"GFLOPs",IF(ABS(V35)&gt;=1E6,"MFLOPs","flops"))))))</f>
        <v>0.000 FLOPs</v>
      </c>
      <c r="F35" s="31" t="str">
        <f>TEXT(IF(ABS(W35)&gt;=1E12,W35/1E12,IF(ABS(W35)&gt;=1E9,W35/1E9,IF(ABS(W35)&gt;=1E6,W35/1E6,IF(ABS(W35)&gt;=1E3,W35/1E3,W35)))),"#,##0.000")&amp;IF((IF(ABS(W35)&gt;=1E12,"TB",IF(ABS(W35)&gt;=1E9,"GB",IF(ABS(W35)&gt;=1E6,"MB",IF(ABS(W35)&gt;=1E3,"KB","bytes")))))="",""," "&amp;(IF(ABS(W35)&gt;=1E12,"TB",IF(ABS(W35)&gt;=1E9,"GB",IF(ABS(W35)&gt;=1E6,"MB",IF(ABS(W35)&gt;=1E3,"KB","bytes"))))))</f>
        <v>0.000 B</v>
      </c>
      <c r="G35" s="31" t="str">
        <f>TEXT(IF(ABS(X35)&gt;=1E12,X35/1E12,IF(ABS(X35)&gt;=1E9,X35/1E9,IF(ABS(X35)&gt;=1E6,X35/1E6,IF(ABS(X35)&gt;=1E3,X35/1E3,X35)))),"#,##0.000")&amp;IF((IF(ABS(X35)&gt;=1E12,"TB",IF(ABS(X35)&gt;=1E9,"GB",IF(ABS(X35)&gt;=1E6,"MB",IF(ABS(X35)&gt;=1E3,"KB","bytes")))))="",""," "&amp;(IF(ABS(X35)&gt;=1E12,"TB",IF(ABS(X35)&gt;=1E9,"GB",IF(ABS(X35)&gt;=1E6,"MB",IF(ABS(X35)&gt;=1E3,"KB","bytes"))))))</f>
        <v>5.811 GB</v>
      </c>
      <c r="H35" s="31" t="str">
        <f>TEXT(IF(ABS(Y35)&gt;=1E15,Y35/1E15,IF(ABS(Y35)&gt;=1E12,Y35/1E12,IF(ABS(Y35)&gt;=1E9,Y35/1E9,IF(ABS(Y35)&gt;=1E6,Y35/1E6,Y35)))),"#,##0.000")&amp;IF((IF(ABS(Y35)&gt;=1E15,"PFLOPs",IF(ABS(Y35)&gt;=1E12,"TFLOPs",IF(ABS(Y35)&gt;=1E9,"GFLOPs",IF(ABS(Y35)&gt;=1E6,"MFLOPs","flops")))))="",""," "&amp;(IF(ABS(Y35)&gt;=1E15,"PFLOPs",IF(ABS(Y35)&gt;=1E12,"TFLOPs",IF(ABS(Y35)&gt;=1E9,"GFLOPs",IF(ABS(Y35)&gt;=1E6,"MFLOPs","flops"))))))</f>
        <v>0.000 FLOPs</v>
      </c>
      <c r="I35" s="31" t="str">
        <f>TEXT(IF(ABS(Z35)&gt;=1E12,Z35/1E12,IF(ABS(Z35)&gt;=1E9,Z35/1E9,IF(ABS(Z35)&gt;=1E6,Z35/1E6,IF(ABS(Z35)&gt;=1E3,Z35/1E3,Z35)))),"#,##0.000")&amp;IF((IF(ABS(Z35)&gt;=1E12,"TB",IF(ABS(Z35)&gt;=1E9,"GB",IF(ABS(Z35)&gt;=1E6,"MB",IF(ABS(Z35)&gt;=1E3,"KB","bytes")))))="",""," "&amp;(IF(ABS(Z35)&gt;=1E12,"TB",IF(ABS(Z35)&gt;=1E9,"GB",IF(ABS(Z35)&gt;=1E6,"MB",IF(ABS(Z35)&gt;=1E3,"KB","bytes"))))))</f>
        <v>0.000 B</v>
      </c>
      <c r="J35" s="4" t="s">
        <v>245</v>
      </c>
      <c r="K35" s="4" t="s">
        <v>290</v>
      </c>
      <c r="L35" s="4" t="s">
        <v>338</v>
      </c>
      <c r="U35" s="30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  <c r="V35" s="30">
        <f>0</f>
        <v>0</v>
      </c>
      <c r="W35" s="30">
        <f>0</f>
        <v>0</v>
      </c>
      <c r="X35" s="30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  <c r="Y35" s="30">
        <f>0</f>
        <v>0</v>
      </c>
      <c r="Z35" s="30">
        <f>0</f>
        <v>0</v>
      </c>
    </row>
    <row r="36" spans="1:44">
      <c r="A36" s="4" t="s">
        <v>40</v>
      </c>
      <c r="B36" s="4" t="s">
        <v>339</v>
      </c>
      <c r="C36" s="4" t="s">
        <v>289</v>
      </c>
      <c r="D36" s="31" t="str">
        <f>TEXT(IF(ABS(U36)&gt;=1E12,U36/1E12,IF(ABS(U36)&gt;=1E9,U36/1E9,IF(ABS(U36)&gt;=1E6,U36/1E6,IF(ABS(U36)&gt;=1E3,U36/1E3,U36)))),"#,##0.000")&amp;IF((IF(ABS(U36)&gt;=1E12,"TB",IF(ABS(U36)&gt;=1E9,"GB",IF(ABS(U36)&gt;=1E6,"MB",IF(ABS(U36)&gt;=1E3,"KB","bytes")))))="",""," "&amp;(IF(ABS(U36)&gt;=1E12,"TB",IF(ABS(U36)&gt;=1E9,"GB",IF(ABS(U36)&gt;=1E6,"MB",IF(ABS(U36)&gt;=1E3,"KB","bytes"))))))</f>
        <v>1.409 GB</v>
      </c>
      <c r="E36" s="31" t="str">
        <f>TEXT(IF(ABS(V36)&gt;=1E15,V36/1E15,IF(ABS(V36)&gt;=1E12,V36/1E12,IF(ABS(V36)&gt;=1E9,V36/1E9,IF(ABS(V36)&gt;=1E6,V36/1E6,V36)))),"#,##0.000")&amp;IF((IF(ABS(V36)&gt;=1E15,"PFLOPs",IF(ABS(V36)&gt;=1E12,"TFLOPs",IF(ABS(V36)&gt;=1E9,"GFLOPs",IF(ABS(V36)&gt;=1E6,"MFLOPs","flops")))))="",""," "&amp;(IF(ABS(V36)&gt;=1E15,"PFLOPs",IF(ABS(V36)&gt;=1E12,"TFLOPs",IF(ABS(V36)&gt;=1E9,"GFLOPs",IF(ABS(V36)&gt;=1E6,"MFLOPs","flops"))))))</f>
        <v>0.000 FLOPs</v>
      </c>
      <c r="F36" s="31" t="str">
        <f>TEXT(IF(ABS(W36)&gt;=1E12,W36/1E12,IF(ABS(W36)&gt;=1E9,W36/1E9,IF(ABS(W36)&gt;=1E6,W36/1E6,IF(ABS(W36)&gt;=1E3,W36/1E3,W36)))),"#,##0.000")&amp;IF((IF(ABS(W36)&gt;=1E12,"TB",IF(ABS(W36)&gt;=1E9,"GB",IF(ABS(W36)&gt;=1E6,"MB",IF(ABS(W36)&gt;=1E3,"KB","bytes")))))="",""," "&amp;(IF(ABS(W36)&gt;=1E12,"TB",IF(ABS(W36)&gt;=1E9,"GB",IF(ABS(W36)&gt;=1E6,"MB",IF(ABS(W36)&gt;=1E3,"KB","bytes"))))))</f>
        <v>0.000 B</v>
      </c>
      <c r="G36" s="31" t="str">
        <f>TEXT(IF(ABS(X36)&gt;=1E12,X36/1E12,IF(ABS(X36)&gt;=1E9,X36/1E9,IF(ABS(X36)&gt;=1E6,X36/1E6,IF(ABS(X36)&gt;=1E3,X36/1E3,X36)))),"#,##0.000")&amp;IF((IF(ABS(X36)&gt;=1E12,"TB",IF(ABS(X36)&gt;=1E9,"GB",IF(ABS(X36)&gt;=1E6,"MB",IF(ABS(X36)&gt;=1E3,"KB","bytes")))))="",""," "&amp;(IF(ABS(X36)&gt;=1E12,"TB",IF(ABS(X36)&gt;=1E9,"GB",IF(ABS(X36)&gt;=1E6,"MB",IF(ABS(X36)&gt;=1E3,"KB","bytes"))))))</f>
        <v>1.409 GB</v>
      </c>
      <c r="H36" s="31" t="str">
        <f>TEXT(IF(ABS(Y36)&gt;=1E15,Y36/1E15,IF(ABS(Y36)&gt;=1E12,Y36/1E12,IF(ABS(Y36)&gt;=1E9,Y36/1E9,IF(ABS(Y36)&gt;=1E6,Y36/1E6,Y36)))),"#,##0.000")&amp;IF((IF(ABS(Y36)&gt;=1E15,"PFLOPs",IF(ABS(Y36)&gt;=1E12,"TFLOPs",IF(ABS(Y36)&gt;=1E9,"GFLOPs",IF(ABS(Y36)&gt;=1E6,"MFLOPs","flops")))))="",""," "&amp;(IF(ABS(Y36)&gt;=1E15,"PFLOPs",IF(ABS(Y36)&gt;=1E12,"TFLOPs",IF(ABS(Y36)&gt;=1E9,"GFLOPs",IF(ABS(Y36)&gt;=1E6,"MFLOPs","flops"))))))</f>
        <v>0.000 FLOPs</v>
      </c>
      <c r="I36" s="31" t="str">
        <f>TEXT(IF(ABS(Z36)&gt;=1E12,Z36/1E12,IF(ABS(Z36)&gt;=1E9,Z36/1E9,IF(ABS(Z36)&gt;=1E6,Z36/1E6,IF(ABS(Z36)&gt;=1E3,Z36/1E3,Z36)))),"#,##0.000")&amp;IF((IF(ABS(Z36)&gt;=1E12,"TB",IF(ABS(Z36)&gt;=1E9,"GB",IF(ABS(Z36)&gt;=1E6,"MB",IF(ABS(Z36)&gt;=1E3,"KB","bytes")))))="",""," "&amp;(IF(ABS(Z36)&gt;=1E12,"TB",IF(ABS(Z36)&gt;=1E9,"GB",IF(ABS(Z36)&gt;=1E6,"MB",IF(ABS(Z36)&gt;=1E3,"KB","bytes"))))))</f>
        <v>0.000 B</v>
      </c>
      <c r="J36" s="4" t="s">
        <v>245</v>
      </c>
      <c r="K36" s="4" t="s">
        <v>293</v>
      </c>
      <c r="L36" s="4" t="s">
        <v>340</v>
      </c>
      <c r="U36" s="30">
        <f>DecodeBatch*ShortLayers*INT(DecodeContext/ShortRatio)*IndexHeadDim*BF16Bytes</f>
        <v>1409286144</v>
      </c>
      <c r="V36" s="30">
        <f>0</f>
        <v>0</v>
      </c>
      <c r="W36" s="30">
        <f>0</f>
        <v>0</v>
      </c>
      <c r="X36" s="30">
        <f>DecodeBatch*ShortLayers*INT(DecodeContext/ShortRatio)*IndexHeadDim*BF16Bytes</f>
        <v>1409286144</v>
      </c>
      <c r="Y36" s="30">
        <f>0</f>
        <v>0</v>
      </c>
      <c r="Z36" s="30">
        <f>0</f>
        <v>0</v>
      </c>
    </row>
    <row r="37" spans="1:44">
      <c r="A37" s="4" t="s">
        <v>40</v>
      </c>
      <c r="B37" s="4" t="s">
        <v>341</v>
      </c>
      <c r="C37" s="4" t="s">
        <v>289</v>
      </c>
      <c r="D37" s="31" t="str">
        <f>TEXT(IF(ABS(U37)&gt;=1E12,U37/1E12,IF(ABS(U37)&gt;=1E9,U37/1E9,IF(ABS(U37)&gt;=1E6,U37/1E6,IF(ABS(U37)&gt;=1E3,U37/1E3,U37)))),"#,##0.000")&amp;IF((IF(ABS(U37)&gt;=1E12,"TB",IF(ABS(U37)&gt;=1E9,"GB",IF(ABS(U37)&gt;=1E6,"MB",IF(ABS(U37)&gt;=1E3,"KB","bytes")))))="",""," "&amp;(IF(ABS(U37)&gt;=1E12,"TB",IF(ABS(U37)&gt;=1E9,"GB",IF(ABS(U37)&gt;=1E6,"MB",IF(ABS(U37)&gt;=1E3,"KB","bytes"))))))</f>
        <v>12.206 MB</v>
      </c>
      <c r="E37" s="31" t="str">
        <f>TEXT(IF(ABS(V37)&gt;=1E15,V37/1E15,IF(ABS(V37)&gt;=1E12,V37/1E12,IF(ABS(V37)&gt;=1E9,V37/1E9,IF(ABS(V37)&gt;=1E6,V37/1E6,V37)))),"#,##0.000")&amp;IF((IF(ABS(V37)&gt;=1E15,"PFLOPs",IF(ABS(V37)&gt;=1E12,"TFLOPs",IF(ABS(V37)&gt;=1E9,"GFLOPs",IF(ABS(V37)&gt;=1E6,"MFLOPs","flops")))))="",""," "&amp;(IF(ABS(V37)&gt;=1E15,"PFLOPs",IF(ABS(V37)&gt;=1E12,"TFLOPs",IF(ABS(V37)&gt;=1E9,"GFLOPs",IF(ABS(V37)&gt;=1E6,"MFLOPs","flops"))))))</f>
        <v>0.000 FLOPs</v>
      </c>
      <c r="F37" s="31" t="str">
        <f>TEXT(IF(ABS(W37)&gt;=1E12,W37/1E12,IF(ABS(W37)&gt;=1E9,W37/1E9,IF(ABS(W37)&gt;=1E6,W37/1E6,IF(ABS(W37)&gt;=1E3,W37/1E3,W37)))),"#,##0.000")&amp;IF((IF(ABS(W37)&gt;=1E12,"TB",IF(ABS(W37)&gt;=1E9,"GB",IF(ABS(W37)&gt;=1E6,"MB",IF(ABS(W37)&gt;=1E3,"KB","bytes")))))="",""," "&amp;(IF(ABS(W37)&gt;=1E12,"TB",IF(ABS(W37)&gt;=1E9,"GB",IF(ABS(W37)&gt;=1E6,"MB",IF(ABS(W37)&gt;=1E3,"KB","bytes"))))))</f>
        <v>0.000 B</v>
      </c>
      <c r="G37" s="31" t="str">
        <f>TEXT(IF(ABS(X37)&gt;=1E12,X37/1E12,IF(ABS(X37)&gt;=1E9,X37/1E9,IF(ABS(X37)&gt;=1E6,X37/1E6,IF(ABS(X37)&gt;=1E3,X37/1E3,X37)))),"#,##0.000")&amp;IF((IF(ABS(X37)&gt;=1E12,"TB",IF(ABS(X37)&gt;=1E9,"GB",IF(ABS(X37)&gt;=1E6,"MB",IF(ABS(X37)&gt;=1E3,"KB","bytes")))))="",""," "&amp;(IF(ABS(X37)&gt;=1E12,"TB",IF(ABS(X37)&gt;=1E9,"GB",IF(ABS(X37)&gt;=1E6,"MB",IF(ABS(X37)&gt;=1E3,"KB","bytes"))))))</f>
        <v>12.206 MB</v>
      </c>
      <c r="H37" s="31" t="str">
        <f>TEXT(IF(ABS(Y37)&gt;=1E15,Y37/1E15,IF(ABS(Y37)&gt;=1E12,Y37/1E12,IF(ABS(Y37)&gt;=1E9,Y37/1E9,IF(ABS(Y37)&gt;=1E6,Y37/1E6,Y37)))),"#,##0.000")&amp;IF((IF(ABS(Y37)&gt;=1E15,"PFLOPs",IF(ABS(Y37)&gt;=1E12,"TFLOPs",IF(ABS(Y37)&gt;=1E9,"GFLOPs",IF(ABS(Y37)&gt;=1E6,"MFLOPs","flops")))))="",""," "&amp;(IF(ABS(Y37)&gt;=1E15,"PFLOPs",IF(ABS(Y37)&gt;=1E12,"TFLOPs",IF(ABS(Y37)&gt;=1E9,"GFLOPs",IF(ABS(Y37)&gt;=1E6,"MFLOPs","flops"))))))</f>
        <v>0.000 FLOPs</v>
      </c>
      <c r="I37" s="31" t="str">
        <f>TEXT(IF(ABS(Z37)&gt;=1E12,Z37/1E12,IF(ABS(Z37)&gt;=1E9,Z37/1E9,IF(ABS(Z37)&gt;=1E6,Z37/1E6,IF(ABS(Z37)&gt;=1E3,Z37/1E3,Z37)))),"#,##0.000")&amp;IF((IF(ABS(Z37)&gt;=1E12,"TB",IF(ABS(Z37)&gt;=1E9,"GB",IF(ABS(Z37)&gt;=1E6,"MB",IF(ABS(Z37)&gt;=1E3,"KB","bytes")))))="",""," "&amp;(IF(ABS(Z37)&gt;=1E12,"TB",IF(ABS(Z37)&gt;=1E9,"GB",IF(ABS(Z37)&gt;=1E6,"MB",IF(ABS(Z37)&gt;=1E3,"KB","bytes"))))))</f>
        <v>0.000 B</v>
      </c>
      <c r="J37" s="4" t="s">
        <v>245</v>
      </c>
      <c r="K37" s="4" t="s">
        <v>296</v>
      </c>
      <c r="L37" s="4" t="s">
        <v>342</v>
      </c>
      <c r="U37" s="30">
        <f>DecodeBatch*FP32Bytes*(ShortLayers*2*(2*ShortRatio)*(2*HeadDim)+LongLayers*2*LongRatio*HeadDim+ShortLayers*2*(2*ShortRatio)*(2*IndexHeadDim))</f>
        <v>12206080</v>
      </c>
      <c r="V37" s="30">
        <f>0</f>
        <v>0</v>
      </c>
      <c r="W37" s="30">
        <f>0</f>
        <v>0</v>
      </c>
      <c r="X37" s="30">
        <f>DecodeBatch*FP32Bytes*(ShortLayers*2*(2*ShortRatio)*(2*HeadDim)+LongLayers*2*LongRatio*HeadDim+ShortLayers*2*(2*ShortRatio)*(2*IndexHeadDim))</f>
        <v>12206080</v>
      </c>
      <c r="Y37" s="30">
        <f>0</f>
        <v>0</v>
      </c>
      <c r="Z37" s="30">
        <f>0</f>
        <v>0</v>
      </c>
    </row>
    <row r="38" spans="1:44">
      <c r="A38" s="4" t="s">
        <v>40</v>
      </c>
      <c r="B38" s="4" t="s">
        <v>343</v>
      </c>
      <c r="C38" s="4" t="s">
        <v>289</v>
      </c>
      <c r="D38" s="31" t="str">
        <f>TEXT(IF(ABS(U38)&gt;=1E12,U38/1E12,IF(ABS(U38)&gt;=1E9,U38/1E9,IF(ABS(U38)&gt;=1E6,U38/1E6,IF(ABS(U38)&gt;=1E3,U38/1E3,U38)))),"#,##0.000")&amp;IF((IF(ABS(U38)&gt;=1E12,"TB",IF(ABS(U38)&gt;=1E9,"GB",IF(ABS(U38)&gt;=1E6,"MB",IF(ABS(U38)&gt;=1E3,"KB","bytes")))))="",""," "&amp;(IF(ABS(U38)&gt;=1E12,"TB",IF(ABS(U38)&gt;=1E9,"GB",IF(ABS(U38)&gt;=1E6,"MB",IF(ABS(U38)&gt;=1E3,"KB","bytes"))))))</f>
        <v>7.232 GB</v>
      </c>
      <c r="E38" s="31" t="str">
        <f>TEXT(IF(ABS(V38)&gt;=1E15,V38/1E15,IF(ABS(V38)&gt;=1E12,V38/1E12,IF(ABS(V38)&gt;=1E9,V38/1E9,IF(ABS(V38)&gt;=1E6,V38/1E6,V38)))),"#,##0.000")&amp;IF((IF(ABS(V38)&gt;=1E15,"PFLOPs",IF(ABS(V38)&gt;=1E12,"TFLOPs",IF(ABS(V38)&gt;=1E9,"GFLOPs",IF(ABS(V38)&gt;=1E6,"MFLOPs","flops")))))="",""," "&amp;(IF(ABS(V38)&gt;=1E15,"PFLOPs",IF(ABS(V38)&gt;=1E12,"TFLOPs",IF(ABS(V38)&gt;=1E9,"GFLOPs",IF(ABS(V38)&gt;=1E6,"MFLOPs","flops"))))))</f>
        <v>0.000 FLOPs</v>
      </c>
      <c r="F38" s="31" t="str">
        <f>TEXT(IF(ABS(W38)&gt;=1E12,W38/1E12,IF(ABS(W38)&gt;=1E9,W38/1E9,IF(ABS(W38)&gt;=1E6,W38/1E6,IF(ABS(W38)&gt;=1E3,W38/1E3,W38)))),"#,##0.000")&amp;IF((IF(ABS(W38)&gt;=1E12,"TB",IF(ABS(W38)&gt;=1E9,"GB",IF(ABS(W38)&gt;=1E6,"MB",IF(ABS(W38)&gt;=1E3,"KB","bytes")))))="",""," "&amp;(IF(ABS(W38)&gt;=1E12,"TB",IF(ABS(W38)&gt;=1E9,"GB",IF(ABS(W38)&gt;=1E6,"MB",IF(ABS(W38)&gt;=1E3,"KB","bytes"))))))</f>
        <v>0.000 B</v>
      </c>
      <c r="G38" s="31" t="str">
        <f>TEXT(IF(ABS(X38)&gt;=1E12,X38/1E12,IF(ABS(X38)&gt;=1E9,X38/1E9,IF(ABS(X38)&gt;=1E6,X38/1E6,IF(ABS(X38)&gt;=1E3,X38/1E3,X38)))),"#,##0.000")&amp;IF((IF(ABS(X38)&gt;=1E12,"TB",IF(ABS(X38)&gt;=1E9,"GB",IF(ABS(X38)&gt;=1E6,"MB",IF(ABS(X38)&gt;=1E3,"KB","bytes")))))="",""," "&amp;(IF(ABS(X38)&gt;=1E12,"TB",IF(ABS(X38)&gt;=1E9,"GB",IF(ABS(X38)&gt;=1E6,"MB",IF(ABS(X38)&gt;=1E3,"KB","bytes"))))))</f>
        <v>7.232 GB</v>
      </c>
      <c r="H38" s="31" t="str">
        <f>TEXT(IF(ABS(Y38)&gt;=1E15,Y38/1E15,IF(ABS(Y38)&gt;=1E12,Y38/1E12,IF(ABS(Y38)&gt;=1E9,Y38/1E9,IF(ABS(Y38)&gt;=1E6,Y38/1E6,Y38)))),"#,##0.000")&amp;IF((IF(ABS(Y38)&gt;=1E15,"PFLOPs",IF(ABS(Y38)&gt;=1E12,"TFLOPs",IF(ABS(Y38)&gt;=1E9,"GFLOPs",IF(ABS(Y38)&gt;=1E6,"MFLOPs","flops")))))="",""," "&amp;(IF(ABS(Y38)&gt;=1E15,"PFLOPs",IF(ABS(Y38)&gt;=1E12,"TFLOPs",IF(ABS(Y38)&gt;=1E9,"GFLOPs",IF(ABS(Y38)&gt;=1E6,"MFLOPs","flops"))))))</f>
        <v>0.000 FLOPs</v>
      </c>
      <c r="I38" s="31" t="str">
        <f>TEXT(IF(ABS(Z38)&gt;=1E12,Z38/1E12,IF(ABS(Z38)&gt;=1E9,Z38/1E9,IF(ABS(Z38)&gt;=1E6,Z38/1E6,IF(ABS(Z38)&gt;=1E3,Z38/1E3,Z38)))),"#,##0.000")&amp;IF((IF(ABS(Z38)&gt;=1E12,"TB",IF(ABS(Z38)&gt;=1E9,"GB",IF(ABS(Z38)&gt;=1E6,"MB",IF(ABS(Z38)&gt;=1E3,"KB","bytes")))))="",""," "&amp;(IF(ABS(Z38)&gt;=1E12,"TB",IF(ABS(Z38)&gt;=1E9,"GB",IF(ABS(Z38)&gt;=1E6,"MB",IF(ABS(Z38)&gt;=1E3,"KB","bytes"))))))</f>
        <v>0.000 B</v>
      </c>
      <c r="J38" s="4" t="s">
        <v>245</v>
      </c>
      <c r="K38" s="4" t="s">
        <v>299</v>
      </c>
      <c r="L38" s="4" t="s">
        <v>344</v>
      </c>
      <c r="U38" s="30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  <c r="V38" s="30">
        <f>0</f>
        <v>0</v>
      </c>
      <c r="W38" s="30">
        <f>0</f>
        <v>0</v>
      </c>
      <c r="X38" s="30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  <c r="Y38" s="30">
        <f>0</f>
        <v>0</v>
      </c>
      <c r="Z38" s="30">
        <f>0</f>
        <v>0</v>
      </c>
    </row>
    <row r="39" spans="1:44">
      <c r="A39" s="4" t="s">
        <v>59</v>
      </c>
      <c r="B39" s="4" t="s">
        <v>301</v>
      </c>
      <c r="C39" s="4" t="s">
        <v>254</v>
      </c>
      <c r="D39" s="31" t="str">
        <f>TEXT(IF(ABS(U39)&gt;=1E12,U39/1E12,IF(ABS(U39)&gt;=1E9,U39/1E9,IF(ABS(U39)&gt;=1E6,U39/1E6,IF(ABS(U39)&gt;=1E3,U39/1E3,U39)))),"#,##0.000")&amp;IF((IF(ABS(U39)&gt;=1E12,"TB",IF(ABS(U39)&gt;=1E9,"GB",IF(ABS(U39)&gt;=1E6,"MB",IF(ABS(U39)&gt;=1E3,"KB","bytes")))))="",""," "&amp;(IF(ABS(U39)&gt;=1E12,"TB",IF(ABS(U39)&gt;=1E9,"GB",IF(ABS(U39)&gt;=1E6,"MB",IF(ABS(U39)&gt;=1E3,"KB","bytes"))))))</f>
        <v>99.527 MB</v>
      </c>
      <c r="E39" s="31" t="str">
        <f>TEXT(IF(ABS(V39)&gt;=1E15,V39/1E15,IF(ABS(V39)&gt;=1E12,V39/1E12,IF(ABS(V39)&gt;=1E9,V39/1E9,IF(ABS(V39)&gt;=1E6,V39/1E6,V39)))),"#,##0.000")&amp;IF((IF(ABS(V39)&gt;=1E15,"PFLOPs",IF(ABS(V39)&gt;=1E12,"TFLOPs",IF(ABS(V39)&gt;=1E9,"GFLOPs",IF(ABS(V39)&gt;=1E6,"MFLOPs","flops")))))="",""," "&amp;(IF(ABS(V39)&gt;=1E15,"PFLOPs",IF(ABS(V39)&gt;=1E12,"TFLOPs",IF(ABS(V39)&gt;=1E9,"GFLOPs",IF(ABS(V39)&gt;=1E6,"MFLOPs","flops"))))))</f>
        <v>90.178 MFLOPs</v>
      </c>
      <c r="F39" s="31" t="str">
        <f>TEXT(IF(ABS(W39)&gt;=1E12,W39/1E12,IF(ABS(W39)&gt;=1E9,W39/1E9,IF(ABS(W39)&gt;=1E6,W39/1E6,IF(ABS(W39)&gt;=1E3,W39/1E3,W39)))),"#,##0.000")&amp;IF((IF(ABS(W39)&gt;=1E12,"TB",IF(ABS(W39)&gt;=1E9,"GB",IF(ABS(W39)&gt;=1E6,"MB",IF(ABS(W39)&gt;=1E3,"KB","bytes")))))="",""," "&amp;(IF(ABS(W39)&gt;=1E12,"TB",IF(ABS(W39)&gt;=1E9,"GB",IF(ABS(W39)&gt;=1E6,"MB",IF(ABS(W39)&gt;=1E3,"KB","bytes"))))))</f>
        <v>0.000 B</v>
      </c>
      <c r="G39" s="31" t="str">
        <f>TEXT(IF(ABS(X39)&gt;=1E12,X39/1E12,IF(ABS(X39)&gt;=1E9,X39/1E9,IF(ABS(X39)&gt;=1E6,X39/1E6,IF(ABS(X39)&gt;=1E3,X39/1E3,X39)))),"#,##0.000")&amp;IF((IF(ABS(X39)&gt;=1E12,"TB",IF(ABS(X39)&gt;=1E9,"GB",IF(ABS(X39)&gt;=1E6,"MB",IF(ABS(X39)&gt;=1E3,"KB","bytes")))))="",""," "&amp;(IF(ABS(X39)&gt;=1E12,"TB",IF(ABS(X39)&gt;=1E9,"GB",IF(ABS(X39)&gt;=1E6,"MB",IF(ABS(X39)&gt;=1E3,"KB","bytes"))))))</f>
        <v>99.527 MB</v>
      </c>
      <c r="H39" s="31" t="str">
        <f>TEXT(IF(ABS(Y39)&gt;=1E15,Y39/1E15,IF(ABS(Y39)&gt;=1E12,Y39/1E12,IF(ABS(Y39)&gt;=1E9,Y39/1E9,IF(ABS(Y39)&gt;=1E6,Y39/1E6,Y39)))),"#,##0.000")&amp;IF((IF(ABS(Y39)&gt;=1E15,"PFLOPs",IF(ABS(Y39)&gt;=1E12,"TFLOPs",IF(ABS(Y39)&gt;=1E9,"GFLOPs",IF(ABS(Y39)&gt;=1E6,"MFLOPs","flops")))))="",""," "&amp;(IF(ABS(Y39)&gt;=1E15,"PFLOPs",IF(ABS(Y39)&gt;=1E12,"TFLOPs",IF(ABS(Y39)&gt;=1E9,"GFLOPs",IF(ABS(Y39)&gt;=1E6,"MFLOPs","flops"))))))</f>
        <v>90.178 MFLOPs</v>
      </c>
      <c r="I39" s="31" t="str">
        <f>TEXT(IF(ABS(Z39)&gt;=1E12,Z39/1E12,IF(ABS(Z39)&gt;=1E9,Z39/1E9,IF(ABS(Z39)&gt;=1E6,Z39/1E6,IF(ABS(Z39)&gt;=1E3,Z39/1E3,Z39)))),"#,##0.000")&amp;IF((IF(ABS(Z39)&gt;=1E12,"TB",IF(ABS(Z39)&gt;=1E9,"GB",IF(ABS(Z39)&gt;=1E6,"MB",IF(ABS(Z39)&gt;=1E3,"KB","bytes")))))="",""," "&amp;(IF(ABS(Z39)&gt;=1E12,"TB",IF(ABS(Z39)&gt;=1E9,"GB",IF(ABS(Z39)&gt;=1E6,"MB",IF(ABS(Z39)&gt;=1E3,"KB","bytes"))))))</f>
        <v>0.000 B</v>
      </c>
      <c r="J39" s="4" t="s">
        <v>302</v>
      </c>
      <c r="K39" s="4" t="s">
        <v>303</v>
      </c>
      <c r="L39" s="4" t="s">
        <v>304</v>
      </c>
      <c r="U39" s="30">
        <f>TotalLayers*RoutedExperts*HiddenSize*BF16Bytes+(TotalLayers-ActiveHashLayers)*RoutedExperts*FP32Bytes+ActiveHashLayers*VocabSize*ActivatedExperts*INT32Bytes</f>
        <v>99526656</v>
      </c>
      <c r="V39" s="30">
        <f>2*DC_Rows*TotalLayers*HiddenSize*RoutedExperts</f>
        <v>90177536</v>
      </c>
      <c r="W39" s="30">
        <f>0</f>
        <v>0</v>
      </c>
      <c r="X39" s="30">
        <f>TotalLayers*RoutedExperts*HiddenSize*BF16Bytes+(TotalLayers-ActiveHashLayers)*RoutedExperts*FP32Bytes+ActiveHashLayers*VocabSize*ActivatedExperts*INT32Bytes</f>
        <v>99526656</v>
      </c>
      <c r="Y39" s="30">
        <f>2*DC_Rows*TotalLayers*HiddenSize*RoutedExperts</f>
        <v>90177536</v>
      </c>
      <c r="Z39" s="30">
        <f>0</f>
        <v>0</v>
      </c>
    </row>
    <row r="40" spans="1:44">
      <c r="A40" s="4" t="s">
        <v>59</v>
      </c>
      <c r="B40" s="4" t="s">
        <v>305</v>
      </c>
      <c r="C40" s="4" t="s">
        <v>254</v>
      </c>
      <c r="D40" s="31" t="str">
        <f>TEXT(IF(ABS(U40)&gt;=1E12,U40/1E12,IF(ABS(U40)&gt;=1E9,U40/1E9,IF(ABS(U40)&gt;=1E6,U40/1E6,IF(ABS(U40)&gt;=1E3,U40/1E3,U40)))),"#,##0.000")&amp;IF((IF(ABS(U40)&gt;=1E12,"TB",IF(ABS(U40)&gt;=1E9,"GB",IF(ABS(U40)&gt;=1E6,"MB",IF(ABS(U40)&gt;=1E3,"KB","bytes")))))="",""," "&amp;(IF(ABS(U40)&gt;=1E12,"TB",IF(ABS(U40)&gt;=1E9,"GB",IF(ABS(U40)&gt;=1E6,"MB",IF(ABS(U40)&gt;=1E3,"KB","bytes"))))))</f>
        <v>147.170 GB</v>
      </c>
      <c r="E40" s="31" t="str">
        <f>TEXT(IF(ABS(V40)&gt;=1E15,V40/1E15,IF(ABS(V40)&gt;=1E12,V40/1E12,IF(ABS(V40)&gt;=1E9,V40/1E9,IF(ABS(V40)&gt;=1E6,V40/1E6,V40)))),"#,##0.000")&amp;IF((IF(ABS(V40)&gt;=1E15,"PFLOPs",IF(ABS(V40)&gt;=1E12,"TFLOPs",IF(ABS(V40)&gt;=1E9,"GFLOPs",IF(ABS(V40)&gt;=1E6,"MFLOPs","flops")))))="",""," "&amp;(IF(ABS(V40)&gt;=1E15,"PFLOPs",IF(ABS(V40)&gt;=1E12,"TFLOPs",IF(ABS(V40)&gt;=1E9,"GFLOPs",IF(ABS(V40)&gt;=1E6,"MFLOPs","flops"))))))</f>
        <v>12.986 GFLOPs</v>
      </c>
      <c r="F40" s="31" t="str">
        <f>TEXT(IF(ABS(W40)&gt;=1E12,W40/1E12,IF(ABS(W40)&gt;=1E9,W40/1E9,IF(ABS(W40)&gt;=1E6,W40/1E6,IF(ABS(W40)&gt;=1E3,W40/1E3,W40)))),"#,##0.000")&amp;IF((IF(ABS(W40)&gt;=1E12,"TB",IF(ABS(W40)&gt;=1E9,"GB",IF(ABS(W40)&gt;=1E6,"MB",IF(ABS(W40)&gt;=1E3,"KB","bytes")))))="",""," "&amp;(IF(ABS(W40)&gt;=1E12,"TB",IF(ABS(W40)&gt;=1E9,"GB",IF(ABS(W40)&gt;=1E6,"MB",IF(ABS(W40)&gt;=1E3,"KB","bytes"))))))</f>
        <v>0.000 B</v>
      </c>
      <c r="G40" s="31" t="str">
        <f>TEXT(IF(ABS(X40)&gt;=1E12,X40/1E12,IF(ABS(X40)&gt;=1E9,X40/1E9,IF(ABS(X40)&gt;=1E6,X40/1E6,IF(ABS(X40)&gt;=1E3,X40/1E3,X40)))),"#,##0.000")&amp;IF((IF(ABS(X40)&gt;=1E12,"TB",IF(ABS(X40)&gt;=1E9,"GB",IF(ABS(X40)&gt;=1E6,"MB",IF(ABS(X40)&gt;=1E3,"KB","bytes")))))="",""," "&amp;(IF(ABS(X40)&gt;=1E12,"TB",IF(ABS(X40)&gt;=1E9,"GB",IF(ABS(X40)&gt;=1E6,"MB",IF(ABS(X40)&gt;=1E3,"KB","bytes"))))))</f>
        <v>18.396 GB</v>
      </c>
      <c r="H40" s="31" t="str">
        <f>TEXT(IF(ABS(Y40)&gt;=1E15,Y40/1E15,IF(ABS(Y40)&gt;=1E12,Y40/1E12,IF(ABS(Y40)&gt;=1E9,Y40/1E9,IF(ABS(Y40)&gt;=1E6,Y40/1E6,Y40)))),"#,##0.000")&amp;IF((IF(ABS(Y40)&gt;=1E15,"PFLOPs",IF(ABS(Y40)&gt;=1E12,"TFLOPs",IF(ABS(Y40)&gt;=1E9,"GFLOPs",IF(ABS(Y40)&gt;=1E6,"MFLOPs","flops")))))="",""," "&amp;(IF(ABS(Y40)&gt;=1E15,"PFLOPs",IF(ABS(Y40)&gt;=1E12,"TFLOPs",IF(ABS(Y40)&gt;=1E9,"GFLOPs",IF(ABS(Y40)&gt;=1E6,"MFLOPs","flops"))))))</f>
        <v>1.623 GFLOPs</v>
      </c>
      <c r="I40" s="31" t="str">
        <f>TEXT(IF(ABS(Z40)&gt;=1E12,Z40/1E12,IF(ABS(Z40)&gt;=1E9,Z40/1E9,IF(ABS(Z40)&gt;=1E6,Z40/1E6,IF(ABS(Z40)&gt;=1E3,Z40/1E3,Z40)))),"#,##0.000")&amp;IF((IF(ABS(Z40)&gt;=1E12,"TB",IF(ABS(Z40)&gt;=1E9,"GB",IF(ABS(Z40)&gt;=1E6,"MB",IF(ABS(Z40)&gt;=1E3,"KB","bytes")))))="",""," "&amp;(IF(ABS(Z40)&gt;=1E12,"TB",IF(ABS(Z40)&gt;=1E9,"GB",IF(ABS(Z40)&gt;=1E6,"MB",IF(ABS(Z40)&gt;=1E3,"KB","bytes"))))))</f>
        <v>0.000 B</v>
      </c>
      <c r="J40" s="4" t="s">
        <v>306</v>
      </c>
      <c r="K40" s="4" t="s">
        <v>307</v>
      </c>
      <c r="L40" s="4" t="s">
        <v>308</v>
      </c>
      <c r="U40" s="30">
        <f>TotalLayers*TP1LocalExperts*(3*HiddenSize*ExpertInter*FP4Bytes+3*HiddenSize*ExpertInter/FP4Block*ScaleBytes)</f>
        <v>147169738752.0</v>
      </c>
      <c r="V40" s="30">
        <f>DC_Rows*TotalLayers*(ActivatedExperts/TP1Size)*6*HiddenSize*ExpertInter</f>
        <v>12985565184.0</v>
      </c>
      <c r="W40" s="30">
        <f>0</f>
        <v>0</v>
      </c>
      <c r="X40" s="30">
        <f>TotalLayers*TP8LocalExperts*(3*HiddenSize*ExpertInter*FP4Bytes+3*HiddenSize*ExpertInter/FP4Block*ScaleBytes)</f>
        <v>18396217344.0</v>
      </c>
      <c r="Y40" s="30">
        <f>DC_Rows*TotalLayers*(ActivatedExperts/TP8Size)*6*HiddenSize*ExpertInter</f>
        <v>1623195648.0</v>
      </c>
      <c r="Z40" s="30">
        <f>0</f>
        <v>0</v>
      </c>
    </row>
    <row r="41" spans="1:44">
      <c r="A41" s="4" t="s">
        <v>59</v>
      </c>
      <c r="B41" s="4" t="s">
        <v>309</v>
      </c>
      <c r="C41" s="4" t="s">
        <v>254</v>
      </c>
      <c r="D41" s="31" t="str">
        <f>TEXT(IF(ABS(U41)&gt;=1E12,U41/1E12,IF(ABS(U41)&gt;=1E9,U41/1E9,IF(ABS(U41)&gt;=1E6,U41/1E6,IF(ABS(U41)&gt;=1E3,U41/1E3,U41)))),"#,##0.000")&amp;IF((IF(ABS(U41)&gt;=1E12,"TB",IF(ABS(U41)&gt;=1E9,"GB",IF(ABS(U41)&gt;=1E6,"MB",IF(ABS(U41)&gt;=1E3,"KB","bytes")))))="",""," "&amp;(IF(ABS(U41)&gt;=1E12,"TB",IF(ABS(U41)&gt;=1E9,"GB",IF(ABS(U41)&gt;=1E6,"MB",IF(ABS(U41)&gt;=1E3,"KB","bytes"))))))</f>
        <v>1.082 GB</v>
      </c>
      <c r="E41" s="31" t="str">
        <f>TEXT(IF(ABS(V41)&gt;=1E15,V41/1E15,IF(ABS(V41)&gt;=1E12,V41/1E12,IF(ABS(V41)&gt;=1E9,V41/1E9,IF(ABS(V41)&gt;=1E6,V41/1E6,V41)))),"#,##0.000")&amp;IF((IF(ABS(V41)&gt;=1E15,"PFLOPs",IF(ABS(V41)&gt;=1E12,"TFLOPs",IF(ABS(V41)&gt;=1E9,"GFLOPs",IF(ABS(V41)&gt;=1E6,"MFLOPs","flops")))))="",""," "&amp;(IF(ABS(V41)&gt;=1E15,"PFLOPs",IF(ABS(V41)&gt;=1E12,"TFLOPs",IF(ABS(V41)&gt;=1E9,"GFLOPs",IF(ABS(V41)&gt;=1E6,"MFLOPs","flops"))))))</f>
        <v>2.164 GFLOPs</v>
      </c>
      <c r="F41" s="31" t="str">
        <f>TEXT(IF(ABS(W41)&gt;=1E12,W41/1E12,IF(ABS(W41)&gt;=1E9,W41/1E9,IF(ABS(W41)&gt;=1E6,W41/1E6,IF(ABS(W41)&gt;=1E3,W41/1E3,W41)))),"#,##0.000")&amp;IF((IF(ABS(W41)&gt;=1E12,"TB",IF(ABS(W41)&gt;=1E9,"GB",IF(ABS(W41)&gt;=1E6,"MB",IF(ABS(W41)&gt;=1E3,"KB","bytes")))))="",""," "&amp;(IF(ABS(W41)&gt;=1E12,"TB",IF(ABS(W41)&gt;=1E9,"GB",IF(ABS(W41)&gt;=1E6,"MB",IF(ABS(W41)&gt;=1E3,"KB","bytes"))))))</f>
        <v>0.000 B</v>
      </c>
      <c r="G41" s="31" t="str">
        <f>TEXT(IF(ABS(X41)&gt;=1E12,X41/1E12,IF(ABS(X41)&gt;=1E9,X41/1E9,IF(ABS(X41)&gt;=1E6,X41/1E6,IF(ABS(X41)&gt;=1E3,X41/1E3,X41)))),"#,##0.000")&amp;IF((IF(ABS(X41)&gt;=1E12,"TB",IF(ABS(X41)&gt;=1E9,"GB",IF(ABS(X41)&gt;=1E6,"MB",IF(ABS(X41)&gt;=1E3,"KB","bytes")))))="",""," "&amp;(IF(ABS(X41)&gt;=1E12,"TB",IF(ABS(X41)&gt;=1E9,"GB",IF(ABS(X41)&gt;=1E6,"MB",IF(ABS(X41)&gt;=1E3,"KB","bytes"))))))</f>
        <v>1.082 GB</v>
      </c>
      <c r="H41" s="31" t="str">
        <f>TEXT(IF(ABS(Y41)&gt;=1E15,Y41/1E15,IF(ABS(Y41)&gt;=1E12,Y41/1E12,IF(ABS(Y41)&gt;=1E9,Y41/1E9,IF(ABS(Y41)&gt;=1E6,Y41/1E6,Y41)))),"#,##0.000")&amp;IF((IF(ABS(Y41)&gt;=1E15,"PFLOPs",IF(ABS(Y41)&gt;=1E12,"TFLOPs",IF(ABS(Y41)&gt;=1E9,"GFLOPs",IF(ABS(Y41)&gt;=1E6,"MFLOPs","flops")))))="",""," "&amp;(IF(ABS(Y41)&gt;=1E15,"PFLOPs",IF(ABS(Y41)&gt;=1E12,"TFLOPs",IF(ABS(Y41)&gt;=1E9,"GFLOPs",IF(ABS(Y41)&gt;=1E6,"MFLOPs","flops"))))))</f>
        <v>2.164 GFLOPs</v>
      </c>
      <c r="I41" s="31" t="str">
        <f>TEXT(IF(ABS(Z41)&gt;=1E12,Z41/1E12,IF(ABS(Z41)&gt;=1E9,Z41/1E9,IF(ABS(Z41)&gt;=1E6,Z41/1E6,IF(ABS(Z41)&gt;=1E3,Z41/1E3,Z41)))),"#,##0.000")&amp;IF((IF(ABS(Z41)&gt;=1E12,"TB",IF(ABS(Z41)&gt;=1E9,"GB",IF(ABS(Z41)&gt;=1E6,"MB",IF(ABS(Z41)&gt;=1E3,"KB","bytes")))))="",""," "&amp;(IF(ABS(Z41)&gt;=1E12,"TB",IF(ABS(Z41)&gt;=1E9,"GB",IF(ABS(Z41)&gt;=1E6,"MB",IF(ABS(Z41)&gt;=1E3,"KB","bytes"))))))</f>
        <v>0.000 B</v>
      </c>
      <c r="J41" s="4" t="s">
        <v>310</v>
      </c>
      <c r="K41" s="4" t="s">
        <v>307</v>
      </c>
      <c r="L41" s="4" t="s">
        <v>311</v>
      </c>
      <c r="U41" s="30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V41" s="30">
        <f>DC_Rows*TotalLayers*SharedExperts*6*HiddenSize*ExpertInter</f>
        <v>2164260864</v>
      </c>
      <c r="W41" s="30">
        <f>0</f>
        <v>0</v>
      </c>
      <c r="X41" s="30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Y41" s="30">
        <f>DC_Rows*TotalLayers*SharedExperts*6*HiddenSize*ExpertInter</f>
        <v>2164260864</v>
      </c>
      <c r="Z41" s="30">
        <f>0</f>
        <v>0</v>
      </c>
    </row>
    <row r="42" spans="1:44">
      <c r="A42" s="4" t="s">
        <v>59</v>
      </c>
      <c r="B42" s="4" t="s">
        <v>312</v>
      </c>
      <c r="C42" s="4" t="s">
        <v>285</v>
      </c>
      <c r="D42" s="31" t="str">
        <f>TEXT(IF(ABS(U42)&gt;=1E12,U42/1E12,IF(ABS(U42)&gt;=1E9,U42/1E9,IF(ABS(U42)&gt;=1E6,U42/1E6,IF(ABS(U42)&gt;=1E3,U42/1E3,U42)))),"#,##0.000")&amp;IF((IF(ABS(U42)&gt;=1E12,"TB",IF(ABS(U42)&gt;=1E9,"GB",IF(ABS(U42)&gt;=1E6,"MB",IF(ABS(U42)&gt;=1E3,"KB","bytes")))))="",""," "&amp;(IF(ABS(U42)&gt;=1E12,"TB",IF(ABS(U42)&gt;=1E9,"GB",IF(ABS(U42)&gt;=1E6,"MB",IF(ABS(U42)&gt;=1E3,"KB","bytes"))))))</f>
        <v>0.000 B</v>
      </c>
      <c r="E42" s="31" t="str">
        <f>TEXT(IF(ABS(V42)&gt;=1E15,V42/1E15,IF(ABS(V42)&gt;=1E12,V42/1E12,IF(ABS(V42)&gt;=1E9,V42/1E9,IF(ABS(V42)&gt;=1E6,V42/1E6,V42)))),"#,##0.000")&amp;IF((IF(ABS(V42)&gt;=1E15,"PFLOPs",IF(ABS(V42)&gt;=1E12,"TFLOPs",IF(ABS(V42)&gt;=1E9,"GFLOPs",IF(ABS(V42)&gt;=1E6,"MFLOPs","flops")))))="",""," "&amp;(IF(ABS(V42)&gt;=1E15,"PFLOPs",IF(ABS(V42)&gt;=1E12,"TFLOPs",IF(ABS(V42)&gt;=1E9,"GFLOPs",IF(ABS(V42)&gt;=1E6,"MFLOPs","flops"))))))</f>
        <v>0.000 FLOPs</v>
      </c>
      <c r="F42" s="31" t="str">
        <f>TEXT(IF(ABS(W42)&gt;=1E12,W42/1E12,IF(ABS(W42)&gt;=1E9,W42/1E9,IF(ABS(W42)&gt;=1E6,W42/1E6,IF(ABS(W42)&gt;=1E3,W42/1E3,W42)))),"#,##0.000")&amp;IF((IF(ABS(W42)&gt;=1E12,"TB",IF(ABS(W42)&gt;=1E9,"GB",IF(ABS(W42)&gt;=1E6,"MB",IF(ABS(W42)&gt;=1E3,"KB","bytes")))))="",""," "&amp;(IF(ABS(W42)&gt;=1E12,"TB",IF(ABS(W42)&gt;=1E9,"GB",IF(ABS(W42)&gt;=1E6,"MB",IF(ABS(W42)&gt;=1E3,"KB","bytes"))))))</f>
        <v>0.000 B</v>
      </c>
      <c r="G42" s="31" t="str">
        <f>TEXT(IF(ABS(X42)&gt;=1E12,X42/1E12,IF(ABS(X42)&gt;=1E9,X42/1E9,IF(ABS(X42)&gt;=1E6,X42/1E6,IF(ABS(X42)&gt;=1E3,X42/1E3,X42)))),"#,##0.000")&amp;IF((IF(ABS(X42)&gt;=1E12,"TB",IF(ABS(X42)&gt;=1E9,"GB",IF(ABS(X42)&gt;=1E6,"MB",IF(ABS(X42)&gt;=1E3,"KB","bytes")))))="",""," "&amp;(IF(ABS(X42)&gt;=1E12,"TB",IF(ABS(X42)&gt;=1E9,"GB",IF(ABS(X42)&gt;=1E6,"MB",IF(ABS(X42)&gt;=1E3,"KB","bytes"))))))</f>
        <v>0.000 B</v>
      </c>
      <c r="H42" s="31" t="str">
        <f>TEXT(IF(ABS(Y42)&gt;=1E15,Y42/1E15,IF(ABS(Y42)&gt;=1E12,Y42/1E12,IF(ABS(Y42)&gt;=1E9,Y42/1E9,IF(ABS(Y42)&gt;=1E6,Y42/1E6,Y42)))),"#,##0.000")&amp;IF((IF(ABS(Y42)&gt;=1E15,"PFLOPs",IF(ABS(Y42)&gt;=1E12,"TFLOPs",IF(ABS(Y42)&gt;=1E9,"GFLOPs",IF(ABS(Y42)&gt;=1E6,"MFLOPs","flops")))))="",""," "&amp;(IF(ABS(Y42)&gt;=1E15,"PFLOPs",IF(ABS(Y42)&gt;=1E12,"TFLOPs",IF(ABS(Y42)&gt;=1E9,"GFLOPs",IF(ABS(Y42)&gt;=1E6,"MFLOPs","flops"))))))</f>
        <v>0.000 FLOPs</v>
      </c>
      <c r="I42" s="31" t="str">
        <f>TEXT(IF(ABS(Z42)&gt;=1E12,Z42/1E12,IF(ABS(Z42)&gt;=1E9,Z42/1E9,IF(ABS(Z42)&gt;=1E6,Z42/1E6,IF(ABS(Z42)&gt;=1E3,Z42/1E3,Z42)))),"#,##0.000")&amp;IF((IF(ABS(Z42)&gt;=1E12,"TB",IF(ABS(Z42)&gt;=1E9,"GB",IF(ABS(Z42)&gt;=1E6,"MB",IF(ABS(Z42)&gt;=1E3,"KB","bytes")))))="",""," "&amp;(IF(ABS(Z42)&gt;=1E12,"TB",IF(ABS(Z42)&gt;=1E9,"GB",IF(ABS(Z42)&gt;=1E6,"MB",IF(ABS(Z42)&gt;=1E3,"KB","bytes"))))))</f>
        <v>2.466 MB</v>
      </c>
      <c r="J42" s="4" t="s">
        <v>245</v>
      </c>
      <c r="K42" s="4" t="s">
        <v>286</v>
      </c>
      <c r="L42" s="4" t="s">
        <v>313</v>
      </c>
      <c r="U42" s="30">
        <f>0</f>
        <v>0</v>
      </c>
      <c r="V42" s="30">
        <f>0</f>
        <v>0</v>
      </c>
      <c r="W42" s="30">
        <f>4*(TP1Size-1)/TP1Size*DC_Rows*HiddenSize*FP32Bytes*TotalLayers</f>
        <v>0.0</v>
      </c>
      <c r="X42" s="30">
        <f>0</f>
        <v>0</v>
      </c>
      <c r="Y42" s="30">
        <f>0</f>
        <v>0</v>
      </c>
      <c r="Z42" s="30">
        <f>4*(TP8Size-1)/TP8Size*DC_Rows*HiddenSize*FP32Bytes*TotalLayers</f>
        <v>2465792.0</v>
      </c>
    </row>
    <row r="43" spans="1:44">
      <c r="A43" s="4" t="s">
        <v>92</v>
      </c>
      <c r="B43" s="4" t="s">
        <v>314</v>
      </c>
      <c r="C43" s="4" t="s">
        <v>315</v>
      </c>
      <c r="D43" s="31" t="str">
        <f>TEXT(IF(ABS(U43)&gt;=1E12,U43/1E12,IF(ABS(U43)&gt;=1E9,U43/1E9,IF(ABS(U43)&gt;=1E6,U43/1E6,IF(ABS(U43)&gt;=1E3,U43/1E3,U43)))),"#,##0.000")&amp;IF((IF(ABS(U43)&gt;=1E12,"TB",IF(ABS(U43)&gt;=1E9,"GB",IF(ABS(U43)&gt;=1E6,"MB",IF(ABS(U43)&gt;=1E3,"KB","bytes")))))="",""," "&amp;(IF(ABS(U43)&gt;=1E12,"TB",IF(ABS(U43)&gt;=1E9,"GB",IF(ABS(U43)&gt;=1E6,"MB",IF(ABS(U43)&gt;=1E3,"KB","bytes"))))))</f>
        <v>135.538 MB</v>
      </c>
      <c r="E43" s="31" t="str">
        <f>TEXT(IF(ABS(V43)&gt;=1E15,V43/1E15,IF(ABS(V43)&gt;=1E12,V43/1E12,IF(ABS(V43)&gt;=1E9,V43/1E9,IF(ABS(V43)&gt;=1E6,V43/1E6,V43)))),"#,##0.000")&amp;IF((IF(ABS(V43)&gt;=1E15,"PFLOPs",IF(ABS(V43)&gt;=1E12,"TFLOPs",IF(ABS(V43)&gt;=1E9,"GFLOPs",IF(ABS(V43)&gt;=1E6,"MFLOPs","flops")))))="",""," "&amp;(IF(ABS(V43)&gt;=1E15,"PFLOPs",IF(ABS(V43)&gt;=1E12,"TFLOPs",IF(ABS(V43)&gt;=1E9,"GFLOPs",IF(ABS(V43)&gt;=1E6,"MFLOPs","flops"))))))</f>
        <v>85.791 MFLOPs</v>
      </c>
      <c r="F43" s="31" t="str">
        <f>TEXT(IF(ABS(W43)&gt;=1E12,W43/1E12,IF(ABS(W43)&gt;=1E9,W43/1E9,IF(ABS(W43)&gt;=1E6,W43/1E6,IF(ABS(W43)&gt;=1E3,W43/1E3,W43)))),"#,##0.000")&amp;IF((IF(ABS(W43)&gt;=1E12,"TB",IF(ABS(W43)&gt;=1E9,"GB",IF(ABS(W43)&gt;=1E6,"MB",IF(ABS(W43)&gt;=1E3,"KB","bytes")))))="",""," "&amp;(IF(ABS(W43)&gt;=1E12,"TB",IF(ABS(W43)&gt;=1E9,"GB",IF(ABS(W43)&gt;=1E6,"MB",IF(ABS(W43)&gt;=1E3,"KB","bytes"))))))</f>
        <v>0.000 B</v>
      </c>
      <c r="G43" s="31" t="str">
        <f>TEXT(IF(ABS(X43)&gt;=1E12,X43/1E12,IF(ABS(X43)&gt;=1E9,X43/1E9,IF(ABS(X43)&gt;=1E6,X43/1E6,IF(ABS(X43)&gt;=1E3,X43/1E3,X43)))),"#,##0.000")&amp;IF((IF(ABS(X43)&gt;=1E12,"TB",IF(ABS(X43)&gt;=1E9,"GB",IF(ABS(X43)&gt;=1E6,"MB",IF(ABS(X43)&gt;=1E3,"KB","bytes")))))="",""," "&amp;(IF(ABS(X43)&gt;=1E12,"TB",IF(ABS(X43)&gt;=1E9,"GB",IF(ABS(X43)&gt;=1E6,"MB",IF(ABS(X43)&gt;=1E3,"KB","bytes"))))))</f>
        <v>135.538 MB</v>
      </c>
      <c r="H43" s="31" t="str">
        <f>TEXT(IF(ABS(Y43)&gt;=1E15,Y43/1E15,IF(ABS(Y43)&gt;=1E12,Y43/1E12,IF(ABS(Y43)&gt;=1E9,Y43/1E9,IF(ABS(Y43)&gt;=1E6,Y43/1E6,Y43)))),"#,##0.000")&amp;IF((IF(ABS(Y43)&gt;=1E15,"PFLOPs",IF(ABS(Y43)&gt;=1E12,"TFLOPs",IF(ABS(Y43)&gt;=1E9,"GFLOPs",IF(ABS(Y43)&gt;=1E6,"MFLOPs","flops")))))="",""," "&amp;(IF(ABS(Y43)&gt;=1E15,"PFLOPs",IF(ABS(Y43)&gt;=1E12,"TFLOPs",IF(ABS(Y43)&gt;=1E9,"GFLOPs",IF(ABS(Y43)&gt;=1E6,"MFLOPs","flops"))))))</f>
        <v>85.791 MFLOPs</v>
      </c>
      <c r="I43" s="31" t="str">
        <f>TEXT(IF(ABS(Z43)&gt;=1E12,Z43/1E12,IF(ABS(Z43)&gt;=1E9,Z43/1E9,IF(ABS(Z43)&gt;=1E6,Z43/1E6,IF(ABS(Z43)&gt;=1E3,Z43/1E3,Z43)))),"#,##0.000")&amp;IF((IF(ABS(Z43)&gt;=1E12,"TB",IF(ABS(Z43)&gt;=1E9,"GB",IF(ABS(Z43)&gt;=1E6,"MB",IF(ABS(Z43)&gt;=1E3,"KB","bytes")))))="",""," "&amp;(IF(ABS(Z43)&gt;=1E12,"TB",IF(ABS(Z43)&gt;=1E9,"GB",IF(ABS(Z43)&gt;=1E6,"MB",IF(ABS(Z43)&gt;=1E3,"KB","bytes"))))))</f>
        <v>0.000 B</v>
      </c>
      <c r="J43" s="4" t="s">
        <v>316</v>
      </c>
      <c r="K43" s="4" t="s">
        <v>317</v>
      </c>
      <c r="L43" s="4" t="s">
        <v>318</v>
      </c>
      <c r="U43" s="30">
        <f>(TotalLayers*2*(((2+HCSlots)*HCSlots)*HCSlots*HiddenSize+((2+HCSlots)*HCSlots)+3))*FP32Bytes+(HCSlots*HCSlots*HiddenSize+HCSlots+1)*FP32Bytes</f>
        <v>135537756</v>
      </c>
      <c r="V43" s="30">
        <f>TotalLayers*2*(2*DC_Rows*HCSlots*HiddenSize*((2+HCSlots)*HCSlots)+DC_Rows*(2*HCSlots*HiddenSize+1)+DC_Rows*HiddenSize*(2*HCSlots-1)+DC_Rows*HCSlots*HiddenSize*(2*HCSlots+1))+2*DC_Rows*HCSlots*HiddenSize*HCSlots+DC_Rows*(2*HCSlots*HiddenSize+1)+DC_Rows*HiddenSize*(2*HCSlots-1)</f>
        <v>85790807</v>
      </c>
      <c r="W43" s="30">
        <f>0</f>
        <v>0</v>
      </c>
      <c r="X43" s="30">
        <f>(TotalLayers*2*(((2+HCSlots)*HCSlots)*HCSlots*HiddenSize+((2+HCSlots)*HCSlots)+3))*FP32Bytes+(HCSlots*HCSlots*HiddenSize+HCSlots+1)*FP32Bytes</f>
        <v>135537756</v>
      </c>
      <c r="Y43" s="30">
        <f>TotalLayers*2*(2*DC_Rows*HCSlots*HiddenSize*((2+HCSlots)*HCSlots)+DC_Rows*(2*HCSlots*HiddenSize+1)+DC_Rows*HiddenSize*(2*HCSlots-1)+DC_Rows*HCSlots*HiddenSize*(2*HCSlots+1))+2*DC_Rows*HCSlots*HiddenSize*HCSlots+DC_Rows*(2*HCSlots*HiddenSize+1)+DC_Rows*HiddenSize*(2*HCSlots-1)</f>
        <v>85790807</v>
      </c>
      <c r="Z43" s="30">
        <f>0</f>
        <v>0</v>
      </c>
    </row>
    <row r="44" spans="1:44">
      <c r="A44" s="4" t="s">
        <v>238</v>
      </c>
      <c r="B44" s="4" t="s">
        <v>238</v>
      </c>
      <c r="C44" s="4" t="s">
        <v>319</v>
      </c>
      <c r="D44" s="31" t="str">
        <f>TEXT(IF(ABS(U44)&gt;=1E12,U44/1E12,IF(ABS(U44)&gt;=1E9,U44/1E9,IF(ABS(U44)&gt;=1E6,U44/1E6,IF(ABS(U44)&gt;=1E3,U44/1E3,U44)))),"#,##0.000")&amp;IF((IF(ABS(U44)&gt;=1E12,"TB",IF(ABS(U44)&gt;=1E9,"GB",IF(ABS(U44)&gt;=1E6,"MB",IF(ABS(U44)&gt;=1E3,"KB","bytes")))))="",""," "&amp;(IF(ABS(U44)&gt;=1E12,"TB",IF(ABS(U44)&gt;=1E9,"GB",IF(ABS(U44)&gt;=1E6,"MB",IF(ABS(U44)&gt;=1E3,"KB","bytes"))))))</f>
        <v>1.701 MB</v>
      </c>
      <c r="E44" s="31" t="str">
        <f>TEXT(IF(ABS(V44)&gt;=1E15,V44/1E15,IF(ABS(V44)&gt;=1E12,V44/1E12,IF(ABS(V44)&gt;=1E9,V44/1E9,IF(ABS(V44)&gt;=1E6,V44/1E6,V44)))),"#,##0.000")&amp;IF((IF(ABS(V44)&gt;=1E15,"PFLOPs",IF(ABS(V44)&gt;=1E12,"TFLOPs",IF(ABS(V44)&gt;=1E9,"GFLOPs",IF(ABS(V44)&gt;=1E6,"MFLOPs","flops")))))="",""," "&amp;(IF(ABS(V44)&gt;=1E15,"PFLOPs",IF(ABS(V44)&gt;=1E12,"TFLOPs",IF(ABS(V44)&gt;=1E9,"GFLOPs",IF(ABS(V44)&gt;=1E6,"MFLOPs","flops"))))))</f>
        <v>1.425 MFLOPs</v>
      </c>
      <c r="F44" s="31" t="str">
        <f>TEXT(IF(ABS(W44)&gt;=1E12,W44/1E12,IF(ABS(W44)&gt;=1E9,W44/1E9,IF(ABS(W44)&gt;=1E6,W44/1E6,IF(ABS(W44)&gt;=1E3,W44/1E3,W44)))),"#,##0.000")&amp;IF((IF(ABS(W44)&gt;=1E12,"TB",IF(ABS(W44)&gt;=1E9,"GB",IF(ABS(W44)&gt;=1E6,"MB",IF(ABS(W44)&gt;=1E3,"KB","bytes")))))="",""," "&amp;(IF(ABS(W44)&gt;=1E12,"TB",IF(ABS(W44)&gt;=1E9,"GB",IF(ABS(W44)&gt;=1E6,"MB",IF(ABS(W44)&gt;=1E3,"KB","bytes"))))))</f>
        <v>0.000 B</v>
      </c>
      <c r="G44" s="31" t="str">
        <f>TEXT(IF(ABS(X44)&gt;=1E12,X44/1E12,IF(ABS(X44)&gt;=1E9,X44/1E9,IF(ABS(X44)&gt;=1E6,X44/1E6,IF(ABS(X44)&gt;=1E3,X44/1E3,X44)))),"#,##0.000")&amp;IF((IF(ABS(X44)&gt;=1E12,"TB",IF(ABS(X44)&gt;=1E9,"GB",IF(ABS(X44)&gt;=1E6,"MB",IF(ABS(X44)&gt;=1E3,"KB","bytes")))))="",""," "&amp;(IF(ABS(X44)&gt;=1E12,"TB",IF(ABS(X44)&gt;=1E9,"GB",IF(ABS(X44)&gt;=1E6,"MB",IF(ABS(X44)&gt;=1E3,"KB","bytes"))))))</f>
        <v>1.691 MB</v>
      </c>
      <c r="H44" s="31" t="str">
        <f>TEXT(IF(ABS(Y44)&gt;=1E15,Y44/1E15,IF(ABS(Y44)&gt;=1E12,Y44/1E12,IF(ABS(Y44)&gt;=1E9,Y44/1E9,IF(ABS(Y44)&gt;=1E6,Y44/1E6,Y44)))),"#,##0.000")&amp;IF((IF(ABS(Y44)&gt;=1E15,"PFLOPs",IF(ABS(Y44)&gt;=1E12,"TFLOPs",IF(ABS(Y44)&gt;=1E9,"GFLOPs",IF(ABS(Y44)&gt;=1E6,"MFLOPs","flops")))))="",""," "&amp;(IF(ABS(Y44)&gt;=1E15,"PFLOPs",IF(ABS(Y44)&gt;=1E12,"TFLOPs",IF(ABS(Y44)&gt;=1E9,"GFLOPs",IF(ABS(Y44)&gt;=1E6,"MFLOPs","flops"))))))</f>
        <v>1.425 MFLOPs</v>
      </c>
      <c r="I44" s="31" t="str">
        <f>TEXT(IF(ABS(Z44)&gt;=1E12,Z44/1E12,IF(ABS(Z44)&gt;=1E9,Z44/1E9,IF(ABS(Z44)&gt;=1E6,Z44/1E6,IF(ABS(Z44)&gt;=1E3,Z44/1E3,Z44)))),"#,##0.000")&amp;IF((IF(ABS(Z44)&gt;=1E12,"TB",IF(ABS(Z44)&gt;=1E9,"GB",IF(ABS(Z44)&gt;=1E6,"MB",IF(ABS(Z44)&gt;=1E3,"KB","bytes")))))="",""," "&amp;(IF(ABS(Z44)&gt;=1E12,"TB",IF(ABS(Z44)&gt;=1E9,"GB",IF(ABS(Z44)&gt;=1E6,"MB",IF(ABS(Z44)&gt;=1E3,"KB","bytes"))))))</f>
        <v>0.000 B</v>
      </c>
      <c r="J44" s="4" t="s">
        <v>320</v>
      </c>
      <c r="K44" s="4" t="s">
        <v>321</v>
      </c>
      <c r="L44" s="4" t="s">
        <v>322</v>
      </c>
      <c r="U44" s="30">
        <f>(TotalLayers*(2*HiddenSize+QLoraRank+HeadDim+TP1LocalHeads))*FP32Bytes+(HiddenSize)*FP32Bytes</f>
        <v>1700608</v>
      </c>
      <c r="V44" s="30">
        <f>DC_Rows*TotalLayers*2*(4*HiddenSize+1)+DC_Rows*(4*HiddenSize+1)</f>
        <v>1425495</v>
      </c>
      <c r="W44" s="30">
        <f>0</f>
        <v>0</v>
      </c>
      <c r="X44" s="30">
        <f>(TotalLayers*(2*HiddenSize+QLoraRank+HeadDim+TP8LocalHeads))*FP32Bytes+(HiddenSize)*FP32Bytes</f>
        <v>1690976</v>
      </c>
      <c r="Y44" s="30">
        <f>DC_Rows*TotalLayers*2*(4*HiddenSize+1)+DC_Rows*(4*HiddenSize+1)</f>
        <v>1425495</v>
      </c>
      <c r="Z44" s="30">
        <f>0</f>
        <v>0</v>
      </c>
    </row>
    <row r="45" spans="1:44">
      <c r="A45" s="4" t="s">
        <v>243</v>
      </c>
      <c r="B45" s="4" t="s">
        <v>243</v>
      </c>
      <c r="C45" s="4" t="s">
        <v>323</v>
      </c>
      <c r="D45" s="31" t="str">
        <f>TEXT(IF(ABS(U45)&gt;=1E12,U45/1E12,IF(ABS(U45)&gt;=1E9,U45/1E9,IF(ABS(U45)&gt;=1E6,U45/1E6,IF(ABS(U45)&gt;=1E3,U45/1E3,U45)))),"#,##0.000")&amp;IF((IF(ABS(U45)&gt;=1E12,"TB",IF(ABS(U45)&gt;=1E9,"GB",IF(ABS(U45)&gt;=1E6,"MB",IF(ABS(U45)&gt;=1E3,"KB","bytes")))))="",""," "&amp;(IF(ABS(U45)&gt;=1E12,"TB",IF(ABS(U45)&gt;=1E9,"GB",IF(ABS(U45)&gt;=1E6,"MB",IF(ABS(U45)&gt;=1E3,"KB","bytes"))))))</f>
        <v>0.000 B</v>
      </c>
      <c r="E45" s="31" t="str">
        <f>TEXT(IF(ABS(V45)&gt;=1E15,V45/1E15,IF(ABS(V45)&gt;=1E12,V45/1E12,IF(ABS(V45)&gt;=1E9,V45/1E9,IF(ABS(V45)&gt;=1E6,V45/1E6,V45)))),"#,##0.000")&amp;IF((IF(ABS(V45)&gt;=1E15,"PFLOPs",IF(ABS(V45)&gt;=1E12,"TFLOPs",IF(ABS(V45)&gt;=1E9,"GFLOPs",IF(ABS(V45)&gt;=1E6,"MFLOPs","flops")))))="",""," "&amp;(IF(ABS(V45)&gt;=1E15,"PFLOPs",IF(ABS(V45)&gt;=1E12,"TFLOPs",IF(ABS(V45)&gt;=1E9,"GFLOPs",IF(ABS(V45)&gt;=1E6,"MFLOPs","flops"))))))</f>
        <v>0.000 FLOPs</v>
      </c>
      <c r="F45" s="31" t="str">
        <f>TEXT(IF(ABS(W45)&gt;=1E12,W45/1E12,IF(ABS(W45)&gt;=1E9,W45/1E9,IF(ABS(W45)&gt;=1E6,W45/1E6,IF(ABS(W45)&gt;=1E3,W45/1E3,W45)))),"#,##0.000")&amp;IF((IF(ABS(W45)&gt;=1E12,"TB",IF(ABS(W45)&gt;=1E9,"GB",IF(ABS(W45)&gt;=1E6,"MB",IF(ABS(W45)&gt;=1E3,"KB","bytes")))))="",""," "&amp;(IF(ABS(W45)&gt;=1E12,"TB",IF(ABS(W45)&gt;=1E9,"GB",IF(ABS(W45)&gt;=1E6,"MB",IF(ABS(W45)&gt;=1E3,"KB","bytes"))))))</f>
        <v>0.000 B</v>
      </c>
      <c r="G45" s="31" t="str">
        <f>TEXT(IF(ABS(X45)&gt;=1E12,X45/1E12,IF(ABS(X45)&gt;=1E9,X45/1E9,IF(ABS(X45)&gt;=1E6,X45/1E6,IF(ABS(X45)&gt;=1E3,X45/1E3,X45)))),"#,##0.000")&amp;IF((IF(ABS(X45)&gt;=1E12,"TB",IF(ABS(X45)&gt;=1E9,"GB",IF(ABS(X45)&gt;=1E6,"MB",IF(ABS(X45)&gt;=1E3,"KB","bytes")))))="",""," "&amp;(IF(ABS(X45)&gt;=1E12,"TB",IF(ABS(X45)&gt;=1E9,"GB",IF(ABS(X45)&gt;=1E6,"MB",IF(ABS(X45)&gt;=1E3,"KB","bytes"))))))</f>
        <v>0.000 B</v>
      </c>
      <c r="H45" s="31" t="str">
        <f>TEXT(IF(ABS(Y45)&gt;=1E15,Y45/1E15,IF(ABS(Y45)&gt;=1E12,Y45/1E12,IF(ABS(Y45)&gt;=1E9,Y45/1E9,IF(ABS(Y45)&gt;=1E6,Y45/1E6,Y45)))),"#,##0.000")&amp;IF((IF(ABS(Y45)&gt;=1E15,"PFLOPs",IF(ABS(Y45)&gt;=1E12,"TFLOPs",IF(ABS(Y45)&gt;=1E9,"GFLOPs",IF(ABS(Y45)&gt;=1E6,"MFLOPs","flops")))))="",""," "&amp;(IF(ABS(Y45)&gt;=1E15,"PFLOPs",IF(ABS(Y45)&gt;=1E12,"TFLOPs",IF(ABS(Y45)&gt;=1E9,"GFLOPs",IF(ABS(Y45)&gt;=1E6,"MFLOPs","flops"))))))</f>
        <v>0.000 FLOPs</v>
      </c>
      <c r="I45" s="31" t="str">
        <f>TEXT(IF(ABS(Z45)&gt;=1E12,Z45/1E12,IF(ABS(Z45)&gt;=1E9,Z45/1E9,IF(ABS(Z45)&gt;=1E6,Z45/1E6,IF(ABS(Z45)&gt;=1E3,Z45/1E3,Z45)))),"#,##0.000")&amp;IF((IF(ABS(Z45)&gt;=1E12,"TB",IF(ABS(Z45)&gt;=1E9,"GB",IF(ABS(Z45)&gt;=1E6,"MB",IF(ABS(Z45)&gt;=1E3,"KB","bytes")))))="",""," "&amp;(IF(ABS(Z45)&gt;=1E12,"TB",IF(ABS(Z45)&gt;=1E9,"GB",IF(ABS(Z45)&gt;=1E6,"MB",IF(ABS(Z45)&gt;=1E3,"KB","bytes"))))))</f>
        <v>0.000 B</v>
      </c>
      <c r="J45" s="4" t="s">
        <v>245</v>
      </c>
      <c r="K45" s="4" t="s">
        <v>246</v>
      </c>
      <c r="L45" s="4" t="s">
        <v>324</v>
      </c>
      <c r="U45" s="30">
        <f>0</f>
        <v>0</v>
      </c>
      <c r="V45" s="30">
        <f>0</f>
        <v>0</v>
      </c>
      <c r="W45" s="30">
        <f>0</f>
        <v>0</v>
      </c>
      <c r="X45" s="30">
        <f>0</f>
        <v>0</v>
      </c>
      <c r="Y45" s="30">
        <f>0</f>
        <v>0</v>
      </c>
      <c r="Z45" s="30">
        <f>0</f>
        <v>0</v>
      </c>
    </row>
    <row r="46" spans="1:44">
      <c r="A46" s="4" t="s">
        <v>234</v>
      </c>
      <c r="B46" s="4" t="s">
        <v>234</v>
      </c>
      <c r="C46" s="4" t="s">
        <v>325</v>
      </c>
      <c r="D46" s="31" t="str">
        <f>TEXT(IF(ABS(U46)&gt;=1E12,U46/1E12,IF(ABS(U46)&gt;=1E9,U46/1E9,IF(ABS(U46)&gt;=1E6,U46/1E6,IF(ABS(U46)&gt;=1E3,U46/1E3,U46)))),"#,##0.000")&amp;IF((IF(ABS(U46)&gt;=1E12,"TB",IF(ABS(U46)&gt;=1E9,"GB",IF(ABS(U46)&gt;=1E6,"MB",IF(ABS(U46)&gt;=1E3,"KB","bytes")))))="",""," "&amp;(IF(ABS(U46)&gt;=1E12,"TB",IF(ABS(U46)&gt;=1E9,"GB",IF(ABS(U46)&gt;=1E6,"MB",IF(ABS(U46)&gt;=1E3,"KB","bytes"))))))</f>
        <v>2.118 GB</v>
      </c>
      <c r="E46" s="31" t="str">
        <f>TEXT(IF(ABS(V46)&gt;=1E15,V46/1E15,IF(ABS(V46)&gt;=1E12,V46/1E12,IF(ABS(V46)&gt;=1E9,V46/1E9,IF(ABS(V46)&gt;=1E6,V46/1E6,V46)))),"#,##0.000")&amp;IF((IF(ABS(V46)&gt;=1E15,"PFLOPs",IF(ABS(V46)&gt;=1E12,"TFLOPs",IF(ABS(V46)&gt;=1E9,"GFLOPs",IF(ABS(V46)&gt;=1E6,"MFLOPs","flops")))))="",""," "&amp;(IF(ABS(V46)&gt;=1E15,"PFLOPs",IF(ABS(V46)&gt;=1E12,"TFLOPs",IF(ABS(V46)&gt;=1E9,"GFLOPs",IF(ABS(V46)&gt;=1E6,"MFLOPs","flops"))))))</f>
        <v>1.059 GFLOPs</v>
      </c>
      <c r="F46" s="31" t="str">
        <f>TEXT(IF(ABS(W46)&gt;=1E12,W46/1E12,IF(ABS(W46)&gt;=1E9,W46/1E9,IF(ABS(W46)&gt;=1E6,W46/1E6,IF(ABS(W46)&gt;=1E3,W46/1E3,W46)))),"#,##0.000")&amp;IF((IF(ABS(W46)&gt;=1E12,"TB",IF(ABS(W46)&gt;=1E9,"GB",IF(ABS(W46)&gt;=1E6,"MB",IF(ABS(W46)&gt;=1E3,"KB","bytes")))))="",""," "&amp;(IF(ABS(W46)&gt;=1E12,"TB",IF(ABS(W46)&gt;=1E9,"GB",IF(ABS(W46)&gt;=1E6,"MB",IF(ABS(W46)&gt;=1E3,"KB","bytes"))))))</f>
        <v>0.000 B</v>
      </c>
      <c r="G46" s="31" t="str">
        <f>TEXT(IF(ABS(X46)&gt;=1E12,X46/1E12,IF(ABS(X46)&gt;=1E9,X46/1E9,IF(ABS(X46)&gt;=1E6,X46/1E6,IF(ABS(X46)&gt;=1E3,X46/1E3,X46)))),"#,##0.000")&amp;IF((IF(ABS(X46)&gt;=1E12,"TB",IF(ABS(X46)&gt;=1E9,"GB",IF(ABS(X46)&gt;=1E6,"MB",IF(ABS(X46)&gt;=1E3,"KB","bytes")))))="",""," "&amp;(IF(ABS(X46)&gt;=1E12,"TB",IF(ABS(X46)&gt;=1E9,"GB",IF(ABS(X46)&gt;=1E6,"MB",IF(ABS(X46)&gt;=1E3,"KB","bytes"))))))</f>
        <v>264.765 MB</v>
      </c>
      <c r="H46" s="31" t="str">
        <f>TEXT(IF(ABS(Y46)&gt;=1E15,Y46/1E15,IF(ABS(Y46)&gt;=1E12,Y46/1E12,IF(ABS(Y46)&gt;=1E9,Y46/1E9,IF(ABS(Y46)&gt;=1E6,Y46/1E6,Y46)))),"#,##0.000")&amp;IF((IF(ABS(Y46)&gt;=1E15,"PFLOPs",IF(ABS(Y46)&gt;=1E12,"TFLOPs",IF(ABS(Y46)&gt;=1E9,"GFLOPs",IF(ABS(Y46)&gt;=1E6,"MFLOPs","flops")))))="",""," "&amp;(IF(ABS(Y46)&gt;=1E15,"PFLOPs",IF(ABS(Y46)&gt;=1E12,"TFLOPs",IF(ABS(Y46)&gt;=1E9,"GFLOPs",IF(ABS(Y46)&gt;=1E6,"MFLOPs","flops"))))))</f>
        <v>132.383 MFLOPs</v>
      </c>
      <c r="I46" s="31" t="str">
        <f>TEXT(IF(ABS(Z46)&gt;=1E12,Z46/1E12,IF(ABS(Z46)&gt;=1E9,Z46/1E9,IF(ABS(Z46)&gt;=1E6,Z46/1E6,IF(ABS(Z46)&gt;=1E3,Z46/1E3,Z46)))),"#,##0.000")&amp;IF((IF(ABS(Z46)&gt;=1E12,"TB",IF(ABS(Z46)&gt;=1E9,"GB",IF(ABS(Z46)&gt;=1E6,"MB",IF(ABS(Z46)&gt;=1E3,"KB","bytes")))))="",""," "&amp;(IF(ABS(Z46)&gt;=1E12,"TB",IF(ABS(Z46)&gt;=1E9,"GB",IF(ABS(Z46)&gt;=1E6,"MB",IF(ABS(Z46)&gt;=1E3,"KB","bytes"))))))</f>
        <v>904.960 KB</v>
      </c>
      <c r="J46" s="4" t="s">
        <v>326</v>
      </c>
      <c r="K46" s="4" t="s">
        <v>237</v>
      </c>
      <c r="L46" s="4" t="s">
        <v>327</v>
      </c>
      <c r="U46" s="30">
        <f>TP1LocalVocab*HiddenSize*FP32Bytes</f>
        <v>2118123520.0</v>
      </c>
      <c r="V46" s="30">
        <f>2*DC_Rows*HiddenSize*TP1LocalVocab</f>
        <v>1059061760.0</v>
      </c>
      <c r="W46" s="30">
        <f>2*(TP1Size-1)*DC_Rows*TP1LocalVocab*FP32Bytes</f>
        <v>0.0</v>
      </c>
      <c r="X46" s="30">
        <f>TP8LocalVocab*HiddenSize*FP32Bytes</f>
        <v>264765440.0</v>
      </c>
      <c r="Y46" s="30">
        <f>2*DC_Rows*HiddenSize*TP8LocalVocab</f>
        <v>132382720.0</v>
      </c>
      <c r="Z46" s="30">
        <f>2*(TP8Size-1)*DC_Rows*TP8LocalVocab*FP32Bytes</f>
        <v>904960.0</v>
      </c>
    </row>
    <row r="48" spans="1:44" hidden="1">
      <c r="AO48" s="30">
        <f>(0)+(TotalLayers*2*(2*DC_Rows*HCSlots*HiddenSize*((2+HCSlots)*HCSlots)+DC_Rows*(2*HCSlots*HiddenSize+1)+DC_Rows*HiddenSize*(2*HCSlots-1)+DC_Rows*HCSlots*HiddenSize*(2*HCSlots+1))+2*DC_Rows*HCSlots*HiddenSize*HCSlots+DC_Rows*(2*HCSlots*HiddenSize+1)+DC_Rows*HiddenSize*(2*HCSlots-1))+(DC_Rows*TotalLayers*2*(4*HiddenSize+1)+DC_Rows*(4*HiddenSize+1))+(0)+(2*DC_Rows*HiddenSize*TP1LocalVocab)</f>
        <v>1146278062.0</v>
      </c>
      <c r="AP48" s="30">
        <f>(0)+(TotalLayers*2*(2*DC_Rows*HCSlots*HiddenSize*((2+HCSlots)*HCSlots)+DC_Rows*(2*HCSlots*HiddenSize+1)+DC_Rows*HiddenSize*(2*HCSlots-1)+DC_Rows*HCSlots*HiddenSize*(2*HCSlots+1))+2*DC_Rows*HCSlots*HiddenSize*HCSlots+DC_Rows*(2*HCSlots*HiddenSize+1)+DC_Rows*HiddenSize*(2*HCSlots-1))+(DC_Rows*TotalLayers*2*(4*HiddenSize+1)+DC_Rows*(4*HiddenSize+1))+(0)+(2*DC_Rows*HiddenSize*TP8LocalVocab)</f>
        <v>219599022.0</v>
      </c>
      <c r="AQ48" s="30">
        <f>(4*(TP1Size-1)/TP1Size*DC_Rows*HiddenSize*BF16Bytes)+(0)+(0)+(0)+(0)+(0)+(0)+(0)+(0)+(0)+(0)+(0)+(0)+(0)+(0)+(0)+(2*(TP1Size-1)*DC_Rows*TP1LocalVocab*FP32Bytes)+(4*(TP1Size-1)/TP1Size*DC_Rows*HiddenSize*FP32Bytes*TotalLayers)+(4*(TP1Size-1)/TP1Size*DC_Rows*HiddenSize*FP32Bytes*TotalLayers)</f>
        <v>0.0</v>
      </c>
      <c r="AR48" s="30">
        <f>(4*(TP8Size-1)/TP8Size*DC_Rows*HiddenSize*BF16Bytes)+(0)+(0)+(0)+(0)+(0)+(0)+(0)+(0)+(0)+(0)+(0)+(0)+(0)+(0)+(0)+(2*(TP8Size-1)*DC_Rows*TP8LocalVocab*FP32Bytes)+(4*(TP8Size-1)/TP8Size*DC_Rows*HiddenSize*FP32Bytes*TotalLayers)+(4*(TP8Size-1)/TP8Size*DC_Rows*HiddenSize*FP32Bytes*TotalLayers)</f>
        <v>5865216.0</v>
      </c>
    </row>
    <row r="49" spans="51:54" hidden="1">
      <c r="AY49" s="30">
        <f>(TotalLayers*(HiddenSize*QLoraRank+QLoraRank*TP1LocalHeads*HeadDim+HiddenSize*HeadDim+TP1LocalHeads*HeadDim*OLoraRank+TP1LocalOGroups*OLoraRank*HiddenSize))+(ShortLayers*(2*HiddenSize*(2*HeadDim)+ShortRatio*2*HeadDim+HeadDim))+(LongLayers*(2*HiddenSize*HeadDim+LongRatio*HeadDim+HeadDim))+(ShortLayers*(QLoraRank*TP1LocalIndexHeads*IndexHeadDim+HiddenSize*TP1LocalIndexHeads))+(ShortLayers*(2*HiddenSize*(2*IndexHeadDim)+ShortRatio*2*IndexHeadDim+IndexHeadDim))</f>
        <v>5086249088.0</v>
      </c>
      <c r="AZ49" s="30">
        <f>(TotalLayers*(HiddenSize*QLoraRank+QLoraRank*TP8LocalHeads*HeadDim+HiddenSize*HeadDim+TP8LocalHeads*HeadDim*OLoraRank+TP8LocalOGroups*OLoraRank*HiddenSize))+(ShortLayers*(2*HiddenSize*(2*HeadDim)+ShortRatio*2*HeadDim+HeadDim))+(LongLayers*(2*HiddenSize*HeadDim+LongRatio*HeadDim+HeadDim))+(ShortLayers*(QLoraRank*TP8LocalIndexHeads*IndexHeadDim+HiddenSize*TP8LocalIndexHeads))+(ShortLayers*(2*HiddenSize*(2*IndexHeadDim)+ShortRatio*2*IndexHeadDim+IndexHeadDim))</f>
        <v>1139835008.0</v>
      </c>
      <c r="BA49" s="30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1LocalIndexHeads*IndexHeadDim)*FP8Bytes+ROUNDUP((QLoraRank)/FP8Block,0)*ROUNDUP((TP1LocalIndexHeads*IndexHeadDim)/FP8Block,0)*ScaleBytes)+HiddenSize*TP1LocalIndexHeads*BF16Bytes))+(ShortLayers*(2*HiddenSize*(2*IndexHeadDim)*FP32Bytes+ShortRatio*2*IndexHeadDim*FP32Bytes+IndexHeadDim*FP32Bytes))</f>
        <v>7451384960</v>
      </c>
      <c r="BB49" s="30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8LocalIndexHeads*IndexHeadDim)*FP8Bytes+ROUNDUP((QLoraRank)/FP8Block,0)*ROUNDUP((TP8LocalIndexHeads*IndexHeadDim)/FP8Block,0)*ScaleBytes)+HiddenSize*TP8LocalIndexHeads*BF16Bytes))+(ShortLayers*(2*HiddenSize*(2*IndexHeadDim)*FP32Bytes+ShortRatio*2*IndexHeadDim*FP32Bytes+IndexHeadDim*FP32Bytes))</f>
        <v>2237504960</v>
      </c>
    </row>
    <row r="50" spans="51:54">
      <c r="AY50" s="30">
        <f>(TotalLayers*TP1LocalExperts*3*HiddenSize*ExpertInter)+(TotalLayers*SharedExperts*3*HiddenSize*ExpertInter)+(TotalLayers*RoutedExperts*HiddenSize+(TotalLayers-ActiveHashLayers)*RoutedExperts+ActiveHashLayers*VocabSize*ActivatedExperts)</f>
        <v>278154947072.0</v>
      </c>
      <c r="AZ50" s="30">
        <f>(TotalLayers*TP8LocalExperts*3*HiddenSize*ExpertInter)+(TotalLayers*SharedExperts*3*HiddenSize*ExpertInter)+(TotalLayers*RoutedExperts*HiddenSize+(TotalLayers-ActiveHashLayers)*RoutedExperts+ActiveHashLayers*VocabSize*ActivatedExperts)</f>
        <v>35757730304.0</v>
      </c>
      <c r="BA50" s="30">
        <f>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</f>
        <v>148351461888.0</v>
      </c>
      <c r="BB50" s="30">
        <f>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</f>
        <v>19577940480.0</v>
      </c>
    </row>
    <row r="51" spans="51:54">
      <c r="AY51" s="30">
        <f>(TP1LocalVocab*HiddenSize)+(TP1LocalVocab*HiddenSize)+(TotalLayers*2*(((2+HCSlots)*HCSlots)*HCSlots*HiddenSize+((2+HCSlots)*HCSlots)+3))+(TotalLayers*(2*HiddenSize+QLoraRank+HeadDim+TP1LocalHeads))+(HCSlots*HCSlots*HiddenSize+HCSlots+1)+(HiddenSize)</f>
        <v>1093371351.0</v>
      </c>
      <c r="AZ51" s="30">
        <f>(TP8LocalVocab*HiddenSize)+(TP8LocalVocab*HiddenSize)+(TotalLayers*2*(((2+HCSlots)*HCSlots)*HCSlots*HiddenSize+((2+HCSlots)*HCSlots)+3))+(TotalLayers*(2*HiddenSize+QLoraRank+HeadDim+TP8LocalHeads))+(HCSlots*HCSlots*HiddenSize+HCSlots+1)+(HiddenSize)</f>
        <v>166689903.0</v>
      </c>
      <c r="BA51" s="30">
        <f>(TP1LocalVocab*HiddenSize*BF16Bytes)+(TP1LocalVocab*HiddenSize*FP32Bytes)+((TotalLayers*2*(((2+HCSlots)*HCSlots)*HCSlots*HiddenSize+((2+HCSlots)*HCSlots)+3))*FP32Bytes)+((TotalLayers*(2*HiddenSize+QLoraRank+HeadDim+TP1LocalHeads))*FP32Bytes)+((HCSlots*HCSlots*HiddenSize+HCSlots+1)*FP32Bytes)+((HiddenSize)*FP32Bytes)</f>
        <v>3314423644.0</v>
      </c>
      <c r="BB51" s="30">
        <f>(TP8LocalVocab*HiddenSize*BF16Bytes)+(TP8LocalVocab*HiddenSize*FP32Bytes)+((TotalLayers*2*(((2+HCSlots)*HCSlots)*HCSlots*HiddenSize+((2+HCSlots)*HCSlots)+3))*FP32Bytes)+((TotalLayers*(2*HiddenSize+QLoraRank+HeadDim+TP8LocalHeads))*FP32Bytes)+((HCSlots*HCSlots*HiddenSize+HCSlots+1)*FP32Bytes)+((HiddenSize)*FP32Bytes)</f>
        <v>534376892.0</v>
      </c>
    </row>
    <row r="52" spans="51:54">
      <c r="AY52" s="30">
        <f>(TotalLayers*(HiddenSize*QLoraRank+QLoraRank*TP1LocalHeads*HeadDim+HiddenSize*HeadDim+TP1LocalHeads*HeadDim*OLoraRank+TP1LocalOGroups*OLoraRank*HiddenSize))+(ShortLayers*(2*HiddenSize*(2*HeadDim)+ShortRatio*2*HeadDim+HeadDim))+(LongLayers*(2*HiddenSize*HeadDim+LongRatio*HeadDim+HeadDim))+(ShortLayers*(QLoraRank*TP1LocalIndexHeads*IndexHeadDim+HiddenSize*TP1LocalIndexHeads))+(ShortLayers*(2*HiddenSize*(2*IndexHeadDim)+ShortRatio*2*IndexHeadDim+IndexHeadDim))+(TotalLayers*TP1LocalExperts*3*HiddenSize*ExpertInter)+(TotalLayers*SharedExperts*3*HiddenSize*ExpertInter)+(TotalLayers*RoutedExperts*HiddenSize+(TotalLayers-ActiveHashLayers)*RoutedExperts+ActiveHashLayers*VocabSize*ActivatedExperts)+(TP1LocalVocab*HiddenSize)+(TP1LocalVocab*HiddenSize)+(TotalLayers*2*(((2+HCSlots)*HCSlots)*HCSlots*HiddenSize+((2+HCSlots)*HCSlots)+3))+(TotalLayers*(2*HiddenSize+QLoraRank+HeadDim+TP1LocalHeads))+(HCSlots*HCSlots*HiddenSize+HCSlots+1)+(HiddenSize)</f>
        <v>284334567511.0</v>
      </c>
      <c r="AZ52" s="30">
        <f>(TotalLayers*(HiddenSize*QLoraRank+QLoraRank*TP8LocalHeads*HeadDim+HiddenSize*HeadDim+TP8LocalHeads*HeadDim*OLoraRank+TP8LocalOGroups*OLoraRank*HiddenSize))+(ShortLayers*(2*HiddenSize*(2*HeadDim)+ShortRatio*2*HeadDim+HeadDim))+(LongLayers*(2*HiddenSize*HeadDim+LongRatio*HeadDim+HeadDim))+(ShortLayers*(QLoraRank*TP8LocalIndexHeads*IndexHeadDim+HiddenSize*TP8LocalIndexHeads))+(ShortLayers*(2*HiddenSize*(2*IndexHeadDim)+ShortRatio*2*IndexHeadDim+IndexHeadDim))+(TotalLayers*TP8LocalExperts*3*HiddenSize*ExpertInter)+(TotalLayers*SharedExperts*3*HiddenSize*ExpertInter)+(TotalLayers*RoutedExperts*HiddenSize+(TotalLayers-ActiveHashLayers)*RoutedExperts+ActiveHashLayers*VocabSize*ActivatedExperts)+(TP8LocalVocab*HiddenSize)+(TP8LocalVocab*HiddenSize)+(TotalLayers*2*(((2+HCSlots)*HCSlots)*HCSlots*HiddenSize+((2+HCSlots)*HCSlots)+3))+(TotalLayers*(2*HiddenSize+QLoraRank+HeadDim+TP8LocalHeads))+(HCSlots*HCSlots*HiddenSize+HCSlots+1)+(HiddenSize)</f>
        <v>37064255215.0</v>
      </c>
      <c r="BA52" s="30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1LocalIndexHeads*IndexHeadDim)*FP8Bytes+ROUNDUP((QLoraRank)/FP8Block,0)*ROUNDUP((TP1LocalIndexHeads*IndexHeadDim)/FP8Block,0)*ScaleBytes)+HiddenSize*TP1LocalIndexHeads*BF16Bytes))+(ShortLayers*(2*HiddenSize*(2*IndexHeadDim)*FP32Bytes+ShortRatio*2*IndexHeadDim*FP32Bytes+IndexHeadDim*FP32Bytes))+(TotalLayers*TP1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+(TP1LocalVocab*HiddenSize*BF16Bytes)+(TP1LocalVocab*HiddenSize*FP32Bytes)+((TotalLayers*2*(((2+HCSlots)*HCSlots)*HCSlots*HiddenSize+((2+HCSlots)*HCSlots)+3))*FP32Bytes)+((TotalLayers*(2*HiddenSize+QLoraRank+HeadDim+TP1LocalHeads))*FP32Bytes)+((HCSlots*HCSlots*HiddenSize+HCSlots+1)*FP32Bytes)+((HiddenSize)*FP32Bytes)</f>
        <v>159117270492.0</v>
      </c>
      <c r="BB52" s="30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)+(ShortLayers*(2*HiddenSize*(2*HeadDim)*FP32Bytes+ShortRatio*2*HeadDim*FP32Bytes+HeadDim*FP32Bytes))+(LongLayers*(2*HiddenSize*HeadDim*FP32Bytes+LongRatio*HeadDim*FP32Bytes+HeadDim*FP32Bytes))+(ShortLayers*(((QLoraRank)*(TP8LocalIndexHeads*IndexHeadDim)*FP8Bytes+ROUNDUP((QLoraRank)/FP8Block,0)*ROUNDUP((TP8LocalIndexHeads*IndexHeadDim)/FP8Block,0)*ScaleBytes)+HiddenSize*TP8LocalIndexHeads*BF16Bytes))+(ShortLayers*(2*HiddenSize*(2*IndexHeadDim)*FP32Bytes+ShortRatio*2*IndexHeadDim*FP32Bytes+IndexHeadDim*FP32Bytes))+(TotalLayers*TP8LocalExperts*(3*HiddenSize*ExpertInter*FP4Bytes+3*HiddenSize*ExpertInter/FP4Block*ScaleBytes))+(TotalLayers*SharedExperts*(2*((HiddenSize)*(ExpertInter)*FP8Bytes+ROUNDUP((HiddenSize)/FP8Block,0)*ROUNDUP((ExpertInter)/FP8Block,0)*ScaleBytes)+((ExpertInter)*(HiddenSize)*FP8Bytes+ROUNDUP((ExpertInter)/FP8Block,0)*ROUNDUP((HiddenSize)/FP8Block,0)*ScaleBytes)))+(TotalLayers*RoutedExperts*HiddenSize*BF16Bytes+(TotalLayers-ActiveHashLayers)*RoutedExperts*FP32Bytes+ActiveHashLayers*VocabSize*ActivatedExperts*INT32Bytes)+(TP8LocalVocab*HiddenSize*BF16Bytes)+(TP8LocalVocab*HiddenSize*FP32Bytes)+((TotalLayers*2*(((2+HCSlots)*HCSlots)*HCSlots*HiddenSize+((2+HCSlots)*HCSlots)+3))*FP32Bytes)+((TotalLayers*(2*HiddenSize+QLoraRank+HeadDim+TP8LocalHeads))*FP32Bytes)+((HCSlots*HCSlots*HiddenSize+HCSlots+1)*FP32Bytes)+((HiddenSize)*FP32Bytes)</f>
        <v>22349822332.0</v>
      </c>
    </row>
  </sheetData>
  <mergeCells count="2">
    <mergeCell ref="A11:J11"/>
    <mergeCell ref="A22:L22"/>
  </mergeCells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I6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2" width="34.7109375" customWidth="1"/>
    <col min="3" max="3" width="20.7109375" customWidth="1"/>
    <col min="4" max="4" width="28.7109375" customWidth="1"/>
    <col min="5" max="9" width="24.7109375" customWidth="1"/>
  </cols>
  <sheetData>
    <row r="1" spans="1:5">
      <c r="A1" s="1" t="s">
        <v>345</v>
      </c>
    </row>
    <row r="2" spans="1:5">
      <c r="A2" s="2" t="s">
        <v>346</v>
      </c>
    </row>
    <row r="4" spans="1:5">
      <c r="A4" s="28" t="s">
        <v>347</v>
      </c>
      <c r="B4" s="28"/>
      <c r="C4" s="28"/>
      <c r="D4" s="28"/>
      <c r="E4" s="28"/>
    </row>
    <row r="5" spans="1:5">
      <c r="A5" t="s">
        <v>348</v>
      </c>
      <c r="B5" t="s">
        <v>349</v>
      </c>
      <c r="C5" t="s">
        <v>350</v>
      </c>
      <c r="D5" t="s">
        <v>351</v>
      </c>
      <c r="E5" t="s">
        <v>352</v>
      </c>
    </row>
    <row r="6" spans="1:5">
      <c r="A6" s="4" t="s">
        <v>353</v>
      </c>
      <c r="B6" s="4" t="s">
        <v>354</v>
      </c>
      <c r="C6" s="4" t="s">
        <v>232</v>
      </c>
      <c r="D6" s="4" t="s">
        <v>232</v>
      </c>
      <c r="E6" s="4" t="s">
        <v>355</v>
      </c>
    </row>
    <row r="7" spans="1:5">
      <c r="A7" s="4" t="s">
        <v>353</v>
      </c>
      <c r="B7" s="4" t="s">
        <v>356</v>
      </c>
      <c r="C7" s="4" t="s">
        <v>357</v>
      </c>
      <c r="D7" s="4" t="s">
        <v>358</v>
      </c>
      <c r="E7" s="4" t="s">
        <v>359</v>
      </c>
    </row>
    <row r="8" spans="1:5">
      <c r="A8" s="4" t="s">
        <v>360</v>
      </c>
      <c r="B8" s="4" t="s">
        <v>361</v>
      </c>
      <c r="C8" s="4" t="s">
        <v>357</v>
      </c>
      <c r="D8" s="4" t="s">
        <v>362</v>
      </c>
      <c r="E8" s="4" t="s">
        <v>363</v>
      </c>
    </row>
    <row r="9" spans="1:5">
      <c r="A9" s="4" t="s">
        <v>360</v>
      </c>
      <c r="B9" s="4" t="s">
        <v>364</v>
      </c>
      <c r="C9" s="4" t="s">
        <v>232</v>
      </c>
      <c r="D9" s="4" t="s">
        <v>365</v>
      </c>
      <c r="E9" s="4" t="s">
        <v>366</v>
      </c>
    </row>
    <row r="10" spans="1:5">
      <c r="A10" s="4" t="s">
        <v>360</v>
      </c>
      <c r="B10" s="4" t="s">
        <v>367</v>
      </c>
      <c r="C10" s="4" t="s">
        <v>368</v>
      </c>
      <c r="D10" s="4" t="s">
        <v>369</v>
      </c>
      <c r="E10" s="4" t="s">
        <v>370</v>
      </c>
    </row>
    <row r="11" spans="1:5">
      <c r="A11" s="4" t="s">
        <v>371</v>
      </c>
      <c r="B11" s="4" t="s">
        <v>372</v>
      </c>
      <c r="C11" s="4" t="s">
        <v>373</v>
      </c>
      <c r="D11" s="4" t="s">
        <v>374</v>
      </c>
      <c r="E11" s="4" t="s">
        <v>375</v>
      </c>
    </row>
    <row r="12" spans="1:5">
      <c r="A12" s="4" t="s">
        <v>376</v>
      </c>
      <c r="B12" s="4" t="s">
        <v>377</v>
      </c>
      <c r="C12" s="4" t="s">
        <v>378</v>
      </c>
      <c r="D12" s="4" t="s">
        <v>379</v>
      </c>
      <c r="E12" s="4" t="s">
        <v>380</v>
      </c>
    </row>
    <row r="13" spans="1:5">
      <c r="A13" s="4" t="s">
        <v>360</v>
      </c>
      <c r="B13" s="4" t="s">
        <v>381</v>
      </c>
      <c r="C13" s="4" t="s">
        <v>382</v>
      </c>
      <c r="D13" s="4" t="s">
        <v>383</v>
      </c>
      <c r="E13" s="4" t="s">
        <v>384</v>
      </c>
    </row>
    <row r="14" spans="1:5">
      <c r="A14" s="4" t="s">
        <v>360</v>
      </c>
      <c r="B14" s="4" t="s">
        <v>385</v>
      </c>
      <c r="C14" s="4" t="s">
        <v>357</v>
      </c>
      <c r="D14" s="4" t="s">
        <v>386</v>
      </c>
      <c r="E14" s="4" t="s">
        <v>387</v>
      </c>
    </row>
    <row r="15" spans="1:5">
      <c r="A15" s="4" t="s">
        <v>360</v>
      </c>
      <c r="B15" s="4" t="s">
        <v>388</v>
      </c>
      <c r="C15" s="4" t="s">
        <v>389</v>
      </c>
      <c r="D15" s="4" t="s">
        <v>236</v>
      </c>
      <c r="E15" s="4" t="s">
        <v>390</v>
      </c>
    </row>
    <row r="16" spans="1:5">
      <c r="A16" s="4" t="s">
        <v>391</v>
      </c>
      <c r="B16" s="4" t="s">
        <v>392</v>
      </c>
      <c r="C16" s="4" t="s">
        <v>393</v>
      </c>
      <c r="D16" s="4" t="s">
        <v>394</v>
      </c>
      <c r="E16" s="4" t="s">
        <v>395</v>
      </c>
    </row>
    <row r="17" spans="1:9">
      <c r="A17" s="4" t="s">
        <v>360</v>
      </c>
      <c r="B17" s="4" t="s">
        <v>396</v>
      </c>
      <c r="C17" s="4" t="s">
        <v>236</v>
      </c>
      <c r="D17" s="4" t="s">
        <v>236</v>
      </c>
      <c r="E17" s="4" t="s">
        <v>397</v>
      </c>
    </row>
    <row r="18" spans="1:9">
      <c r="A18" s="4" t="s">
        <v>360</v>
      </c>
      <c r="B18" s="4" t="s">
        <v>398</v>
      </c>
      <c r="C18" s="4" t="s">
        <v>232</v>
      </c>
      <c r="D18" s="4" t="s">
        <v>399</v>
      </c>
      <c r="E18" s="4" t="s">
        <v>400</v>
      </c>
    </row>
    <row r="19" spans="1:9">
      <c r="A19" s="4" t="s">
        <v>401</v>
      </c>
      <c r="B19" s="4" t="s">
        <v>402</v>
      </c>
      <c r="C19" s="4" t="s">
        <v>403</v>
      </c>
      <c r="D19" s="4" t="s">
        <v>369</v>
      </c>
      <c r="E19" s="4" t="s">
        <v>404</v>
      </c>
    </row>
    <row r="20" spans="1:9">
      <c r="A20" s="4" t="s">
        <v>401</v>
      </c>
      <c r="B20" s="4" t="s">
        <v>405</v>
      </c>
      <c r="C20" s="4" t="s">
        <v>406</v>
      </c>
      <c r="D20" s="4" t="s">
        <v>407</v>
      </c>
      <c r="E20" s="4" t="s">
        <v>408</v>
      </c>
    </row>
    <row r="22" spans="1:9">
      <c r="A22" s="28" t="s">
        <v>409</v>
      </c>
      <c r="B22" s="28"/>
      <c r="C22" s="28"/>
      <c r="D22" s="28"/>
      <c r="E22" s="28"/>
      <c r="F22" s="28"/>
      <c r="G22" s="28"/>
      <c r="H22" s="28"/>
      <c r="I22" s="28"/>
    </row>
    <row r="23" spans="1:9">
      <c r="A23" t="s">
        <v>410</v>
      </c>
      <c r="B23" t="s">
        <v>411</v>
      </c>
      <c r="C23" t="s">
        <v>412</v>
      </c>
      <c r="D23" t="s">
        <v>413</v>
      </c>
      <c r="E23" t="s">
        <v>414</v>
      </c>
      <c r="F23" t="s">
        <v>415</v>
      </c>
      <c r="G23" t="s">
        <v>60</v>
      </c>
      <c r="H23" t="s">
        <v>66</v>
      </c>
      <c r="I23" t="s">
        <v>416</v>
      </c>
    </row>
    <row r="24" spans="1:9">
      <c r="A24" s="4">
        <v>0</v>
      </c>
      <c r="B24" s="4" t="s">
        <v>417</v>
      </c>
      <c r="C24" s="4">
        <v>0</v>
      </c>
      <c r="D24" s="4" t="s">
        <v>418</v>
      </c>
      <c r="E24" s="4" t="s">
        <v>232</v>
      </c>
      <c r="F24" s="4" t="s">
        <v>419</v>
      </c>
      <c r="G24" s="4" t="s">
        <v>420</v>
      </c>
      <c r="H24" s="4" t="s">
        <v>421</v>
      </c>
      <c r="I24" s="4" t="s">
        <v>236</v>
      </c>
    </row>
    <row r="25" spans="1:9">
      <c r="A25" s="4">
        <v>1</v>
      </c>
      <c r="B25" s="4" t="s">
        <v>417</v>
      </c>
      <c r="C25" s="4">
        <v>0</v>
      </c>
      <c r="D25" s="4" t="s">
        <v>418</v>
      </c>
      <c r="E25" s="4" t="s">
        <v>232</v>
      </c>
      <c r="F25" s="4" t="s">
        <v>419</v>
      </c>
      <c r="G25" s="4" t="s">
        <v>420</v>
      </c>
      <c r="H25" s="4" t="s">
        <v>421</v>
      </c>
      <c r="I25" s="4" t="s">
        <v>236</v>
      </c>
    </row>
    <row r="26" spans="1:9">
      <c r="A26" s="4">
        <v>2</v>
      </c>
      <c r="B26" s="4" t="s">
        <v>422</v>
      </c>
      <c r="C26" s="4">
        <v>4</v>
      </c>
      <c r="D26" s="4" t="s">
        <v>418</v>
      </c>
      <c r="E26" s="4" t="s">
        <v>232</v>
      </c>
      <c r="F26" s="4" t="s">
        <v>419</v>
      </c>
      <c r="G26" s="4" t="s">
        <v>420</v>
      </c>
      <c r="H26" s="4" t="s">
        <v>421</v>
      </c>
      <c r="I26" s="4" t="s">
        <v>236</v>
      </c>
    </row>
    <row r="27" spans="1:9">
      <c r="A27" s="4">
        <v>3</v>
      </c>
      <c r="B27" s="4" t="s">
        <v>423</v>
      </c>
      <c r="C27" s="4">
        <v>128</v>
      </c>
      <c r="D27" s="4" t="s">
        <v>424</v>
      </c>
      <c r="E27" s="4" t="s">
        <v>232</v>
      </c>
      <c r="F27" s="4" t="s">
        <v>419</v>
      </c>
      <c r="G27" s="4" t="s">
        <v>420</v>
      </c>
      <c r="H27" s="4" t="s">
        <v>421</v>
      </c>
      <c r="I27" s="4" t="s">
        <v>236</v>
      </c>
    </row>
    <row r="28" spans="1:9">
      <c r="A28" s="4">
        <v>4</v>
      </c>
      <c r="B28" s="4" t="s">
        <v>422</v>
      </c>
      <c r="C28" s="4">
        <v>4</v>
      </c>
      <c r="D28" s="4" t="s">
        <v>424</v>
      </c>
      <c r="E28" s="4" t="s">
        <v>232</v>
      </c>
      <c r="F28" s="4" t="s">
        <v>419</v>
      </c>
      <c r="G28" s="4" t="s">
        <v>420</v>
      </c>
      <c r="H28" s="4" t="s">
        <v>421</v>
      </c>
      <c r="I28" s="4" t="s">
        <v>236</v>
      </c>
    </row>
    <row r="29" spans="1:9">
      <c r="A29" s="4">
        <v>5</v>
      </c>
      <c r="B29" s="4" t="s">
        <v>423</v>
      </c>
      <c r="C29" s="4">
        <v>128</v>
      </c>
      <c r="D29" s="4" t="s">
        <v>424</v>
      </c>
      <c r="E29" s="4" t="s">
        <v>232</v>
      </c>
      <c r="F29" s="4" t="s">
        <v>419</v>
      </c>
      <c r="G29" s="4" t="s">
        <v>420</v>
      </c>
      <c r="H29" s="4" t="s">
        <v>421</v>
      </c>
      <c r="I29" s="4" t="s">
        <v>236</v>
      </c>
    </row>
    <row r="30" spans="1:9">
      <c r="A30" s="4">
        <v>6</v>
      </c>
      <c r="B30" s="4" t="s">
        <v>422</v>
      </c>
      <c r="C30" s="4">
        <v>4</v>
      </c>
      <c r="D30" s="4" t="s">
        <v>424</v>
      </c>
      <c r="E30" s="4" t="s">
        <v>232</v>
      </c>
      <c r="F30" s="4" t="s">
        <v>419</v>
      </c>
      <c r="G30" s="4" t="s">
        <v>420</v>
      </c>
      <c r="H30" s="4" t="s">
        <v>421</v>
      </c>
      <c r="I30" s="4" t="s">
        <v>236</v>
      </c>
    </row>
    <row r="31" spans="1:9">
      <c r="A31" s="4">
        <v>7</v>
      </c>
      <c r="B31" s="4" t="s">
        <v>423</v>
      </c>
      <c r="C31" s="4">
        <v>128</v>
      </c>
      <c r="D31" s="4" t="s">
        <v>424</v>
      </c>
      <c r="E31" s="4" t="s">
        <v>232</v>
      </c>
      <c r="F31" s="4" t="s">
        <v>419</v>
      </c>
      <c r="G31" s="4" t="s">
        <v>420</v>
      </c>
      <c r="H31" s="4" t="s">
        <v>421</v>
      </c>
      <c r="I31" s="4" t="s">
        <v>236</v>
      </c>
    </row>
    <row r="32" spans="1:9">
      <c r="A32" s="4">
        <v>8</v>
      </c>
      <c r="B32" s="4" t="s">
        <v>422</v>
      </c>
      <c r="C32" s="4">
        <v>4</v>
      </c>
      <c r="D32" s="4" t="s">
        <v>424</v>
      </c>
      <c r="E32" s="4" t="s">
        <v>232</v>
      </c>
      <c r="F32" s="4" t="s">
        <v>419</v>
      </c>
      <c r="G32" s="4" t="s">
        <v>420</v>
      </c>
      <c r="H32" s="4" t="s">
        <v>421</v>
      </c>
      <c r="I32" s="4" t="s">
        <v>236</v>
      </c>
    </row>
    <row r="33" spans="1:9">
      <c r="A33" s="4">
        <v>9</v>
      </c>
      <c r="B33" s="4" t="s">
        <v>423</v>
      </c>
      <c r="C33" s="4">
        <v>128</v>
      </c>
      <c r="D33" s="4" t="s">
        <v>424</v>
      </c>
      <c r="E33" s="4" t="s">
        <v>232</v>
      </c>
      <c r="F33" s="4" t="s">
        <v>419</v>
      </c>
      <c r="G33" s="4" t="s">
        <v>420</v>
      </c>
      <c r="H33" s="4" t="s">
        <v>421</v>
      </c>
      <c r="I33" s="4" t="s">
        <v>236</v>
      </c>
    </row>
    <row r="34" spans="1:9">
      <c r="A34" s="4">
        <v>10</v>
      </c>
      <c r="B34" s="4" t="s">
        <v>422</v>
      </c>
      <c r="C34" s="4">
        <v>4</v>
      </c>
      <c r="D34" s="4" t="s">
        <v>424</v>
      </c>
      <c r="E34" s="4" t="s">
        <v>232</v>
      </c>
      <c r="F34" s="4" t="s">
        <v>419</v>
      </c>
      <c r="G34" s="4" t="s">
        <v>420</v>
      </c>
      <c r="H34" s="4" t="s">
        <v>421</v>
      </c>
      <c r="I34" s="4" t="s">
        <v>236</v>
      </c>
    </row>
    <row r="35" spans="1:9">
      <c r="A35" s="4">
        <v>11</v>
      </c>
      <c r="B35" s="4" t="s">
        <v>423</v>
      </c>
      <c r="C35" s="4">
        <v>128</v>
      </c>
      <c r="D35" s="4" t="s">
        <v>424</v>
      </c>
      <c r="E35" s="4" t="s">
        <v>232</v>
      </c>
      <c r="F35" s="4" t="s">
        <v>419</v>
      </c>
      <c r="G35" s="4" t="s">
        <v>420</v>
      </c>
      <c r="H35" s="4" t="s">
        <v>421</v>
      </c>
      <c r="I35" s="4" t="s">
        <v>236</v>
      </c>
    </row>
    <row r="36" spans="1:9">
      <c r="A36" s="4">
        <v>12</v>
      </c>
      <c r="B36" s="4" t="s">
        <v>422</v>
      </c>
      <c r="C36" s="4">
        <v>4</v>
      </c>
      <c r="D36" s="4" t="s">
        <v>424</v>
      </c>
      <c r="E36" s="4" t="s">
        <v>232</v>
      </c>
      <c r="F36" s="4" t="s">
        <v>419</v>
      </c>
      <c r="G36" s="4" t="s">
        <v>420</v>
      </c>
      <c r="H36" s="4" t="s">
        <v>421</v>
      </c>
      <c r="I36" s="4" t="s">
        <v>236</v>
      </c>
    </row>
    <row r="37" spans="1:9">
      <c r="A37" s="4">
        <v>13</v>
      </c>
      <c r="B37" s="4" t="s">
        <v>423</v>
      </c>
      <c r="C37" s="4">
        <v>128</v>
      </c>
      <c r="D37" s="4" t="s">
        <v>424</v>
      </c>
      <c r="E37" s="4" t="s">
        <v>232</v>
      </c>
      <c r="F37" s="4" t="s">
        <v>419</v>
      </c>
      <c r="G37" s="4" t="s">
        <v>420</v>
      </c>
      <c r="H37" s="4" t="s">
        <v>421</v>
      </c>
      <c r="I37" s="4" t="s">
        <v>236</v>
      </c>
    </row>
    <row r="38" spans="1:9">
      <c r="A38" s="4">
        <v>14</v>
      </c>
      <c r="B38" s="4" t="s">
        <v>422</v>
      </c>
      <c r="C38" s="4">
        <v>4</v>
      </c>
      <c r="D38" s="4" t="s">
        <v>424</v>
      </c>
      <c r="E38" s="4" t="s">
        <v>232</v>
      </c>
      <c r="F38" s="4" t="s">
        <v>419</v>
      </c>
      <c r="G38" s="4" t="s">
        <v>420</v>
      </c>
      <c r="H38" s="4" t="s">
        <v>421</v>
      </c>
      <c r="I38" s="4" t="s">
        <v>236</v>
      </c>
    </row>
    <row r="39" spans="1:9">
      <c r="A39" s="4">
        <v>15</v>
      </c>
      <c r="B39" s="4" t="s">
        <v>423</v>
      </c>
      <c r="C39" s="4">
        <v>128</v>
      </c>
      <c r="D39" s="4" t="s">
        <v>424</v>
      </c>
      <c r="E39" s="4" t="s">
        <v>232</v>
      </c>
      <c r="F39" s="4" t="s">
        <v>419</v>
      </c>
      <c r="G39" s="4" t="s">
        <v>420</v>
      </c>
      <c r="H39" s="4" t="s">
        <v>421</v>
      </c>
      <c r="I39" s="4" t="s">
        <v>236</v>
      </c>
    </row>
    <row r="40" spans="1:9">
      <c r="A40" s="4">
        <v>16</v>
      </c>
      <c r="B40" s="4" t="s">
        <v>422</v>
      </c>
      <c r="C40" s="4">
        <v>4</v>
      </c>
      <c r="D40" s="4" t="s">
        <v>424</v>
      </c>
      <c r="E40" s="4" t="s">
        <v>232</v>
      </c>
      <c r="F40" s="4" t="s">
        <v>419</v>
      </c>
      <c r="G40" s="4" t="s">
        <v>420</v>
      </c>
      <c r="H40" s="4" t="s">
        <v>421</v>
      </c>
      <c r="I40" s="4" t="s">
        <v>236</v>
      </c>
    </row>
    <row r="41" spans="1:9">
      <c r="A41" s="4">
        <v>17</v>
      </c>
      <c r="B41" s="4" t="s">
        <v>423</v>
      </c>
      <c r="C41" s="4">
        <v>128</v>
      </c>
      <c r="D41" s="4" t="s">
        <v>424</v>
      </c>
      <c r="E41" s="4" t="s">
        <v>232</v>
      </c>
      <c r="F41" s="4" t="s">
        <v>419</v>
      </c>
      <c r="G41" s="4" t="s">
        <v>420</v>
      </c>
      <c r="H41" s="4" t="s">
        <v>421</v>
      </c>
      <c r="I41" s="4" t="s">
        <v>236</v>
      </c>
    </row>
    <row r="42" spans="1:9">
      <c r="A42" s="4">
        <v>18</v>
      </c>
      <c r="B42" s="4" t="s">
        <v>422</v>
      </c>
      <c r="C42" s="4">
        <v>4</v>
      </c>
      <c r="D42" s="4" t="s">
        <v>424</v>
      </c>
      <c r="E42" s="4" t="s">
        <v>232</v>
      </c>
      <c r="F42" s="4" t="s">
        <v>419</v>
      </c>
      <c r="G42" s="4" t="s">
        <v>420</v>
      </c>
      <c r="H42" s="4" t="s">
        <v>421</v>
      </c>
      <c r="I42" s="4" t="s">
        <v>236</v>
      </c>
    </row>
    <row r="43" spans="1:9">
      <c r="A43" s="4">
        <v>19</v>
      </c>
      <c r="B43" s="4" t="s">
        <v>423</v>
      </c>
      <c r="C43" s="4">
        <v>128</v>
      </c>
      <c r="D43" s="4" t="s">
        <v>424</v>
      </c>
      <c r="E43" s="4" t="s">
        <v>232</v>
      </c>
      <c r="F43" s="4" t="s">
        <v>419</v>
      </c>
      <c r="G43" s="4" t="s">
        <v>420</v>
      </c>
      <c r="H43" s="4" t="s">
        <v>421</v>
      </c>
      <c r="I43" s="4" t="s">
        <v>236</v>
      </c>
    </row>
    <row r="44" spans="1:9">
      <c r="A44" s="4">
        <v>20</v>
      </c>
      <c r="B44" s="4" t="s">
        <v>422</v>
      </c>
      <c r="C44" s="4">
        <v>4</v>
      </c>
      <c r="D44" s="4" t="s">
        <v>424</v>
      </c>
      <c r="E44" s="4" t="s">
        <v>232</v>
      </c>
      <c r="F44" s="4" t="s">
        <v>419</v>
      </c>
      <c r="G44" s="4" t="s">
        <v>420</v>
      </c>
      <c r="H44" s="4" t="s">
        <v>421</v>
      </c>
      <c r="I44" s="4" t="s">
        <v>236</v>
      </c>
    </row>
    <row r="45" spans="1:9">
      <c r="A45" s="4">
        <v>21</v>
      </c>
      <c r="B45" s="4" t="s">
        <v>423</v>
      </c>
      <c r="C45" s="4">
        <v>128</v>
      </c>
      <c r="D45" s="4" t="s">
        <v>424</v>
      </c>
      <c r="E45" s="4" t="s">
        <v>232</v>
      </c>
      <c r="F45" s="4" t="s">
        <v>419</v>
      </c>
      <c r="G45" s="4" t="s">
        <v>420</v>
      </c>
      <c r="H45" s="4" t="s">
        <v>421</v>
      </c>
      <c r="I45" s="4" t="s">
        <v>236</v>
      </c>
    </row>
    <row r="46" spans="1:9">
      <c r="A46" s="4">
        <v>22</v>
      </c>
      <c r="B46" s="4" t="s">
        <v>422</v>
      </c>
      <c r="C46" s="4">
        <v>4</v>
      </c>
      <c r="D46" s="4" t="s">
        <v>424</v>
      </c>
      <c r="E46" s="4" t="s">
        <v>232</v>
      </c>
      <c r="F46" s="4" t="s">
        <v>419</v>
      </c>
      <c r="G46" s="4" t="s">
        <v>420</v>
      </c>
      <c r="H46" s="4" t="s">
        <v>421</v>
      </c>
      <c r="I46" s="4" t="s">
        <v>236</v>
      </c>
    </row>
    <row r="47" spans="1:9">
      <c r="A47" s="4">
        <v>23</v>
      </c>
      <c r="B47" s="4" t="s">
        <v>423</v>
      </c>
      <c r="C47" s="4">
        <v>128</v>
      </c>
      <c r="D47" s="4" t="s">
        <v>424</v>
      </c>
      <c r="E47" s="4" t="s">
        <v>232</v>
      </c>
      <c r="F47" s="4" t="s">
        <v>419</v>
      </c>
      <c r="G47" s="4" t="s">
        <v>420</v>
      </c>
      <c r="H47" s="4" t="s">
        <v>421</v>
      </c>
      <c r="I47" s="4" t="s">
        <v>236</v>
      </c>
    </row>
    <row r="48" spans="1:9">
      <c r="A48" s="4">
        <v>24</v>
      </c>
      <c r="B48" s="4" t="s">
        <v>422</v>
      </c>
      <c r="C48" s="4">
        <v>4</v>
      </c>
      <c r="D48" s="4" t="s">
        <v>424</v>
      </c>
      <c r="E48" s="4" t="s">
        <v>232</v>
      </c>
      <c r="F48" s="4" t="s">
        <v>419</v>
      </c>
      <c r="G48" s="4" t="s">
        <v>420</v>
      </c>
      <c r="H48" s="4" t="s">
        <v>421</v>
      </c>
      <c r="I48" s="4" t="s">
        <v>236</v>
      </c>
    </row>
    <row r="49" spans="1:9">
      <c r="A49" s="4">
        <v>25</v>
      </c>
      <c r="B49" s="4" t="s">
        <v>423</v>
      </c>
      <c r="C49" s="4">
        <v>128</v>
      </c>
      <c r="D49" s="4" t="s">
        <v>424</v>
      </c>
      <c r="E49" s="4" t="s">
        <v>232</v>
      </c>
      <c r="F49" s="4" t="s">
        <v>419</v>
      </c>
      <c r="G49" s="4" t="s">
        <v>420</v>
      </c>
      <c r="H49" s="4" t="s">
        <v>421</v>
      </c>
      <c r="I49" s="4" t="s">
        <v>236</v>
      </c>
    </row>
    <row r="50" spans="1:9">
      <c r="A50" s="4">
        <v>26</v>
      </c>
      <c r="B50" s="4" t="s">
        <v>422</v>
      </c>
      <c r="C50" s="4">
        <v>4</v>
      </c>
      <c r="D50" s="4" t="s">
        <v>424</v>
      </c>
      <c r="E50" s="4" t="s">
        <v>232</v>
      </c>
      <c r="F50" s="4" t="s">
        <v>419</v>
      </c>
      <c r="G50" s="4" t="s">
        <v>420</v>
      </c>
      <c r="H50" s="4" t="s">
        <v>421</v>
      </c>
      <c r="I50" s="4" t="s">
        <v>236</v>
      </c>
    </row>
    <row r="51" spans="1:9">
      <c r="A51" s="4">
        <v>27</v>
      </c>
      <c r="B51" s="4" t="s">
        <v>423</v>
      </c>
      <c r="C51" s="4">
        <v>128</v>
      </c>
      <c r="D51" s="4" t="s">
        <v>424</v>
      </c>
      <c r="E51" s="4" t="s">
        <v>232</v>
      </c>
      <c r="F51" s="4" t="s">
        <v>419</v>
      </c>
      <c r="G51" s="4" t="s">
        <v>420</v>
      </c>
      <c r="H51" s="4" t="s">
        <v>421</v>
      </c>
      <c r="I51" s="4" t="s">
        <v>236</v>
      </c>
    </row>
    <row r="52" spans="1:9">
      <c r="A52" s="4">
        <v>28</v>
      </c>
      <c r="B52" s="4" t="s">
        <v>422</v>
      </c>
      <c r="C52" s="4">
        <v>4</v>
      </c>
      <c r="D52" s="4" t="s">
        <v>424</v>
      </c>
      <c r="E52" s="4" t="s">
        <v>232</v>
      </c>
      <c r="F52" s="4" t="s">
        <v>419</v>
      </c>
      <c r="G52" s="4" t="s">
        <v>420</v>
      </c>
      <c r="H52" s="4" t="s">
        <v>421</v>
      </c>
      <c r="I52" s="4" t="s">
        <v>236</v>
      </c>
    </row>
    <row r="53" spans="1:9">
      <c r="A53" s="4">
        <v>29</v>
      </c>
      <c r="B53" s="4" t="s">
        <v>423</v>
      </c>
      <c r="C53" s="4">
        <v>128</v>
      </c>
      <c r="D53" s="4" t="s">
        <v>424</v>
      </c>
      <c r="E53" s="4" t="s">
        <v>232</v>
      </c>
      <c r="F53" s="4" t="s">
        <v>419</v>
      </c>
      <c r="G53" s="4" t="s">
        <v>420</v>
      </c>
      <c r="H53" s="4" t="s">
        <v>421</v>
      </c>
      <c r="I53" s="4" t="s">
        <v>236</v>
      </c>
    </row>
    <row r="54" spans="1:9">
      <c r="A54" s="4">
        <v>30</v>
      </c>
      <c r="B54" s="4" t="s">
        <v>422</v>
      </c>
      <c r="C54" s="4">
        <v>4</v>
      </c>
      <c r="D54" s="4" t="s">
        <v>424</v>
      </c>
      <c r="E54" s="4" t="s">
        <v>232</v>
      </c>
      <c r="F54" s="4" t="s">
        <v>419</v>
      </c>
      <c r="G54" s="4" t="s">
        <v>420</v>
      </c>
      <c r="H54" s="4" t="s">
        <v>421</v>
      </c>
      <c r="I54" s="4" t="s">
        <v>236</v>
      </c>
    </row>
    <row r="55" spans="1:9">
      <c r="A55" s="4">
        <v>31</v>
      </c>
      <c r="B55" s="4" t="s">
        <v>423</v>
      </c>
      <c r="C55" s="4">
        <v>128</v>
      </c>
      <c r="D55" s="4" t="s">
        <v>424</v>
      </c>
      <c r="E55" s="4" t="s">
        <v>232</v>
      </c>
      <c r="F55" s="4" t="s">
        <v>419</v>
      </c>
      <c r="G55" s="4" t="s">
        <v>420</v>
      </c>
      <c r="H55" s="4" t="s">
        <v>421</v>
      </c>
      <c r="I55" s="4" t="s">
        <v>236</v>
      </c>
    </row>
    <row r="56" spans="1:9">
      <c r="A56" s="4">
        <v>32</v>
      </c>
      <c r="B56" s="4" t="s">
        <v>422</v>
      </c>
      <c r="C56" s="4">
        <v>4</v>
      </c>
      <c r="D56" s="4" t="s">
        <v>424</v>
      </c>
      <c r="E56" s="4" t="s">
        <v>232</v>
      </c>
      <c r="F56" s="4" t="s">
        <v>419</v>
      </c>
      <c r="G56" s="4" t="s">
        <v>420</v>
      </c>
      <c r="H56" s="4" t="s">
        <v>421</v>
      </c>
      <c r="I56" s="4" t="s">
        <v>236</v>
      </c>
    </row>
    <row r="57" spans="1:9">
      <c r="A57" s="4">
        <v>33</v>
      </c>
      <c r="B57" s="4" t="s">
        <v>423</v>
      </c>
      <c r="C57" s="4">
        <v>128</v>
      </c>
      <c r="D57" s="4" t="s">
        <v>424</v>
      </c>
      <c r="E57" s="4" t="s">
        <v>232</v>
      </c>
      <c r="F57" s="4" t="s">
        <v>419</v>
      </c>
      <c r="G57" s="4" t="s">
        <v>420</v>
      </c>
      <c r="H57" s="4" t="s">
        <v>421</v>
      </c>
      <c r="I57" s="4" t="s">
        <v>236</v>
      </c>
    </row>
    <row r="58" spans="1:9">
      <c r="A58" s="4">
        <v>34</v>
      </c>
      <c r="B58" s="4" t="s">
        <v>422</v>
      </c>
      <c r="C58" s="4">
        <v>4</v>
      </c>
      <c r="D58" s="4" t="s">
        <v>424</v>
      </c>
      <c r="E58" s="4" t="s">
        <v>232</v>
      </c>
      <c r="F58" s="4" t="s">
        <v>419</v>
      </c>
      <c r="G58" s="4" t="s">
        <v>420</v>
      </c>
      <c r="H58" s="4" t="s">
        <v>421</v>
      </c>
      <c r="I58" s="4" t="s">
        <v>236</v>
      </c>
    </row>
    <row r="59" spans="1:9">
      <c r="A59" s="4">
        <v>35</v>
      </c>
      <c r="B59" s="4" t="s">
        <v>423</v>
      </c>
      <c r="C59" s="4">
        <v>128</v>
      </c>
      <c r="D59" s="4" t="s">
        <v>424</v>
      </c>
      <c r="E59" s="4" t="s">
        <v>232</v>
      </c>
      <c r="F59" s="4" t="s">
        <v>419</v>
      </c>
      <c r="G59" s="4" t="s">
        <v>420</v>
      </c>
      <c r="H59" s="4" t="s">
        <v>421</v>
      </c>
      <c r="I59" s="4" t="s">
        <v>236</v>
      </c>
    </row>
    <row r="60" spans="1:9">
      <c r="A60" s="4">
        <v>36</v>
      </c>
      <c r="B60" s="4" t="s">
        <v>422</v>
      </c>
      <c r="C60" s="4">
        <v>4</v>
      </c>
      <c r="D60" s="4" t="s">
        <v>424</v>
      </c>
      <c r="E60" s="4" t="s">
        <v>232</v>
      </c>
      <c r="F60" s="4" t="s">
        <v>419</v>
      </c>
      <c r="G60" s="4" t="s">
        <v>420</v>
      </c>
      <c r="H60" s="4" t="s">
        <v>421</v>
      </c>
      <c r="I60" s="4" t="s">
        <v>236</v>
      </c>
    </row>
    <row r="61" spans="1:9">
      <c r="A61" s="4">
        <v>37</v>
      </c>
      <c r="B61" s="4" t="s">
        <v>423</v>
      </c>
      <c r="C61" s="4">
        <v>128</v>
      </c>
      <c r="D61" s="4" t="s">
        <v>424</v>
      </c>
      <c r="E61" s="4" t="s">
        <v>232</v>
      </c>
      <c r="F61" s="4" t="s">
        <v>419</v>
      </c>
      <c r="G61" s="4" t="s">
        <v>420</v>
      </c>
      <c r="H61" s="4" t="s">
        <v>421</v>
      </c>
      <c r="I61" s="4" t="s">
        <v>236</v>
      </c>
    </row>
    <row r="62" spans="1:9">
      <c r="A62" s="4">
        <v>38</v>
      </c>
      <c r="B62" s="4" t="s">
        <v>422</v>
      </c>
      <c r="C62" s="4">
        <v>4</v>
      </c>
      <c r="D62" s="4" t="s">
        <v>424</v>
      </c>
      <c r="E62" s="4" t="s">
        <v>232</v>
      </c>
      <c r="F62" s="4" t="s">
        <v>419</v>
      </c>
      <c r="G62" s="4" t="s">
        <v>420</v>
      </c>
      <c r="H62" s="4" t="s">
        <v>421</v>
      </c>
      <c r="I62" s="4" t="s">
        <v>236</v>
      </c>
    </row>
    <row r="63" spans="1:9">
      <c r="A63" s="4">
        <v>39</v>
      </c>
      <c r="B63" s="4" t="s">
        <v>423</v>
      </c>
      <c r="C63" s="4">
        <v>128</v>
      </c>
      <c r="D63" s="4" t="s">
        <v>424</v>
      </c>
      <c r="E63" s="4" t="s">
        <v>232</v>
      </c>
      <c r="F63" s="4" t="s">
        <v>419</v>
      </c>
      <c r="G63" s="4" t="s">
        <v>420</v>
      </c>
      <c r="H63" s="4" t="s">
        <v>421</v>
      </c>
      <c r="I63" s="4" t="s">
        <v>236</v>
      </c>
    </row>
    <row r="64" spans="1:9">
      <c r="A64" s="4">
        <v>40</v>
      </c>
      <c r="B64" s="4" t="s">
        <v>422</v>
      </c>
      <c r="C64" s="4">
        <v>4</v>
      </c>
      <c r="D64" s="4" t="s">
        <v>424</v>
      </c>
      <c r="E64" s="4" t="s">
        <v>232</v>
      </c>
      <c r="F64" s="4" t="s">
        <v>419</v>
      </c>
      <c r="G64" s="4" t="s">
        <v>420</v>
      </c>
      <c r="H64" s="4" t="s">
        <v>421</v>
      </c>
      <c r="I64" s="4" t="s">
        <v>236</v>
      </c>
    </row>
    <row r="65" spans="1:9">
      <c r="A65" s="4">
        <v>41</v>
      </c>
      <c r="B65" s="4" t="s">
        <v>423</v>
      </c>
      <c r="C65" s="4">
        <v>128</v>
      </c>
      <c r="D65" s="4" t="s">
        <v>424</v>
      </c>
      <c r="E65" s="4" t="s">
        <v>232</v>
      </c>
      <c r="F65" s="4" t="s">
        <v>419</v>
      </c>
      <c r="G65" s="4" t="s">
        <v>420</v>
      </c>
      <c r="H65" s="4" t="s">
        <v>421</v>
      </c>
      <c r="I65" s="4" t="s">
        <v>236</v>
      </c>
    </row>
    <row r="66" spans="1:9">
      <c r="A66" s="4">
        <v>42</v>
      </c>
      <c r="B66" s="4" t="s">
        <v>422</v>
      </c>
      <c r="C66" s="4">
        <v>4</v>
      </c>
      <c r="D66" s="4" t="s">
        <v>424</v>
      </c>
      <c r="E66" s="4" t="s">
        <v>232</v>
      </c>
      <c r="F66" s="4" t="s">
        <v>419</v>
      </c>
      <c r="G66" s="4" t="s">
        <v>420</v>
      </c>
      <c r="H66" s="4" t="s">
        <v>421</v>
      </c>
      <c r="I66" s="4" t="s">
        <v>236</v>
      </c>
    </row>
  </sheetData>
  <mergeCells count="2">
    <mergeCell ref="A4:E4"/>
    <mergeCell ref="A22:I22"/>
  </mergeCell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U116"/>
  <sheetViews>
    <sheetView showGridLines="0" workbookViewId="0"/>
  </sheetViews>
  <sheetFormatPr defaultRowHeight="15"/>
  <cols>
    <col min="1" max="1" width="30.7109375" customWidth="1"/>
    <col min="2" max="5" width="20.7109375" customWidth="1"/>
    <col min="6" max="6" width="72.7109375" customWidth="1"/>
    <col min="7" max="10" width="0" hidden="1" customWidth="1"/>
    <col min="11" max="14" width="20.7109375" customWidth="1"/>
    <col min="15" max="16" width="0" hidden="1" customWidth="1"/>
    <col min="19" max="21" width="0" hidden="1" customWidth="1"/>
  </cols>
  <sheetData>
    <row r="1" spans="1:10">
      <c r="A1" s="1" t="s">
        <v>425</v>
      </c>
    </row>
    <row r="2" spans="1:10">
      <c r="A2" s="2" t="s">
        <v>426</v>
      </c>
    </row>
    <row r="4" spans="1:10">
      <c r="A4" t="s">
        <v>427</v>
      </c>
      <c r="B4" t="s">
        <v>428</v>
      </c>
      <c r="C4" t="s">
        <v>429</v>
      </c>
      <c r="D4" t="s">
        <v>430</v>
      </c>
      <c r="E4" t="s">
        <v>431</v>
      </c>
      <c r="F4" t="s">
        <v>352</v>
      </c>
    </row>
    <row r="5" spans="1:10">
      <c r="A5" s="4" t="s">
        <v>432</v>
      </c>
      <c r="B5" s="31" t="str">
        <f>TEXT(IF(ABS(G5)&gt;=1E15,G5/1E15,IF(ABS(G5)&gt;=1E12,G5/1E12,IF(ABS(G5)&gt;=1E9,G5/1E9,IF(ABS(G5)&gt;=1E6,G5/1E6,G5)))),"#,##0.000")&amp;IF((IF(ABS(G5)&gt;=1E15,"PFLOPs",IF(ABS(G5)&gt;=1E12,"TFLOPs",IF(ABS(G5)&gt;=1E9,"GFLOPs",IF(ABS(G5)&gt;=1E6,"MFLOPs","flops")))))="",""," "&amp;(IF(ABS(G5)&gt;=1E15,"PFLOPs",IF(ABS(G5)&gt;=1E12,"TFLOPs",IF(ABS(G5)&gt;=1E9,"GFLOPs",IF(ABS(G5)&gt;=1E6,"MFLOPs","flops"))))))</f>
        <v>102.836 TFLOPs</v>
      </c>
      <c r="C5" s="31" t="str">
        <f>TEXT(IF(ABS(H5)&gt;=1E15,H5/1E15,IF(ABS(H5)&gt;=1E12,H5/1E12,IF(ABS(H5)&gt;=1E9,H5/1E9,IF(ABS(H5)&gt;=1E6,H5/1E6,H5)))),"#,##0.000")&amp;IF((IF(ABS(H5)&gt;=1E15,"PFLOPs",IF(ABS(H5)&gt;=1E12,"TFLOPs",IF(ABS(H5)&gt;=1E9,"GFLOPs",IF(ABS(H5)&gt;=1E6,"MFLOPs","flops")))))="",""," "&amp;(IF(ABS(H5)&gt;=1E15,"PFLOPs",IF(ABS(H5)&gt;=1E12,"TFLOPs",IF(ABS(H5)&gt;=1E9,"GFLOPs",IF(ABS(H5)&gt;=1E6,"MFLOPs","flops"))))))</f>
        <v>23.172 TFLOPs</v>
      </c>
      <c r="D5" s="31" t="str">
        <f>TEXT(IF(ABS(I5)&gt;=1E15,I5/1E15,IF(ABS(I5)&gt;=1E12,I5/1E12,IF(ABS(I5)&gt;=1E9,I5/1E9,IF(ABS(I5)&gt;=1E6,I5/1E6,I5)))),"#,##0.000")&amp;IF((IF(ABS(I5)&gt;=1E15,"PFLOPs",IF(ABS(I5)&gt;=1E12,"TFLOPs",IF(ABS(I5)&gt;=1E9,"GFLOPs",IF(ABS(I5)&gt;=1E6,"MFLOPs","flops")))))="",""," "&amp;(IF(ABS(I5)&gt;=1E15,"PFLOPs",IF(ABS(I5)&gt;=1E12,"TFLOPs",IF(ABS(I5)&gt;=1E9,"GFLOPs",IF(ABS(I5)&gt;=1E6,"MFLOPs","flops"))))))</f>
        <v>123.969 GFLOPs</v>
      </c>
      <c r="E5" s="31" t="str">
        <f>TEXT(IF(ABS(J5)&gt;=1E15,J5/1E15,IF(ABS(J5)&gt;=1E12,J5/1E12,IF(ABS(J5)&gt;=1E9,J5/1E9,IF(ABS(J5)&gt;=1E6,J5/1E6,J5)))),"#,##0.000")&amp;IF((IF(ABS(J5)&gt;=1E15,"PFLOPs",IF(ABS(J5)&gt;=1E12,"TFLOPs",IF(ABS(J5)&gt;=1E9,"GFLOPs",IF(ABS(J5)&gt;=1E6,"MFLOPs","flops")))))="",""," "&amp;(IF(ABS(J5)&gt;=1E15,"PFLOPs",IF(ABS(J5)&gt;=1E12,"TFLOPs",IF(ABS(J5)&gt;=1E9,"GFLOPs",IF(ABS(J5)&gt;=1E6,"MFLOPs","flops"))))))</f>
        <v>19.452 GFLOPs</v>
      </c>
      <c r="F5" s="4" t="s">
        <v>433</v>
      </c>
      <c r="G5" s="30">
        <f>'Prefill_8K'!$AF$14</f>
        <v>102836037746688.0</v>
      </c>
      <c r="H5" s="30">
        <f>'Prefill_8K'!$AI$14</f>
        <v>23172382457856.0</v>
      </c>
      <c r="I5" s="30">
        <f>'Decode_1M'!$AF$14</f>
        <v>123969470464.0</v>
      </c>
      <c r="J5" s="30">
        <f>'Decode_1M'!$AI$14</f>
        <v>19452461056.0</v>
      </c>
    </row>
    <row r="6" spans="1:10">
      <c r="A6" s="4" t="s">
        <v>434</v>
      </c>
      <c r="B6" s="31" t="str">
        <f>TEXT(IF(ABS(G6)&gt;=1E15,G6/1E15,IF(ABS(G6)&gt;=1E12,G6/1E12,IF(ABS(G6)&gt;=1E9,G6/1E9,IF(ABS(G6)&gt;=1E6,G6/1E6,G6)))),"#,##0.000")&amp;IF((IF(ABS(G6)&gt;=1E15,"PFLOPs",IF(ABS(G6)&gt;=1E12,"TFLOPs",IF(ABS(G6)&gt;=1E9,"GFLOPs",IF(ABS(G6)&gt;=1E6,"MFLOPs","flops")))))="",""," "&amp;(IF(ABS(G6)&gt;=1E15,"PFLOPs",IF(ABS(G6)&gt;=1E12,"TFLOPs",IF(ABS(G6)&gt;=1E9,"GFLOPs",IF(ABS(G6)&gt;=1E6,"MFLOPs","flops"))))))</f>
        <v>124.846 TFLOPs</v>
      </c>
      <c r="C6" s="31" t="str">
        <f>TEXT(IF(ABS(H6)&gt;=1E15,H6/1E15,IF(ABS(H6)&gt;=1E12,H6/1E12,IF(ABS(H6)&gt;=1E9,H6/1E9,IF(ABS(H6)&gt;=1E6,H6/1E6,H6)))),"#,##0.000")&amp;IF((IF(ABS(H6)&gt;=1E15,"PFLOPs",IF(ABS(H6)&gt;=1E12,"TFLOPs",IF(ABS(H6)&gt;=1E9,"GFLOPs",IF(ABS(H6)&gt;=1E6,"MFLOPs","flops")))))="",""," "&amp;(IF(ABS(H6)&gt;=1E15,"PFLOPs",IF(ABS(H6)&gt;=1E12,"TFLOPs",IF(ABS(H6)&gt;=1E9,"GFLOPs",IF(ABS(H6)&gt;=1E6,"MFLOPs","flops"))))))</f>
        <v>31.766 TFLOPs</v>
      </c>
      <c r="D6" s="31" t="str">
        <f>TEXT(IF(ABS(I6)&gt;=1E15,I6/1E15,IF(ABS(I6)&gt;=1E12,I6/1E12,IF(ABS(I6)&gt;=1E9,I6/1E9,IF(ABS(I6)&gt;=1E6,I6/1E6,I6)))),"#,##0.000")&amp;IF((IF(ABS(I6)&gt;=1E15,"PFLOPs",IF(ABS(I6)&gt;=1E12,"TFLOPs",IF(ABS(I6)&gt;=1E9,"GFLOPs",IF(ABS(I6)&gt;=1E6,"MFLOPs","flops")))))="",""," "&amp;(IF(ABS(I6)&gt;=1E15,"PFLOPs",IF(ABS(I6)&gt;=1E12,"TFLOPs",IF(ABS(I6)&gt;=1E9,"GFLOPs",IF(ABS(I6)&gt;=1E6,"MFLOPs","flops"))))))</f>
        <v>15.240 GFLOPs</v>
      </c>
      <c r="E6" s="31" t="str">
        <f>TEXT(IF(ABS(J6)&gt;=1E15,J6/1E15,IF(ABS(J6)&gt;=1E12,J6/1E12,IF(ABS(J6)&gt;=1E9,J6/1E9,IF(ABS(J6)&gt;=1E6,J6/1E6,J6)))),"#,##0.000")&amp;IF((IF(ABS(J6)&gt;=1E15,"PFLOPs",IF(ABS(J6)&gt;=1E12,"TFLOPs",IF(ABS(J6)&gt;=1E9,"GFLOPs",IF(ABS(J6)&gt;=1E6,"MFLOPs","flops")))))="",""," "&amp;(IF(ABS(J6)&gt;=1E15,"PFLOPs",IF(ABS(J6)&gt;=1E12,"TFLOPs",IF(ABS(J6)&gt;=1E9,"GFLOPs",IF(ABS(J6)&gt;=1E6,"MFLOPs","flops"))))))</f>
        <v>3.878 GFLOPs</v>
      </c>
      <c r="F6" s="4" t="s">
        <v>433</v>
      </c>
      <c r="G6" s="30">
        <f>'Prefill_8K'!$AF$15</f>
        <v>124846109360128.0</v>
      </c>
      <c r="H6" s="30">
        <f>'Prefill_8K'!$AI$15</f>
        <v>31765578121216.0</v>
      </c>
      <c r="I6" s="30">
        <f>'Decode_1M'!$AF$15</f>
        <v>15240003584.0</v>
      </c>
      <c r="J6" s="30">
        <f>'Decode_1M'!$AI$15</f>
        <v>3877634048.0</v>
      </c>
    </row>
    <row r="7" spans="1:10">
      <c r="A7" s="4" t="s">
        <v>435</v>
      </c>
      <c r="B7" s="31" t="str">
        <f>TEXT(IF(ABS(G7)&gt;=1E15,G7/1E15,IF(ABS(G7)&gt;=1E12,G7/1E12,IF(ABS(G7)&gt;=1E9,G7/1E9,IF(ABS(G7)&gt;=1E6,G7/1E6,G7)))),"#,##0.000")&amp;IF((IF(ABS(G7)&gt;=1E15,"PFLOPs",IF(ABS(G7)&gt;=1E12,"TFLOPs",IF(ABS(G7)&gt;=1E9,"GFLOPs",IF(ABS(G7)&gt;=1E6,"MFLOPs","flops")))))="",""," "&amp;(IF(ABS(G7)&gt;=1E15,"PFLOPs",IF(ABS(G7)&gt;=1E12,"TFLOPs",IF(ABS(G7)&gt;=1E9,"GFLOPs",IF(ABS(G7)&gt;=1E6,"MFLOPs","flops"))))))</f>
        <v>715.535 GFLOPs</v>
      </c>
      <c r="C7" s="31" t="str">
        <f>TEXT(IF(ABS(H7)&gt;=1E15,H7/1E15,IF(ABS(H7)&gt;=1E12,H7/1E12,IF(ABS(H7)&gt;=1E9,H7/1E9,IF(ABS(H7)&gt;=1E6,H7/1E6,H7)))),"#,##0.000")&amp;IF((IF(ABS(H7)&gt;=1E15,"PFLOPs",IF(ABS(H7)&gt;=1E12,"TFLOPs",IF(ABS(H7)&gt;=1E9,"GFLOPs",IF(ABS(H7)&gt;=1E6,"MFLOPs","flops")))))="",""," "&amp;(IF(ABS(H7)&gt;=1E15,"PFLOPs",IF(ABS(H7)&gt;=1E12,"TFLOPs",IF(ABS(H7)&gt;=1E9,"GFLOPs",IF(ABS(H7)&gt;=1E6,"MFLOPs","flops"))))))</f>
        <v>714.608 GFLOPs</v>
      </c>
      <c r="D7" s="31" t="str">
        <f>TEXT(IF(ABS(I7)&gt;=1E15,I7/1E15,IF(ABS(I7)&gt;=1E12,I7/1E12,IF(ABS(I7)&gt;=1E9,I7/1E9,IF(ABS(I7)&gt;=1E6,I7/1E6,I7)))),"#,##0.000")&amp;IF((IF(ABS(I7)&gt;=1E15,"PFLOPs",IF(ABS(I7)&gt;=1E12,"TFLOPs",IF(ABS(I7)&gt;=1E9,"GFLOPs",IF(ABS(I7)&gt;=1E6,"MFLOPs","flops")))))="",""," "&amp;(IF(ABS(I7)&gt;=1E15,"PFLOPs",IF(ABS(I7)&gt;=1E12,"TFLOPs",IF(ABS(I7)&gt;=1E9,"GFLOPs",IF(ABS(I7)&gt;=1E6,"MFLOPs","flops"))))))</f>
        <v>1.146 GFLOPs</v>
      </c>
      <c r="E7" s="31" t="str">
        <f>TEXT(IF(ABS(J7)&gt;=1E15,J7/1E15,IF(ABS(J7)&gt;=1E12,J7/1E12,IF(ABS(J7)&gt;=1E9,J7/1E9,IF(ABS(J7)&gt;=1E6,J7/1E6,J7)))),"#,##0.000")&amp;IF((IF(ABS(J7)&gt;=1E15,"PFLOPs",IF(ABS(J7)&gt;=1E12,"TFLOPs",IF(ABS(J7)&gt;=1E9,"GFLOPs",IF(ABS(J7)&gt;=1E6,"MFLOPs","flops")))))="",""," "&amp;(IF(ABS(J7)&gt;=1E15,"PFLOPs",IF(ABS(J7)&gt;=1E12,"TFLOPs",IF(ABS(J7)&gt;=1E9,"GFLOPs",IF(ABS(J7)&gt;=1E6,"MFLOPs","flops"))))))</f>
        <v>219.599 MFLOPs</v>
      </c>
      <c r="F7" s="4" t="s">
        <v>433</v>
      </c>
      <c r="G7" s="30">
        <f>'Prefill_8K'!$AO$48</f>
        <v>715535007744.0</v>
      </c>
      <c r="H7" s="30">
        <f>'Prefill_8K'!$AP$48</f>
        <v>714608328704.0</v>
      </c>
      <c r="I7" s="30">
        <f>'Decode_1M'!$AO$48</f>
        <v>1146278062.0</v>
      </c>
      <c r="J7" s="30">
        <f>'Decode_1M'!$AP$48</f>
        <v>219599022.0</v>
      </c>
    </row>
    <row r="8" spans="1:10">
      <c r="A8" s="29" t="s">
        <v>436</v>
      </c>
      <c r="B8" s="29" t="str">
        <f>TEXT(IF(ABS(G8)&gt;=1E15,G8/1E15,IF(ABS(G8)&gt;=1E12,G8/1E12,IF(ABS(G8)&gt;=1E9,G8/1E9,IF(ABS(G8)&gt;=1E6,G8/1E6,G8)))),"#,##0.000")&amp;IF((IF(ABS(G8)&gt;=1E15,"PFLOPs",IF(ABS(G8)&gt;=1E12,"TFLOPs",IF(ABS(G8)&gt;=1E9,"GFLOPs",IF(ABS(G8)&gt;=1E6,"MFLOPs","flops")))))="",""," "&amp;(IF(ABS(G8)&gt;=1E15,"PFLOPs",IF(ABS(G8)&gt;=1E12,"TFLOPs",IF(ABS(G8)&gt;=1E9,"GFLOPs",IF(ABS(G8)&gt;=1E6,"MFLOPs","flops"))))))</f>
        <v>228.398 TFLOPs</v>
      </c>
      <c r="C8" s="29" t="str">
        <f>TEXT(IF(ABS(H8)&gt;=1E15,H8/1E15,IF(ABS(H8)&gt;=1E12,H8/1E12,IF(ABS(H8)&gt;=1E9,H8/1E9,IF(ABS(H8)&gt;=1E6,H8/1E6,H8)))),"#,##0.000")&amp;IF((IF(ABS(H8)&gt;=1E15,"PFLOPs",IF(ABS(H8)&gt;=1E12,"TFLOPs",IF(ABS(H8)&gt;=1E9,"GFLOPs",IF(ABS(H8)&gt;=1E6,"MFLOPs","flops")))))="",""," "&amp;(IF(ABS(H8)&gt;=1E15,"PFLOPs",IF(ABS(H8)&gt;=1E12,"TFLOPs",IF(ABS(H8)&gt;=1E9,"GFLOPs",IF(ABS(H8)&gt;=1E6,"MFLOPs","flops"))))))</f>
        <v>55.653 TFLOPs</v>
      </c>
      <c r="D8" s="29" t="str">
        <f>TEXT(IF(ABS(I8)&gt;=1E15,I8/1E15,IF(ABS(I8)&gt;=1E12,I8/1E12,IF(ABS(I8)&gt;=1E9,I8/1E9,IF(ABS(I8)&gt;=1E6,I8/1E6,I8)))),"#,##0.000")&amp;IF((IF(ABS(I8)&gt;=1E15,"PFLOPs",IF(ABS(I8)&gt;=1E12,"TFLOPs",IF(ABS(I8)&gt;=1E9,"GFLOPs",IF(ABS(I8)&gt;=1E6,"MFLOPs","flops")))))="",""," "&amp;(IF(ABS(I8)&gt;=1E15,"PFLOPs",IF(ABS(I8)&gt;=1E12,"TFLOPs",IF(ABS(I8)&gt;=1E9,"GFLOPs",IF(ABS(I8)&gt;=1E6,"MFLOPs","flops"))))))</f>
        <v>140.356 GFLOPs</v>
      </c>
      <c r="E8" s="29" t="str">
        <f>TEXT(IF(ABS(J8)&gt;=1E15,J8/1E15,IF(ABS(J8)&gt;=1E12,J8/1E12,IF(ABS(J8)&gt;=1E9,J8/1E9,IF(ABS(J8)&gt;=1E6,J8/1E6,J8)))),"#,##0.000")&amp;IF((IF(ABS(J8)&gt;=1E15,"PFLOPs",IF(ABS(J8)&gt;=1E12,"TFLOPs",IF(ABS(J8)&gt;=1E9,"GFLOPs",IF(ABS(J8)&gt;=1E6,"MFLOPs","flops")))))="",""," "&amp;(IF(ABS(J8)&gt;=1E15,"PFLOPs",IF(ABS(J8)&gt;=1E12,"TFLOPs",IF(ABS(J8)&gt;=1E9,"GFLOPs",IF(ABS(J8)&gt;=1E6,"MFLOPs","flops"))))))</f>
        <v>23.550 GFLOPs</v>
      </c>
      <c r="F8" s="4" t="s">
        <v>433</v>
      </c>
      <c r="G8" s="30">
        <f>'Prefill_8K'!$AF$13</f>
        <v>228397682114560.0</v>
      </c>
      <c r="H8" s="30">
        <f>'Prefill_8K'!$AI$13</f>
        <v>55652568907776.0</v>
      </c>
      <c r="I8" s="30">
        <f>'Decode_1M'!$AF$13</f>
        <v>140355752110.0</v>
      </c>
      <c r="J8" s="30">
        <f>'Decode_1M'!$AI$13</f>
        <v>23549694126.0</v>
      </c>
    </row>
    <row r="9" spans="1:10">
      <c r="A9" s="4" t="s">
        <v>437</v>
      </c>
      <c r="B9" s="31" t="str">
        <f>TEXT(IF(ABS(G9)&gt;=1E12,G9/1E12,IF(ABS(G9)&gt;=1E9,G9/1E9,IF(ABS(G9)&gt;=1E6,G9/1E6,IF(ABS(G9)&gt;=1E3,G9/1E3,G9)))),"#,##0.000")&amp;IF((IF(ABS(G9)&gt;=1E12,"TB",IF(ABS(G9)&gt;=1E9,"GB",IF(ABS(G9)&gt;=1E6,"MB",IF(ABS(G9)&gt;=1E3,"KB","bytes")))))="",""," "&amp;(IF(ABS(G9)&gt;=1E12,"TB",IF(ABS(G9)&gt;=1E9,"GB",IF(ABS(G9)&gt;=1E6,"MB",IF(ABS(G9)&gt;=1E3,"KB","bytes"))))))</f>
        <v>0.000 B</v>
      </c>
      <c r="C9" s="31" t="str">
        <f>TEXT(IF(ABS(H9)&gt;=1E12,H9/1E12,IF(ABS(H9)&gt;=1E9,H9/1E9,IF(ABS(H9)&gt;=1E6,H9/1E6,IF(ABS(H9)&gt;=1E3,H9/1E3,H9)))),"#,##0.000")&amp;IF((IF(ABS(H9)&gt;=1E12,"TB",IF(ABS(H9)&gt;=1E9,"GB",IF(ABS(H9)&gt;=1E6,"MB",IF(ABS(H9)&gt;=1E3,"KB","bytes")))))="",""," "&amp;(IF(ABS(H9)&gt;=1E12,"TB",IF(ABS(H9)&gt;=1E9,"GB",IF(ABS(H9)&gt;=1E6,"MB",IF(ABS(H9)&gt;=1E3,"KB","bytes"))))))</f>
        <v>40.635 GB</v>
      </c>
      <c r="D9" s="31" t="str">
        <f>TEXT(IF(ABS(I9)&gt;=1E12,I9/1E12,IF(ABS(I9)&gt;=1E9,I9/1E9,IF(ABS(I9)&gt;=1E6,I9/1E6,IF(ABS(I9)&gt;=1E3,I9/1E3,I9)))),"#,##0.000")&amp;IF((IF(ABS(I9)&gt;=1E12,"TB",IF(ABS(I9)&gt;=1E9,"GB",IF(ABS(I9)&gt;=1E6,"MB",IF(ABS(I9)&gt;=1E3,"KB","bytes")))))="",""," "&amp;(IF(ABS(I9)&gt;=1E12,"TB",IF(ABS(I9)&gt;=1E9,"GB",IF(ABS(I9)&gt;=1E6,"MB",IF(ABS(I9)&gt;=1E3,"KB","bytes"))))))</f>
        <v>0.000 B</v>
      </c>
      <c r="E9" s="31" t="str">
        <f>TEXT(IF(ABS(J9)&gt;=1E12,J9/1E12,IF(ABS(J9)&gt;=1E9,J9/1E9,IF(ABS(J9)&gt;=1E6,J9/1E6,IF(ABS(J9)&gt;=1E3,J9/1E3,J9)))),"#,##0.000")&amp;IF((IF(ABS(J9)&gt;=1E12,"TB",IF(ABS(J9)&gt;=1E9,"GB",IF(ABS(J9)&gt;=1E6,"MB",IF(ABS(J9)&gt;=1E3,"KB","bytes")))))="",""," "&amp;(IF(ABS(J9)&gt;=1E12,"TB",IF(ABS(J9)&gt;=1E9,"GB",IF(ABS(J9)&gt;=1E6,"MB",IF(ABS(J9)&gt;=1E3,"KB","bytes"))))))</f>
        <v>5.865 MB</v>
      </c>
      <c r="F9" s="4" t="s">
        <v>438</v>
      </c>
      <c r="G9" s="30">
        <f>'Prefill_8K'!$AQ$48</f>
        <v>0.0</v>
      </c>
      <c r="H9" s="30">
        <f>'Prefill_8K'!$AR$48</f>
        <v>40635322112.0</v>
      </c>
      <c r="I9" s="30">
        <f>'Decode_1M'!$AQ$48</f>
        <v>0.0</v>
      </c>
      <c r="J9" s="30">
        <f>'Decode_1M'!$AR$48</f>
        <v>5865216.0</v>
      </c>
    </row>
    <row r="10" spans="1:10">
      <c r="A10" s="4" t="s">
        <v>439</v>
      </c>
      <c r="B10" s="31" t="str">
        <f>TEXT(IF(ABS(G10)&gt;=1E12,G10/1E12,IF(ABS(G10)&gt;=1E9,G10/1E9,IF(ABS(G10)&gt;=1E6,G10/1E6,IF(ABS(G10)&gt;=1E3,G10/1E3,G10)))),"#,##0.000")&amp;IF((IF(ABS(G10)&gt;=1E12,"T",IF(ABS(G10)&gt;=1E9,"G",IF(ABS(G10)&gt;=1E6,"M",IF(ABS(G10)&gt;=1E3,"K","")))))="",""," "&amp;(IF(ABS(G10)&gt;=1E12,"T",IF(ABS(G10)&gt;=1E9,"G",IF(ABS(G10)&gt;=1E6,"M",IF(ABS(G10)&gt;=1E3,"K",""))))))</f>
        <v>5.086 G</v>
      </c>
      <c r="C10" s="31" t="str">
        <f>TEXT(IF(ABS(H10)&gt;=1E12,H10/1E12,IF(ABS(H10)&gt;=1E9,H10/1E9,IF(ABS(H10)&gt;=1E6,H10/1E6,IF(ABS(H10)&gt;=1E3,H10/1E3,H10)))),"#,##0.000")&amp;IF((IF(ABS(H10)&gt;=1E12,"T",IF(ABS(H10)&gt;=1E9,"G",IF(ABS(H10)&gt;=1E6,"M",IF(ABS(H10)&gt;=1E3,"K","")))))="",""," "&amp;(IF(ABS(H10)&gt;=1E12,"T",IF(ABS(H10)&gt;=1E9,"G",IF(ABS(H10)&gt;=1E6,"M",IF(ABS(H10)&gt;=1E3,"K",""))))))</f>
        <v>1.140 G</v>
      </c>
      <c r="D10" s="31" t="str">
        <f>TEXT(IF(ABS(I10)&gt;=1E12,I10/1E12,IF(ABS(I10)&gt;=1E9,I10/1E9,IF(ABS(I10)&gt;=1E6,I10/1E6,IF(ABS(I10)&gt;=1E3,I10/1E3,I10)))),"#,##0.000")&amp;IF((IF(ABS(I10)&gt;=1E12,"T",IF(ABS(I10)&gt;=1E9,"G",IF(ABS(I10)&gt;=1E6,"M",IF(ABS(I10)&gt;=1E3,"K","")))))="",""," "&amp;(IF(ABS(I10)&gt;=1E12,"T",IF(ABS(I10)&gt;=1E9,"G",IF(ABS(I10)&gt;=1E6,"M",IF(ABS(I10)&gt;=1E3,"K",""))))))</f>
        <v>5.086 G</v>
      </c>
      <c r="E10" s="31" t="str">
        <f>TEXT(IF(ABS(J10)&gt;=1E12,J10/1E12,IF(ABS(J10)&gt;=1E9,J10/1E9,IF(ABS(J10)&gt;=1E6,J10/1E6,IF(ABS(J10)&gt;=1E3,J10/1E3,J10)))),"#,##0.000")&amp;IF((IF(ABS(J10)&gt;=1E12,"T",IF(ABS(J10)&gt;=1E9,"G",IF(ABS(J10)&gt;=1E6,"M",IF(ABS(J10)&gt;=1E3,"K","")))))="",""," "&amp;(IF(ABS(J10)&gt;=1E12,"T",IF(ABS(J10)&gt;=1E9,"G",IF(ABS(J10)&gt;=1E6,"M",IF(ABS(J10)&gt;=1E3,"K",""))))))</f>
        <v>1.140 G</v>
      </c>
      <c r="F10" s="4" t="s">
        <v>440</v>
      </c>
      <c r="G10" s="30">
        <f>'Prefill_8K'!$AY$49</f>
        <v>5086249088.0</v>
      </c>
      <c r="H10" s="30">
        <f>'Prefill_8K'!$AZ$49</f>
        <v>1139835008.0</v>
      </c>
      <c r="I10" s="30">
        <f>'Prefill_8K'!$AY$49</f>
        <v>5086249088.0</v>
      </c>
      <c r="J10" s="30">
        <f>'Prefill_8K'!$AZ$49</f>
        <v>1139835008.0</v>
      </c>
    </row>
    <row r="11" spans="1:10">
      <c r="A11" s="4" t="s">
        <v>441</v>
      </c>
      <c r="B11" s="31" t="str">
        <f>TEXT(IF(ABS(G11)&gt;=1E12,G11/1E12,IF(ABS(G11)&gt;=1E9,G11/1E9,IF(ABS(G11)&gt;=1E6,G11/1E6,IF(ABS(G11)&gt;=1E3,G11/1E3,G11)))),"#,##0.000")&amp;IF((IF(ABS(G11)&gt;=1E12,"T",IF(ABS(G11)&gt;=1E9,"G",IF(ABS(G11)&gt;=1E6,"M",IF(ABS(G11)&gt;=1E3,"K","")))))="",""," "&amp;(IF(ABS(G11)&gt;=1E12,"T",IF(ABS(G11)&gt;=1E9,"G",IF(ABS(G11)&gt;=1E6,"M",IF(ABS(G11)&gt;=1E3,"K",""))))))</f>
        <v>278.155 G</v>
      </c>
      <c r="C11" s="31" t="str">
        <f>TEXT(IF(ABS(H11)&gt;=1E12,H11/1E12,IF(ABS(H11)&gt;=1E9,H11/1E9,IF(ABS(H11)&gt;=1E6,H11/1E6,IF(ABS(H11)&gt;=1E3,H11/1E3,H11)))),"#,##0.000")&amp;IF((IF(ABS(H11)&gt;=1E12,"T",IF(ABS(H11)&gt;=1E9,"G",IF(ABS(H11)&gt;=1E6,"M",IF(ABS(H11)&gt;=1E3,"K","")))))="",""," "&amp;(IF(ABS(H11)&gt;=1E12,"T",IF(ABS(H11)&gt;=1E9,"G",IF(ABS(H11)&gt;=1E6,"M",IF(ABS(H11)&gt;=1E3,"K",""))))))</f>
        <v>35.758 G</v>
      </c>
      <c r="D11" s="31" t="str">
        <f>TEXT(IF(ABS(I11)&gt;=1E12,I11/1E12,IF(ABS(I11)&gt;=1E9,I11/1E9,IF(ABS(I11)&gt;=1E6,I11/1E6,IF(ABS(I11)&gt;=1E3,I11/1E3,I11)))),"#,##0.000")&amp;IF((IF(ABS(I11)&gt;=1E12,"T",IF(ABS(I11)&gt;=1E9,"G",IF(ABS(I11)&gt;=1E6,"M",IF(ABS(I11)&gt;=1E3,"K","")))))="",""," "&amp;(IF(ABS(I11)&gt;=1E12,"T",IF(ABS(I11)&gt;=1E9,"G",IF(ABS(I11)&gt;=1E6,"M",IF(ABS(I11)&gt;=1E3,"K",""))))))</f>
        <v>278.155 G</v>
      </c>
      <c r="E11" s="31" t="str">
        <f>TEXT(IF(ABS(J11)&gt;=1E12,J11/1E12,IF(ABS(J11)&gt;=1E9,J11/1E9,IF(ABS(J11)&gt;=1E6,J11/1E6,IF(ABS(J11)&gt;=1E3,J11/1E3,J11)))),"#,##0.000")&amp;IF((IF(ABS(J11)&gt;=1E12,"T",IF(ABS(J11)&gt;=1E9,"G",IF(ABS(J11)&gt;=1E6,"M",IF(ABS(J11)&gt;=1E3,"K","")))))="",""," "&amp;(IF(ABS(J11)&gt;=1E12,"T",IF(ABS(J11)&gt;=1E9,"G",IF(ABS(J11)&gt;=1E6,"M",IF(ABS(J11)&gt;=1E3,"K",""))))))</f>
        <v>35.758 G</v>
      </c>
      <c r="F11" s="4" t="s">
        <v>442</v>
      </c>
      <c r="G11" s="30">
        <f>'Prefill_8K'!$AY$50</f>
        <v>278154947072.0</v>
      </c>
      <c r="H11" s="30">
        <f>'Prefill_8K'!$AZ$50</f>
        <v>35757730304.0</v>
      </c>
      <c r="I11" s="30">
        <f>'Prefill_8K'!$AY$50</f>
        <v>278154947072.0</v>
      </c>
      <c r="J11" s="30">
        <f>'Prefill_8K'!$AZ$50</f>
        <v>35757730304.0</v>
      </c>
    </row>
    <row r="12" spans="1:10">
      <c r="A12" s="4" t="s">
        <v>443</v>
      </c>
      <c r="B12" s="31" t="str">
        <f>TEXT(IF(ABS(G12)&gt;=1E12,G12/1E12,IF(ABS(G12)&gt;=1E9,G12/1E9,IF(ABS(G12)&gt;=1E6,G12/1E6,IF(ABS(G12)&gt;=1E3,G12/1E3,G12)))),"#,##0.000")&amp;IF((IF(ABS(G12)&gt;=1E12,"T",IF(ABS(G12)&gt;=1E9,"G",IF(ABS(G12)&gt;=1E6,"M",IF(ABS(G12)&gt;=1E3,"K","")))))="",""," "&amp;(IF(ABS(G12)&gt;=1E12,"T",IF(ABS(G12)&gt;=1E9,"G",IF(ABS(G12)&gt;=1E6,"M",IF(ABS(G12)&gt;=1E3,"K",""))))))</f>
        <v>1.093 G</v>
      </c>
      <c r="C12" s="31" t="str">
        <f>TEXT(IF(ABS(H12)&gt;=1E12,H12/1E12,IF(ABS(H12)&gt;=1E9,H12/1E9,IF(ABS(H12)&gt;=1E6,H12/1E6,IF(ABS(H12)&gt;=1E3,H12/1E3,H12)))),"#,##0.000")&amp;IF((IF(ABS(H12)&gt;=1E12,"T",IF(ABS(H12)&gt;=1E9,"G",IF(ABS(H12)&gt;=1E6,"M",IF(ABS(H12)&gt;=1E3,"K","")))))="",""," "&amp;(IF(ABS(H12)&gt;=1E12,"T",IF(ABS(H12)&gt;=1E9,"G",IF(ABS(H12)&gt;=1E6,"M",IF(ABS(H12)&gt;=1E3,"K",""))))))</f>
        <v>166.690 M</v>
      </c>
      <c r="D12" s="31" t="str">
        <f>TEXT(IF(ABS(I12)&gt;=1E12,I12/1E12,IF(ABS(I12)&gt;=1E9,I12/1E9,IF(ABS(I12)&gt;=1E6,I12/1E6,IF(ABS(I12)&gt;=1E3,I12/1E3,I12)))),"#,##0.000")&amp;IF((IF(ABS(I12)&gt;=1E12,"T",IF(ABS(I12)&gt;=1E9,"G",IF(ABS(I12)&gt;=1E6,"M",IF(ABS(I12)&gt;=1E3,"K","")))))="",""," "&amp;(IF(ABS(I12)&gt;=1E12,"T",IF(ABS(I12)&gt;=1E9,"G",IF(ABS(I12)&gt;=1E6,"M",IF(ABS(I12)&gt;=1E3,"K",""))))))</f>
        <v>1.093 G</v>
      </c>
      <c r="E12" s="31" t="str">
        <f>TEXT(IF(ABS(J12)&gt;=1E12,J12/1E12,IF(ABS(J12)&gt;=1E9,J12/1E9,IF(ABS(J12)&gt;=1E6,J12/1E6,IF(ABS(J12)&gt;=1E3,J12/1E3,J12)))),"#,##0.000")&amp;IF((IF(ABS(J12)&gt;=1E12,"T",IF(ABS(J12)&gt;=1E9,"G",IF(ABS(J12)&gt;=1E6,"M",IF(ABS(J12)&gt;=1E3,"K","")))))="",""," "&amp;(IF(ABS(J12)&gt;=1E12,"T",IF(ABS(J12)&gt;=1E9,"G",IF(ABS(J12)&gt;=1E6,"M",IF(ABS(J12)&gt;=1E3,"K",""))))))</f>
        <v>166.690 M</v>
      </c>
      <c r="F12" s="4" t="s">
        <v>444</v>
      </c>
      <c r="G12" s="30">
        <f>'Prefill_8K'!$AY$51</f>
        <v>1093371351.0</v>
      </c>
      <c r="H12" s="30">
        <f>'Prefill_8K'!$AZ$51</f>
        <v>166689903.0</v>
      </c>
      <c r="I12" s="30">
        <f>'Prefill_8K'!$AY$51</f>
        <v>1093371351.0</v>
      </c>
      <c r="J12" s="30">
        <f>'Prefill_8K'!$AZ$51</f>
        <v>166689903.0</v>
      </c>
    </row>
    <row r="13" spans="1:10">
      <c r="A13" s="29" t="s">
        <v>445</v>
      </c>
      <c r="B13" s="29" t="str">
        <f>TEXT(IF(ABS(G13)&gt;=1E12,G13/1E12,IF(ABS(G13)&gt;=1E9,G13/1E9,IF(ABS(G13)&gt;=1E6,G13/1E6,IF(ABS(G13)&gt;=1E3,G13/1E3,G13)))),"#,##0.000")&amp;IF((IF(ABS(G13)&gt;=1E12,"T",IF(ABS(G13)&gt;=1E9,"G",IF(ABS(G13)&gt;=1E6,"M",IF(ABS(G13)&gt;=1E3,"K","")))))="",""," "&amp;(IF(ABS(G13)&gt;=1E12,"T",IF(ABS(G13)&gt;=1E9,"G",IF(ABS(G13)&gt;=1E6,"M",IF(ABS(G13)&gt;=1E3,"K",""))))))</f>
        <v>284.335 G</v>
      </c>
      <c r="C13" s="29" t="str">
        <f>TEXT(IF(ABS(H13)&gt;=1E12,H13/1E12,IF(ABS(H13)&gt;=1E9,H13/1E9,IF(ABS(H13)&gt;=1E6,H13/1E6,IF(ABS(H13)&gt;=1E3,H13/1E3,H13)))),"#,##0.000")&amp;IF((IF(ABS(H13)&gt;=1E12,"T",IF(ABS(H13)&gt;=1E9,"G",IF(ABS(H13)&gt;=1E6,"M",IF(ABS(H13)&gt;=1E3,"K","")))))="",""," "&amp;(IF(ABS(H13)&gt;=1E12,"T",IF(ABS(H13)&gt;=1E9,"G",IF(ABS(H13)&gt;=1E6,"M",IF(ABS(H13)&gt;=1E3,"K",""))))))</f>
        <v>37.064 G</v>
      </c>
      <c r="D13" s="29" t="str">
        <f>TEXT(IF(ABS(I13)&gt;=1E12,I13/1E12,IF(ABS(I13)&gt;=1E9,I13/1E9,IF(ABS(I13)&gt;=1E6,I13/1E6,IF(ABS(I13)&gt;=1E3,I13/1E3,I13)))),"#,##0.000")&amp;IF((IF(ABS(I13)&gt;=1E12,"T",IF(ABS(I13)&gt;=1E9,"G",IF(ABS(I13)&gt;=1E6,"M",IF(ABS(I13)&gt;=1E3,"K","")))))="",""," "&amp;(IF(ABS(I13)&gt;=1E12,"T",IF(ABS(I13)&gt;=1E9,"G",IF(ABS(I13)&gt;=1E6,"M",IF(ABS(I13)&gt;=1E3,"K",""))))))</f>
        <v>284.335 G</v>
      </c>
      <c r="E13" s="29" t="str">
        <f>TEXT(IF(ABS(J13)&gt;=1E12,J13/1E12,IF(ABS(J13)&gt;=1E9,J13/1E9,IF(ABS(J13)&gt;=1E6,J13/1E6,IF(ABS(J13)&gt;=1E3,J13/1E3,J13)))),"#,##0.000")&amp;IF((IF(ABS(J13)&gt;=1E12,"T",IF(ABS(J13)&gt;=1E9,"G",IF(ABS(J13)&gt;=1E6,"M",IF(ABS(J13)&gt;=1E3,"K","")))))="",""," "&amp;(IF(ABS(J13)&gt;=1E12,"T",IF(ABS(J13)&gt;=1E9,"G",IF(ABS(J13)&gt;=1E6,"M",IF(ABS(J13)&gt;=1E3,"K",""))))))</f>
        <v>37.064 G</v>
      </c>
      <c r="F13" s="4" t="s">
        <v>446</v>
      </c>
      <c r="G13" s="30">
        <f>'Prefill_8K'!$AY$52</f>
        <v>284334567511.0</v>
      </c>
      <c r="H13" s="30">
        <f>'Prefill_8K'!$AZ$52</f>
        <v>37064255215.0</v>
      </c>
      <c r="I13" s="30">
        <f>'Prefill_8K'!$AY$52</f>
        <v>284334567511.0</v>
      </c>
      <c r="J13" s="30">
        <f>'Prefill_8K'!$AZ$52</f>
        <v>37064255215.0</v>
      </c>
    </row>
    <row r="14" spans="1:10">
      <c r="A14" s="4" t="s">
        <v>447</v>
      </c>
      <c r="B14" s="31" t="str">
        <f>TEXT(IF(ABS(G14)&gt;=1E12,G14/1E12,IF(ABS(G14)&gt;=1E9,G14/1E9,IF(ABS(G14)&gt;=1E6,G14/1E6,IF(ABS(G14)&gt;=1E3,G14/1E3,G14)))),"#,##0.000")&amp;IF((IF(ABS(G14)&gt;=1E12,"TB",IF(ABS(G14)&gt;=1E9,"GB",IF(ABS(G14)&gt;=1E6,"MB",IF(ABS(G14)&gt;=1E3,"KB","bytes")))))="",""," "&amp;(IF(ABS(G14)&gt;=1E12,"TB",IF(ABS(G14)&gt;=1E9,"GB",IF(ABS(G14)&gt;=1E6,"MB",IF(ABS(G14)&gt;=1E3,"KB","bytes"))))))</f>
        <v>7.451 GB</v>
      </c>
      <c r="C14" s="31" t="str">
        <f>TEXT(IF(ABS(H14)&gt;=1E12,H14/1E12,IF(ABS(H14)&gt;=1E9,H14/1E9,IF(ABS(H14)&gt;=1E6,H14/1E6,IF(ABS(H14)&gt;=1E3,H14/1E3,H14)))),"#,##0.000")&amp;IF((IF(ABS(H14)&gt;=1E12,"TB",IF(ABS(H14)&gt;=1E9,"GB",IF(ABS(H14)&gt;=1E6,"MB",IF(ABS(H14)&gt;=1E3,"KB","bytes")))))="",""," "&amp;(IF(ABS(H14)&gt;=1E12,"TB",IF(ABS(H14)&gt;=1E9,"GB",IF(ABS(H14)&gt;=1E6,"MB",IF(ABS(H14)&gt;=1E3,"KB","bytes"))))))</f>
        <v>2.238 GB</v>
      </c>
      <c r="D14" s="31" t="str">
        <f>TEXT(IF(ABS(I14)&gt;=1E12,I14/1E12,IF(ABS(I14)&gt;=1E9,I14/1E9,IF(ABS(I14)&gt;=1E6,I14/1E6,IF(ABS(I14)&gt;=1E3,I14/1E3,I14)))),"#,##0.000")&amp;IF((IF(ABS(I14)&gt;=1E12,"TB",IF(ABS(I14)&gt;=1E9,"GB",IF(ABS(I14)&gt;=1E6,"MB",IF(ABS(I14)&gt;=1E3,"KB","bytes")))))="",""," "&amp;(IF(ABS(I14)&gt;=1E12,"TB",IF(ABS(I14)&gt;=1E9,"GB",IF(ABS(I14)&gt;=1E6,"MB",IF(ABS(I14)&gt;=1E3,"KB","bytes"))))))</f>
        <v>7.451 GB</v>
      </c>
      <c r="E14" s="31" t="str">
        <f>TEXT(IF(ABS(J14)&gt;=1E12,J14/1E12,IF(ABS(J14)&gt;=1E9,J14/1E9,IF(ABS(J14)&gt;=1E6,J14/1E6,IF(ABS(J14)&gt;=1E3,J14/1E3,J14)))),"#,##0.000")&amp;IF((IF(ABS(J14)&gt;=1E12,"TB",IF(ABS(J14)&gt;=1E9,"GB",IF(ABS(J14)&gt;=1E6,"MB",IF(ABS(J14)&gt;=1E3,"KB","bytes")))))="",""," "&amp;(IF(ABS(J14)&gt;=1E12,"TB",IF(ABS(J14)&gt;=1E9,"GB",IF(ABS(J14)&gt;=1E6,"MB",IF(ABS(J14)&gt;=1E3,"KB","bytes"))))))</f>
        <v>2.238 GB</v>
      </c>
      <c r="F14" s="4" t="s">
        <v>448</v>
      </c>
      <c r="G14" s="30">
        <f>'Prefill_8K'!$BA$49</f>
        <v>7451384960</v>
      </c>
      <c r="H14" s="30">
        <f>'Prefill_8K'!$BB$49</f>
        <v>2237504960</v>
      </c>
      <c r="I14" s="30">
        <f>'Prefill_8K'!$BA$49</f>
        <v>7451384960</v>
      </c>
      <c r="J14" s="30">
        <f>'Prefill_8K'!$BB$49</f>
        <v>2237504960</v>
      </c>
    </row>
    <row r="15" spans="1:10">
      <c r="A15" s="4" t="s">
        <v>449</v>
      </c>
      <c r="B15" s="31" t="str">
        <f>TEXT(IF(ABS(G15)&gt;=1E12,G15/1E12,IF(ABS(G15)&gt;=1E9,G15/1E9,IF(ABS(G15)&gt;=1E6,G15/1E6,IF(ABS(G15)&gt;=1E3,G15/1E3,G15)))),"#,##0.000")&amp;IF((IF(ABS(G15)&gt;=1E12,"TB",IF(ABS(G15)&gt;=1E9,"GB",IF(ABS(G15)&gt;=1E6,"MB",IF(ABS(G15)&gt;=1E3,"KB","bytes")))))="",""," "&amp;(IF(ABS(G15)&gt;=1E12,"TB",IF(ABS(G15)&gt;=1E9,"GB",IF(ABS(G15)&gt;=1E6,"MB",IF(ABS(G15)&gt;=1E3,"KB","bytes"))))))</f>
        <v>148.351 GB</v>
      </c>
      <c r="C15" s="31" t="str">
        <f>TEXT(IF(ABS(H15)&gt;=1E12,H15/1E12,IF(ABS(H15)&gt;=1E9,H15/1E9,IF(ABS(H15)&gt;=1E6,H15/1E6,IF(ABS(H15)&gt;=1E3,H15/1E3,H15)))),"#,##0.000")&amp;IF((IF(ABS(H15)&gt;=1E12,"TB",IF(ABS(H15)&gt;=1E9,"GB",IF(ABS(H15)&gt;=1E6,"MB",IF(ABS(H15)&gt;=1E3,"KB","bytes")))))="",""," "&amp;(IF(ABS(H15)&gt;=1E12,"TB",IF(ABS(H15)&gt;=1E9,"GB",IF(ABS(H15)&gt;=1E6,"MB",IF(ABS(H15)&gt;=1E3,"KB","bytes"))))))</f>
        <v>19.578 GB</v>
      </c>
      <c r="D15" s="31" t="str">
        <f>TEXT(IF(ABS(I15)&gt;=1E12,I15/1E12,IF(ABS(I15)&gt;=1E9,I15/1E9,IF(ABS(I15)&gt;=1E6,I15/1E6,IF(ABS(I15)&gt;=1E3,I15/1E3,I15)))),"#,##0.000")&amp;IF((IF(ABS(I15)&gt;=1E12,"TB",IF(ABS(I15)&gt;=1E9,"GB",IF(ABS(I15)&gt;=1E6,"MB",IF(ABS(I15)&gt;=1E3,"KB","bytes")))))="",""," "&amp;(IF(ABS(I15)&gt;=1E12,"TB",IF(ABS(I15)&gt;=1E9,"GB",IF(ABS(I15)&gt;=1E6,"MB",IF(ABS(I15)&gt;=1E3,"KB","bytes"))))))</f>
        <v>148.351 GB</v>
      </c>
      <c r="E15" s="31" t="str">
        <f>TEXT(IF(ABS(J15)&gt;=1E12,J15/1E12,IF(ABS(J15)&gt;=1E9,J15/1E9,IF(ABS(J15)&gt;=1E6,J15/1E6,IF(ABS(J15)&gt;=1E3,J15/1E3,J15)))),"#,##0.000")&amp;IF((IF(ABS(J15)&gt;=1E12,"TB",IF(ABS(J15)&gt;=1E9,"GB",IF(ABS(J15)&gt;=1E6,"MB",IF(ABS(J15)&gt;=1E3,"KB","bytes")))))="",""," "&amp;(IF(ABS(J15)&gt;=1E12,"TB",IF(ABS(J15)&gt;=1E9,"GB",IF(ABS(J15)&gt;=1E6,"MB",IF(ABS(J15)&gt;=1E3,"KB","bytes"))))))</f>
        <v>19.578 GB</v>
      </c>
      <c r="F15" s="4" t="s">
        <v>450</v>
      </c>
      <c r="G15" s="30">
        <f>'Prefill_8K'!$BA$50</f>
        <v>148351461888.0</v>
      </c>
      <c r="H15" s="30">
        <f>'Prefill_8K'!$BB$50</f>
        <v>19577940480.0</v>
      </c>
      <c r="I15" s="30">
        <f>'Prefill_8K'!$BA$50</f>
        <v>148351461888.0</v>
      </c>
      <c r="J15" s="30">
        <f>'Prefill_8K'!$BB$50</f>
        <v>19577940480.0</v>
      </c>
    </row>
    <row r="16" spans="1:10">
      <c r="A16" s="4" t="s">
        <v>451</v>
      </c>
      <c r="B16" s="31" t="str">
        <f>TEXT(IF(ABS(G16)&gt;=1E12,G16/1E12,IF(ABS(G16)&gt;=1E9,G16/1E9,IF(ABS(G16)&gt;=1E6,G16/1E6,IF(ABS(G16)&gt;=1E3,G16/1E3,G16)))),"#,##0.000")&amp;IF((IF(ABS(G16)&gt;=1E12,"TB",IF(ABS(G16)&gt;=1E9,"GB",IF(ABS(G16)&gt;=1E6,"MB",IF(ABS(G16)&gt;=1E3,"KB","bytes")))))="",""," "&amp;(IF(ABS(G16)&gt;=1E12,"TB",IF(ABS(G16)&gt;=1E9,"GB",IF(ABS(G16)&gt;=1E6,"MB",IF(ABS(G16)&gt;=1E3,"KB","bytes"))))))</f>
        <v>3.314 GB</v>
      </c>
      <c r="C16" s="31" t="str">
        <f>TEXT(IF(ABS(H16)&gt;=1E12,H16/1E12,IF(ABS(H16)&gt;=1E9,H16/1E9,IF(ABS(H16)&gt;=1E6,H16/1E6,IF(ABS(H16)&gt;=1E3,H16/1E3,H16)))),"#,##0.000")&amp;IF((IF(ABS(H16)&gt;=1E12,"TB",IF(ABS(H16)&gt;=1E9,"GB",IF(ABS(H16)&gt;=1E6,"MB",IF(ABS(H16)&gt;=1E3,"KB","bytes")))))="",""," "&amp;(IF(ABS(H16)&gt;=1E12,"TB",IF(ABS(H16)&gt;=1E9,"GB",IF(ABS(H16)&gt;=1E6,"MB",IF(ABS(H16)&gt;=1E3,"KB","bytes"))))))</f>
        <v>534.377 MB</v>
      </c>
      <c r="D16" s="31" t="str">
        <f>TEXT(IF(ABS(I16)&gt;=1E12,I16/1E12,IF(ABS(I16)&gt;=1E9,I16/1E9,IF(ABS(I16)&gt;=1E6,I16/1E6,IF(ABS(I16)&gt;=1E3,I16/1E3,I16)))),"#,##0.000")&amp;IF((IF(ABS(I16)&gt;=1E12,"TB",IF(ABS(I16)&gt;=1E9,"GB",IF(ABS(I16)&gt;=1E6,"MB",IF(ABS(I16)&gt;=1E3,"KB","bytes")))))="",""," "&amp;(IF(ABS(I16)&gt;=1E12,"TB",IF(ABS(I16)&gt;=1E9,"GB",IF(ABS(I16)&gt;=1E6,"MB",IF(ABS(I16)&gt;=1E3,"KB","bytes"))))))</f>
        <v>3.314 GB</v>
      </c>
      <c r="E16" s="31" t="str">
        <f>TEXT(IF(ABS(J16)&gt;=1E12,J16/1E12,IF(ABS(J16)&gt;=1E9,J16/1E9,IF(ABS(J16)&gt;=1E6,J16/1E6,IF(ABS(J16)&gt;=1E3,J16/1E3,J16)))),"#,##0.000")&amp;IF((IF(ABS(J16)&gt;=1E12,"TB",IF(ABS(J16)&gt;=1E9,"GB",IF(ABS(J16)&gt;=1E6,"MB",IF(ABS(J16)&gt;=1E3,"KB","bytes")))))="",""," "&amp;(IF(ABS(J16)&gt;=1E12,"TB",IF(ABS(J16)&gt;=1E9,"GB",IF(ABS(J16)&gt;=1E6,"MB",IF(ABS(J16)&gt;=1E3,"KB","bytes"))))))</f>
        <v>534.377 MB</v>
      </c>
      <c r="F16" s="4" t="s">
        <v>444</v>
      </c>
      <c r="G16" s="30">
        <f>'Prefill_8K'!$BA$51</f>
        <v>3314423644.0</v>
      </c>
      <c r="H16" s="30">
        <f>'Prefill_8K'!$BB$51</f>
        <v>534376892.0</v>
      </c>
      <c r="I16" s="30">
        <f>'Prefill_8K'!$BA$51</f>
        <v>3314423644.0</v>
      </c>
      <c r="J16" s="30">
        <f>'Prefill_8K'!$BB$51</f>
        <v>534376892.0</v>
      </c>
    </row>
    <row r="17" spans="1:20">
      <c r="A17" s="29" t="s">
        <v>452</v>
      </c>
      <c r="B17" s="29" t="str">
        <f>TEXT(IF(ABS(G17)&gt;=1E12,G17/1E12,IF(ABS(G17)&gt;=1E9,G17/1E9,IF(ABS(G17)&gt;=1E6,G17/1E6,IF(ABS(G17)&gt;=1E3,G17/1E3,G17)))),"#,##0.000")&amp;IF((IF(ABS(G17)&gt;=1E12,"TB",IF(ABS(G17)&gt;=1E9,"GB",IF(ABS(G17)&gt;=1E6,"MB",IF(ABS(G17)&gt;=1E3,"KB","bytes")))))="",""," "&amp;(IF(ABS(G17)&gt;=1E12,"TB",IF(ABS(G17)&gt;=1E9,"GB",IF(ABS(G17)&gt;=1E6,"MB",IF(ABS(G17)&gt;=1E3,"KB","bytes"))))))</f>
        <v>159.117 GB</v>
      </c>
      <c r="C17" s="29" t="str">
        <f>TEXT(IF(ABS(H17)&gt;=1E12,H17/1E12,IF(ABS(H17)&gt;=1E9,H17/1E9,IF(ABS(H17)&gt;=1E6,H17/1E6,IF(ABS(H17)&gt;=1E3,H17/1E3,H17)))),"#,##0.000")&amp;IF((IF(ABS(H17)&gt;=1E12,"TB",IF(ABS(H17)&gt;=1E9,"GB",IF(ABS(H17)&gt;=1E6,"MB",IF(ABS(H17)&gt;=1E3,"KB","bytes")))))="",""," "&amp;(IF(ABS(H17)&gt;=1E12,"TB",IF(ABS(H17)&gt;=1E9,"GB",IF(ABS(H17)&gt;=1E6,"MB",IF(ABS(H17)&gt;=1E3,"KB","bytes"))))))</f>
        <v>22.350 GB</v>
      </c>
      <c r="D17" s="29" t="str">
        <f>TEXT(IF(ABS(I17)&gt;=1E12,I17/1E12,IF(ABS(I17)&gt;=1E9,I17/1E9,IF(ABS(I17)&gt;=1E6,I17/1E6,IF(ABS(I17)&gt;=1E3,I17/1E3,I17)))),"#,##0.000")&amp;IF((IF(ABS(I17)&gt;=1E12,"TB",IF(ABS(I17)&gt;=1E9,"GB",IF(ABS(I17)&gt;=1E6,"MB",IF(ABS(I17)&gt;=1E3,"KB","bytes")))))="",""," "&amp;(IF(ABS(I17)&gt;=1E12,"TB",IF(ABS(I17)&gt;=1E9,"GB",IF(ABS(I17)&gt;=1E6,"MB",IF(ABS(I17)&gt;=1E3,"KB","bytes"))))))</f>
        <v>159.117 GB</v>
      </c>
      <c r="E17" s="29" t="str">
        <f>TEXT(IF(ABS(J17)&gt;=1E12,J17/1E12,IF(ABS(J17)&gt;=1E9,J17/1E9,IF(ABS(J17)&gt;=1E6,J17/1E6,IF(ABS(J17)&gt;=1E3,J17/1E3,J17)))),"#,##0.000")&amp;IF((IF(ABS(J17)&gt;=1E12,"TB",IF(ABS(J17)&gt;=1E9,"GB",IF(ABS(J17)&gt;=1E6,"MB",IF(ABS(J17)&gt;=1E3,"KB","bytes")))))="",""," "&amp;(IF(ABS(J17)&gt;=1E12,"TB",IF(ABS(J17)&gt;=1E9,"GB",IF(ABS(J17)&gt;=1E6,"MB",IF(ABS(J17)&gt;=1E3,"KB","bytes"))))))</f>
        <v>22.350 GB</v>
      </c>
      <c r="F17" s="4" t="s">
        <v>453</v>
      </c>
      <c r="G17" s="30">
        <f>'Prefill_8K'!$BA$52</f>
        <v>159117270492.0</v>
      </c>
      <c r="H17" s="30">
        <f>'Prefill_8K'!$BB$52</f>
        <v>22349822332.0</v>
      </c>
      <c r="I17" s="30">
        <f>'Prefill_8K'!$BA$52</f>
        <v>159117270492.0</v>
      </c>
      <c r="J17" s="30">
        <f>'Prefill_8K'!$BB$52</f>
        <v>22349822332.0</v>
      </c>
    </row>
    <row r="18" spans="1:20">
      <c r="A18" s="4" t="s">
        <v>454</v>
      </c>
      <c r="B18" s="31" t="str">
        <f>TEXT(IF(ABS(G18)&gt;=1E12,G18/1E12,IF(ABS(G18)&gt;=1E9,G18/1E9,IF(ABS(G18)&gt;=1E6,G18/1E6,IF(ABS(G18)&gt;=1E3,G18/1E3,G18)))),"#,##0.000")&amp;IF((IF(ABS(G18)&gt;=1E12,"TB",IF(ABS(G18)&gt;=1E9,"GB",IF(ABS(G18)&gt;=1E6,"MB",IF(ABS(G18)&gt;=1E3,"KB","bytes")))))="",""," "&amp;(IF(ABS(G18)&gt;=1E12,"TB",IF(ABS(G18)&gt;=1E9,"GB",IF(ABS(G18)&gt;=1E6,"MB",IF(ABS(G18)&gt;=1E3,"KB","bytes"))))))</f>
        <v>50.987 MB</v>
      </c>
      <c r="C18" s="31" t="str">
        <f>TEXT(IF(ABS(H18)&gt;=1E12,H18/1E12,IF(ABS(H18)&gt;=1E9,H18/1E9,IF(ABS(H18)&gt;=1E6,H18/1E6,IF(ABS(H18)&gt;=1E3,H18/1E3,H18)))),"#,##0.000")&amp;IF((IF(ABS(H18)&gt;=1E12,"TB",IF(ABS(H18)&gt;=1E9,"GB",IF(ABS(H18)&gt;=1E6,"MB",IF(ABS(H18)&gt;=1E3,"KB","bytes")))))="",""," "&amp;(IF(ABS(H18)&gt;=1E12,"TB",IF(ABS(H18)&gt;=1E9,"GB",IF(ABS(H18)&gt;=1E6,"MB",IF(ABS(H18)&gt;=1E3,"KB","bytes"))))))</f>
        <v>50.987 MB</v>
      </c>
      <c r="D18" s="31" t="str">
        <f>TEXT(IF(ABS(I18)&gt;=1E12,I18/1E12,IF(ABS(I18)&gt;=1E9,I18/1E9,IF(ABS(I18)&gt;=1E6,I18/1E6,IF(ABS(I18)&gt;=1E3,I18/1E3,I18)))),"#,##0.000")&amp;IF((IF(ABS(I18)&gt;=1E12,"TB",IF(ABS(I18)&gt;=1E9,"GB",IF(ABS(I18)&gt;=1E6,"MB",IF(ABS(I18)&gt;=1E3,"KB","bytes")))))="",""," "&amp;(IF(ABS(I18)&gt;=1E12,"TB",IF(ABS(I18)&gt;=1E9,"GB",IF(ABS(I18)&gt;=1E6,"MB",IF(ABS(I18)&gt;=1E3,"KB","bytes"))))))</f>
        <v>5.811 GB</v>
      </c>
      <c r="E18" s="31" t="str">
        <f>TEXT(IF(ABS(J18)&gt;=1E12,J18/1E12,IF(ABS(J18)&gt;=1E9,J18/1E9,IF(ABS(J18)&gt;=1E6,J18/1E6,IF(ABS(J18)&gt;=1E3,J18/1E3,J18)))),"#,##0.000")&amp;IF((IF(ABS(J18)&gt;=1E12,"TB",IF(ABS(J18)&gt;=1E9,"GB",IF(ABS(J18)&gt;=1E6,"MB",IF(ABS(J18)&gt;=1E3,"KB","bytes")))))="",""," "&amp;(IF(ABS(J18)&gt;=1E12,"TB",IF(ABS(J18)&gt;=1E9,"GB",IF(ABS(J18)&gt;=1E6,"MB",IF(ABS(J18)&gt;=1E3,"KB","bytes"))))))</f>
        <v>5.811 GB</v>
      </c>
      <c r="F18" s="4" t="s">
        <v>455</v>
      </c>
      <c r="G18" s="30">
        <f>'Prefill_8K'!$U$35</f>
        <v>50987008</v>
      </c>
      <c r="H18" s="30">
        <f>'Prefill_8K'!$X$35</f>
        <v>50987008</v>
      </c>
      <c r="I18" s="30">
        <f>'Decode_1M'!$U$35</f>
        <v>5810552832</v>
      </c>
      <c r="J18" s="30">
        <f>'Decode_1M'!$X$35</f>
        <v>5810552832</v>
      </c>
    </row>
    <row r="19" spans="1:20">
      <c r="A19" s="4" t="s">
        <v>456</v>
      </c>
      <c r="B19" s="31" t="str">
        <f>TEXT(IF(ABS(G19)&gt;=1E12,G19/1E12,IF(ABS(G19)&gt;=1E9,G19/1E9,IF(ABS(G19)&gt;=1E6,G19/1E6,IF(ABS(G19)&gt;=1E3,G19/1E3,G19)))),"#,##0.000")&amp;IF((IF(ABS(G19)&gt;=1E12,"TB",IF(ABS(G19)&gt;=1E9,"GB",IF(ABS(G19)&gt;=1E6,"MB",IF(ABS(G19)&gt;=1E3,"KB","bytes")))))="",""," "&amp;(IF(ABS(G19)&gt;=1E12,"TB",IF(ABS(G19)&gt;=1E9,"GB",IF(ABS(G19)&gt;=1E6,"MB",IF(ABS(G19)&gt;=1E3,"KB","bytes"))))))</f>
        <v>11.010 MB</v>
      </c>
      <c r="C19" s="31" t="str">
        <f>TEXT(IF(ABS(H19)&gt;=1E12,H19/1E12,IF(ABS(H19)&gt;=1E9,H19/1E9,IF(ABS(H19)&gt;=1E6,H19/1E6,IF(ABS(H19)&gt;=1E3,H19/1E3,H19)))),"#,##0.000")&amp;IF((IF(ABS(H19)&gt;=1E12,"TB",IF(ABS(H19)&gt;=1E9,"GB",IF(ABS(H19)&gt;=1E6,"MB",IF(ABS(H19)&gt;=1E3,"KB","bytes")))))="",""," "&amp;(IF(ABS(H19)&gt;=1E12,"TB",IF(ABS(H19)&gt;=1E9,"GB",IF(ABS(H19)&gt;=1E6,"MB",IF(ABS(H19)&gt;=1E3,"KB","bytes"))))))</f>
        <v>11.010 MB</v>
      </c>
      <c r="D19" s="31" t="str">
        <f>TEXT(IF(ABS(I19)&gt;=1E12,I19/1E12,IF(ABS(I19)&gt;=1E9,I19/1E9,IF(ABS(I19)&gt;=1E6,I19/1E6,IF(ABS(I19)&gt;=1E3,I19/1E3,I19)))),"#,##0.000")&amp;IF((IF(ABS(I19)&gt;=1E12,"TB",IF(ABS(I19)&gt;=1E9,"GB",IF(ABS(I19)&gt;=1E6,"MB",IF(ABS(I19)&gt;=1E3,"KB","bytes")))))="",""," "&amp;(IF(ABS(I19)&gt;=1E12,"TB",IF(ABS(I19)&gt;=1E9,"GB",IF(ABS(I19)&gt;=1E6,"MB",IF(ABS(I19)&gt;=1E3,"KB","bytes"))))))</f>
        <v>1.409 GB</v>
      </c>
      <c r="E19" s="31" t="str">
        <f>TEXT(IF(ABS(J19)&gt;=1E12,J19/1E12,IF(ABS(J19)&gt;=1E9,J19/1E9,IF(ABS(J19)&gt;=1E6,J19/1E6,IF(ABS(J19)&gt;=1E3,J19/1E3,J19)))),"#,##0.000")&amp;IF((IF(ABS(J19)&gt;=1E12,"TB",IF(ABS(J19)&gt;=1E9,"GB",IF(ABS(J19)&gt;=1E6,"MB",IF(ABS(J19)&gt;=1E3,"KB","bytes")))))="",""," "&amp;(IF(ABS(J19)&gt;=1E12,"TB",IF(ABS(J19)&gt;=1E9,"GB",IF(ABS(J19)&gt;=1E6,"MB",IF(ABS(J19)&gt;=1E3,"KB","bytes"))))))</f>
        <v>1.409 GB</v>
      </c>
      <c r="F19" s="4" t="s">
        <v>455</v>
      </c>
      <c r="G19" s="30">
        <f>'Prefill_8K'!$U$36</f>
        <v>11010048</v>
      </c>
      <c r="H19" s="30">
        <f>'Prefill_8K'!$X$36</f>
        <v>11010048</v>
      </c>
      <c r="I19" s="30">
        <f>'Decode_1M'!$U$36</f>
        <v>1409286144</v>
      </c>
      <c r="J19" s="30">
        <f>'Decode_1M'!$X$36</f>
        <v>1409286144</v>
      </c>
    </row>
    <row r="20" spans="1:20">
      <c r="A20" s="4" t="s">
        <v>457</v>
      </c>
      <c r="B20" s="31" t="str">
        <f>TEXT(IF(ABS(G20)&gt;=1E12,G20/1E12,IF(ABS(G20)&gt;=1E9,G20/1E9,IF(ABS(G20)&gt;=1E6,G20/1E6,IF(ABS(G20)&gt;=1E3,G20/1E3,G20)))),"#,##0.000")&amp;IF((IF(ABS(G20)&gt;=1E12,"TB",IF(ABS(G20)&gt;=1E9,"GB",IF(ABS(G20)&gt;=1E6,"MB",IF(ABS(G20)&gt;=1E3,"KB","bytes")))))="",""," "&amp;(IF(ABS(G20)&gt;=1E12,"TB",IF(ABS(G20)&gt;=1E9,"GB",IF(ABS(G20)&gt;=1E6,"MB",IF(ABS(G20)&gt;=1E3,"KB","bytes"))))))</f>
        <v>12.206 MB</v>
      </c>
      <c r="C20" s="31" t="str">
        <f>TEXT(IF(ABS(H20)&gt;=1E12,H20/1E12,IF(ABS(H20)&gt;=1E9,H20/1E9,IF(ABS(H20)&gt;=1E6,H20/1E6,IF(ABS(H20)&gt;=1E3,H20/1E3,H20)))),"#,##0.000")&amp;IF((IF(ABS(H20)&gt;=1E12,"TB",IF(ABS(H20)&gt;=1E9,"GB",IF(ABS(H20)&gt;=1E6,"MB",IF(ABS(H20)&gt;=1E3,"KB","bytes")))))="",""," "&amp;(IF(ABS(H20)&gt;=1E12,"TB",IF(ABS(H20)&gt;=1E9,"GB",IF(ABS(H20)&gt;=1E6,"MB",IF(ABS(H20)&gt;=1E3,"KB","bytes"))))))</f>
        <v>12.206 MB</v>
      </c>
      <c r="D20" s="31" t="str">
        <f>TEXT(IF(ABS(I20)&gt;=1E12,I20/1E12,IF(ABS(I20)&gt;=1E9,I20/1E9,IF(ABS(I20)&gt;=1E6,I20/1E6,IF(ABS(I20)&gt;=1E3,I20/1E3,I20)))),"#,##0.000")&amp;IF((IF(ABS(I20)&gt;=1E12,"TB",IF(ABS(I20)&gt;=1E9,"GB",IF(ABS(I20)&gt;=1E6,"MB",IF(ABS(I20)&gt;=1E3,"KB","bytes")))))="",""," "&amp;(IF(ABS(I20)&gt;=1E12,"TB",IF(ABS(I20)&gt;=1E9,"GB",IF(ABS(I20)&gt;=1E6,"MB",IF(ABS(I20)&gt;=1E3,"KB","bytes"))))))</f>
        <v>12.206 MB</v>
      </c>
      <c r="E20" s="31" t="str">
        <f>TEXT(IF(ABS(J20)&gt;=1E12,J20/1E12,IF(ABS(J20)&gt;=1E9,J20/1E9,IF(ABS(J20)&gt;=1E6,J20/1E6,IF(ABS(J20)&gt;=1E3,J20/1E3,J20)))),"#,##0.000")&amp;IF((IF(ABS(J20)&gt;=1E12,"TB",IF(ABS(J20)&gt;=1E9,"GB",IF(ABS(J20)&gt;=1E6,"MB",IF(ABS(J20)&gt;=1E3,"KB","bytes")))))="",""," "&amp;(IF(ABS(J20)&gt;=1E12,"TB",IF(ABS(J20)&gt;=1E9,"GB",IF(ABS(J20)&gt;=1E6,"MB",IF(ABS(J20)&gt;=1E3,"KB","bytes"))))))</f>
        <v>12.206 MB</v>
      </c>
      <c r="F20" s="4" t="s">
        <v>455</v>
      </c>
      <c r="G20" s="30">
        <f>'Prefill_8K'!$U$37</f>
        <v>12206080</v>
      </c>
      <c r="H20" s="30">
        <f>'Prefill_8K'!$X$37</f>
        <v>12206080</v>
      </c>
      <c r="I20" s="30">
        <f>'Decode_1M'!$U$37</f>
        <v>12206080</v>
      </c>
      <c r="J20" s="30">
        <f>'Decode_1M'!$X$37</f>
        <v>12206080</v>
      </c>
    </row>
    <row r="21" spans="1:20">
      <c r="A21" s="4" t="s">
        <v>458</v>
      </c>
      <c r="B21" s="31" t="str">
        <f>TEXT(IF(ABS(G21)&gt;=1E12,G21/1E12,IF(ABS(G21)&gt;=1E9,G21/1E9,IF(ABS(G21)&gt;=1E6,G21/1E6,IF(ABS(G21)&gt;=1E3,G21/1E3,G21)))),"#,##0.000")&amp;IF((IF(ABS(G21)&gt;=1E12,"TB",IF(ABS(G21)&gt;=1E9,"GB",IF(ABS(G21)&gt;=1E6,"MB",IF(ABS(G21)&gt;=1E3,"KB","bytes")))))="",""," "&amp;(IF(ABS(G21)&gt;=1E12,"TB",IF(ABS(G21)&gt;=1E9,"GB",IF(ABS(G21)&gt;=1E6,"MB",IF(ABS(G21)&gt;=1E3,"KB","bytes"))))))</f>
        <v>7.232 GB</v>
      </c>
      <c r="C21" s="31" t="str">
        <f>TEXT(IF(ABS(H21)&gt;=1E12,H21/1E12,IF(ABS(H21)&gt;=1E9,H21/1E9,IF(ABS(H21)&gt;=1E6,H21/1E6,IF(ABS(H21)&gt;=1E3,H21/1E3,H21)))),"#,##0.000")&amp;IF((IF(ABS(H21)&gt;=1E12,"TB",IF(ABS(H21)&gt;=1E9,"GB",IF(ABS(H21)&gt;=1E6,"MB",IF(ABS(H21)&gt;=1E3,"KB","bytes")))))="",""," "&amp;(IF(ABS(H21)&gt;=1E12,"TB",IF(ABS(H21)&gt;=1E9,"GB",IF(ABS(H21)&gt;=1E6,"MB",IF(ABS(H21)&gt;=1E3,"KB","bytes"))))))</f>
        <v>7.232 GB</v>
      </c>
      <c r="D21" s="31" t="str">
        <f>TEXT(IF(ABS(I21)&gt;=1E12,I21/1E12,IF(ABS(I21)&gt;=1E9,I21/1E9,IF(ABS(I21)&gt;=1E6,I21/1E6,IF(ABS(I21)&gt;=1E3,I21/1E3,I21)))),"#,##0.000")&amp;IF((IF(ABS(I21)&gt;=1E12,"TB",IF(ABS(I21)&gt;=1E9,"GB",IF(ABS(I21)&gt;=1E6,"MB",IF(ABS(I21)&gt;=1E3,"KB","bytes")))))="",""," "&amp;(IF(ABS(I21)&gt;=1E12,"TB",IF(ABS(I21)&gt;=1E9,"GB",IF(ABS(I21)&gt;=1E6,"MB",IF(ABS(I21)&gt;=1E3,"KB","bytes"))))))</f>
        <v>7.232 GB</v>
      </c>
      <c r="E21" s="31" t="str">
        <f>TEXT(IF(ABS(J21)&gt;=1E12,J21/1E12,IF(ABS(J21)&gt;=1E9,J21/1E9,IF(ABS(J21)&gt;=1E6,J21/1E6,IF(ABS(J21)&gt;=1E3,J21/1E3,J21)))),"#,##0.000")&amp;IF((IF(ABS(J21)&gt;=1E12,"TB",IF(ABS(J21)&gt;=1E9,"GB",IF(ABS(J21)&gt;=1E6,"MB",IF(ABS(J21)&gt;=1E3,"KB","bytes")))))="",""," "&amp;(IF(ABS(J21)&gt;=1E12,"TB",IF(ABS(J21)&gt;=1E9,"GB",IF(ABS(J21)&gt;=1E6,"MB",IF(ABS(J21)&gt;=1E3,"KB","bytes"))))))</f>
        <v>7.232 GB</v>
      </c>
      <c r="F21" s="4" t="s">
        <v>455</v>
      </c>
      <c r="G21" s="30">
        <f>'Prefill_8K'!$U$38</f>
        <v>7232045056</v>
      </c>
      <c r="H21" s="30">
        <f>'Prefill_8K'!$X$38</f>
        <v>7232045056</v>
      </c>
      <c r="I21" s="30">
        <f>'Decode_1M'!$U$38</f>
        <v>7232045056</v>
      </c>
      <c r="J21" s="30">
        <f>'Decode_1M'!$X$38</f>
        <v>7232045056</v>
      </c>
    </row>
    <row r="22" spans="1:20">
      <c r="A22" s="29" t="s">
        <v>459</v>
      </c>
      <c r="B22" s="29" t="str">
        <f>TEXT(IF(ABS(G22)&gt;=1E12,G22/1E12,IF(ABS(G22)&gt;=1E9,G22/1E9,IF(ABS(G22)&gt;=1E6,G22/1E6,IF(ABS(G22)&gt;=1E3,G22/1E3,G22)))),"#,##0.000")&amp;IF((IF(ABS(G22)&gt;=1E12,"TB",IF(ABS(G22)&gt;=1E9,"GB",IF(ABS(G22)&gt;=1E6,"MB",IF(ABS(G22)&gt;=1E3,"KB","bytes")))))="",""," "&amp;(IF(ABS(G22)&gt;=1E12,"TB",IF(ABS(G22)&gt;=1E9,"GB",IF(ABS(G22)&gt;=1E6,"MB",IF(ABS(G22)&gt;=1E3,"KB","bytes"))))))</f>
        <v>166.349 GB</v>
      </c>
      <c r="C22" s="29" t="str">
        <f>TEXT(IF(ABS(H22)&gt;=1E12,H22/1E12,IF(ABS(H22)&gt;=1E9,H22/1E9,IF(ABS(H22)&gt;=1E6,H22/1E6,IF(ABS(H22)&gt;=1E3,H22/1E3,H22)))),"#,##0.000")&amp;IF((IF(ABS(H22)&gt;=1E12,"TB",IF(ABS(H22)&gt;=1E9,"GB",IF(ABS(H22)&gt;=1E6,"MB",IF(ABS(H22)&gt;=1E3,"KB","bytes")))))="",""," "&amp;(IF(ABS(H22)&gt;=1E12,"TB",IF(ABS(H22)&gt;=1E9,"GB",IF(ABS(H22)&gt;=1E6,"MB",IF(ABS(H22)&gt;=1E3,"KB","bytes"))))))</f>
        <v>29.582 GB</v>
      </c>
      <c r="D22" s="29" t="str">
        <f>TEXT(IF(ABS(I22)&gt;=1E12,I22/1E12,IF(ABS(I22)&gt;=1E9,I22/1E9,IF(ABS(I22)&gt;=1E6,I22/1E6,IF(ABS(I22)&gt;=1E3,I22/1E3,I22)))),"#,##0.000")&amp;IF((IF(ABS(I22)&gt;=1E12,"TB",IF(ABS(I22)&gt;=1E9,"GB",IF(ABS(I22)&gt;=1E6,"MB",IF(ABS(I22)&gt;=1E3,"KB","bytes")))))="",""," "&amp;(IF(ABS(I22)&gt;=1E12,"TB",IF(ABS(I22)&gt;=1E9,"GB",IF(ABS(I22)&gt;=1E6,"MB",IF(ABS(I22)&gt;=1E3,"KB","bytes"))))))</f>
        <v>166.349 GB</v>
      </c>
      <c r="E22" s="29" t="str">
        <f>TEXT(IF(ABS(J22)&gt;=1E12,J22/1E12,IF(ABS(J22)&gt;=1E9,J22/1E9,IF(ABS(J22)&gt;=1E6,J22/1E6,IF(ABS(J22)&gt;=1E3,J22/1E3,J22)))),"#,##0.000")&amp;IF((IF(ABS(J22)&gt;=1E12,"TB",IF(ABS(J22)&gt;=1E9,"GB",IF(ABS(J22)&gt;=1E6,"MB",IF(ABS(J22)&gt;=1E3,"KB","bytes")))))="",""," "&amp;(IF(ABS(J22)&gt;=1E12,"TB",IF(ABS(J22)&gt;=1E9,"GB",IF(ABS(J22)&gt;=1E6,"MB",IF(ABS(J22)&gt;=1E3,"KB","bytes"))))))</f>
        <v>29.582 GB</v>
      </c>
      <c r="F22" s="4" t="s">
        <v>460</v>
      </c>
      <c r="G22" s="30">
        <f>'Prefill_8K'!$BA$52+'Prefill_8K'!$U$38</f>
        <v>166349315548.0</v>
      </c>
      <c r="H22" s="30">
        <f>'Prefill_8K'!$BB$52+'Prefill_8K'!$X$38</f>
        <v>29581867388.0</v>
      </c>
      <c r="I22" s="30">
        <f>'Prefill_8K'!$BA$52+'Decode_1M'!$U$38</f>
        <v>166349315548.0</v>
      </c>
      <c r="J22" s="30">
        <f>'Prefill_8K'!$BB$52+'Decode_1M'!$X$38</f>
        <v>29581867388.0</v>
      </c>
    </row>
    <row r="23" spans="1:20">
      <c r="A23" s="29" t="s">
        <v>461</v>
      </c>
      <c r="B23" s="29" t="str">
        <f>TEXT(IF(ABS(G23)&gt;=1E15,G23/1E15,IF(ABS(G23)&gt;=1E12,G23/1E12,IF(ABS(G23)&gt;=1E9,G23/1E9,IF(ABS(G23)&gt;=1E6,G23/1E6,G23)))),"#,##0.000")&amp;IF((IF(ABS(G23)&gt;=1E15,"PFLOPs",IF(ABS(G23)&gt;=1E12,"TFLOPs",IF(ABS(G23)&gt;=1E9,"GFLOPs",IF(ABS(G23)&gt;=1E6,"MFLOPs","flops")))))="",""," "&amp;(IF(ABS(G23)&gt;=1E15,"PFLOPs",IF(ABS(G23)&gt;=1E12,"TFLOPs",IF(ABS(G23)&gt;=1E9,"GFLOPs",IF(ABS(G23)&gt;=1E6,"MFLOPs","flops"))))))</f>
        <v>228.398 TFLOPs</v>
      </c>
      <c r="C23" s="29" t="str">
        <f>TEXT(IF(ABS(H23)&gt;=1E15,H23/1E15,IF(ABS(H23)&gt;=1E12,H23/1E12,IF(ABS(H23)&gt;=1E9,H23/1E9,IF(ABS(H23)&gt;=1E6,H23/1E6,H23)))),"#,##0.000")&amp;IF((IF(ABS(H23)&gt;=1E15,"PFLOPs",IF(ABS(H23)&gt;=1E12,"TFLOPs",IF(ABS(H23)&gt;=1E9,"GFLOPs",IF(ABS(H23)&gt;=1E6,"MFLOPs","flops")))))="",""," "&amp;(IF(ABS(H23)&gt;=1E15,"PFLOPs",IF(ABS(H23)&gt;=1E12,"TFLOPs",IF(ABS(H23)&gt;=1E9,"GFLOPs",IF(ABS(H23)&gt;=1E6,"MFLOPs","flops"))))))</f>
        <v>55.653 TFLOPs</v>
      </c>
      <c r="D23" s="29" t="str">
        <f>TEXT(IF(ABS(I23)&gt;=1E15,I23/1E15,IF(ABS(I23)&gt;=1E12,I23/1E12,IF(ABS(I23)&gt;=1E9,I23/1E9,IF(ABS(I23)&gt;=1E6,I23/1E6,I23)))),"#,##0.000")&amp;IF((IF(ABS(I23)&gt;=1E15,"PFLOPs",IF(ABS(I23)&gt;=1E12,"TFLOPs",IF(ABS(I23)&gt;=1E9,"GFLOPs",IF(ABS(I23)&gt;=1E6,"MFLOPs","flops")))))="",""," "&amp;(IF(ABS(I23)&gt;=1E15,"PFLOPs",IF(ABS(I23)&gt;=1E12,"TFLOPs",IF(ABS(I23)&gt;=1E9,"GFLOPs",IF(ABS(I23)&gt;=1E6,"MFLOPs","flops"))))))</f>
        <v>140.356 GFLOPs</v>
      </c>
      <c r="E23" s="29" t="str">
        <f>TEXT(IF(ABS(J23)&gt;=1E15,J23/1E15,IF(ABS(J23)&gt;=1E12,J23/1E12,IF(ABS(J23)&gt;=1E9,J23/1E9,IF(ABS(J23)&gt;=1E6,J23/1E6,J23)))),"#,##0.000")&amp;IF((IF(ABS(J23)&gt;=1E15,"PFLOPs",IF(ABS(J23)&gt;=1E12,"TFLOPs",IF(ABS(J23)&gt;=1E9,"GFLOPs",IF(ABS(J23)&gt;=1E6,"MFLOPs","flops")))))="",""," "&amp;(IF(ABS(J23)&gt;=1E15,"PFLOPs",IF(ABS(J23)&gt;=1E12,"TFLOPs",IF(ABS(J23)&gt;=1E9,"GFLOPs",IF(ABS(J23)&gt;=1E6,"MFLOPs","flops"))))))</f>
        <v>23.550 GFLOPs</v>
      </c>
      <c r="F23" s="4" t="s">
        <v>462</v>
      </c>
      <c r="G23" s="30">
        <f>'Prefill_8K'!$AF$13</f>
        <v>228397682114560.0</v>
      </c>
      <c r="H23" s="30">
        <f>'Prefill_8K'!$AI$13</f>
        <v>55652568907776.0</v>
      </c>
      <c r="I23" s="30">
        <f>'Decode_1M'!$AF$13</f>
        <v>140355752110.0</v>
      </c>
      <c r="J23" s="30">
        <f>'Decode_1M'!$AI$13</f>
        <v>23549694126.0</v>
      </c>
    </row>
    <row r="26" spans="1:20">
      <c r="K26" s="28" t="s">
        <v>459</v>
      </c>
      <c r="L26" s="28"/>
      <c r="M26" s="28"/>
      <c r="N26" s="28"/>
      <c r="S26" s="3" t="s">
        <v>2</v>
      </c>
      <c r="T26" s="3" t="s">
        <v>471</v>
      </c>
    </row>
    <row r="27" spans="1:20">
      <c r="K27" t="s">
        <v>463</v>
      </c>
      <c r="L27" t="s">
        <v>464</v>
      </c>
      <c r="M27" t="s">
        <v>465</v>
      </c>
      <c r="N27" t="s">
        <v>466</v>
      </c>
      <c r="S27" s="4" t="s">
        <v>428</v>
      </c>
      <c r="T27" s="30">
        <f>G23/1e+12</f>
        <v>228.39768211456</v>
      </c>
    </row>
    <row r="28" spans="1:20">
      <c r="K28" s="4" t="s">
        <v>467</v>
      </c>
      <c r="L28" s="31" t="str">
        <f>TEXT(IF(ABS(O28)&gt;=1E12,O28/1E12,IF(ABS(O28)&gt;=1E9,O28/1E9,IF(ABS(O28)&gt;=1E6,O28/1E6,IF(ABS(O28)&gt;=1E3,O28/1E3,O28)))),"#,##0.000")&amp;IF((IF(ABS(O28)&gt;=1E12,"TB",IF(ABS(O28)&gt;=1E9,"GB",IF(ABS(O28)&gt;=1E6,"MB",IF(ABS(O28)&gt;=1E3,"KB","bytes")))))="",""," "&amp;(IF(ABS(O28)&gt;=1E12,"TB",IF(ABS(O28)&gt;=1E9,"GB",IF(ABS(O28)&gt;=1E6,"MB",IF(ABS(O28)&gt;=1E3,"KB","bytes"))))))</f>
        <v>166.349 GB</v>
      </c>
      <c r="M28" s="31" t="str">
        <f>TEXT(IF(ABS(P28)&gt;=1E12,P28/1E12,IF(ABS(P28)&gt;=1E9,P28/1E9,IF(ABS(P28)&gt;=1E6,P28/1E6,IF(ABS(P28)&gt;=1E3,P28/1E3,P28)))),"#,##0.000")&amp;IF((IF(ABS(P28)&gt;=1E12,"TB",IF(ABS(P28)&gt;=1E9,"GB",IF(ABS(P28)&gt;=1E6,"MB",IF(ABS(P28)&gt;=1E3,"KB","bytes")))))="",""," "&amp;(IF(ABS(P28)&gt;=1E12,"TB",IF(ABS(P28)&gt;=1E9,"GB",IF(ABS(P28)&gt;=1E6,"MB",IF(ABS(P28)&gt;=1E3,"KB","bytes"))))))</f>
        <v>29.582 GB</v>
      </c>
      <c r="N28" s="4" t="s">
        <v>468</v>
      </c>
      <c r="O28" s="30">
        <f>G22</f>
        <v>166349315548.0</v>
      </c>
      <c r="P28" s="30">
        <f>H22</f>
        <v>29581867388.0</v>
      </c>
      <c r="S28" s="4" t="s">
        <v>472</v>
      </c>
      <c r="T28" s="30">
        <f>H23/1e+12</f>
        <v>55.652568907776</v>
      </c>
    </row>
    <row r="29" spans="1:20">
      <c r="K29" s="4" t="s">
        <v>469</v>
      </c>
      <c r="L29" s="31" t="str">
        <f>TEXT(IF(ABS(O29)&gt;=1E12,O29/1E12,IF(ABS(O29)&gt;=1E9,O29/1E9,IF(ABS(O29)&gt;=1E6,O29/1E6,IF(ABS(O29)&gt;=1E3,O29/1E3,O29)))),"#,##0.000")&amp;IF((IF(ABS(O29)&gt;=1E12,"TB",IF(ABS(O29)&gt;=1E9,"GB",IF(ABS(O29)&gt;=1E6,"MB",IF(ABS(O29)&gt;=1E3,"KB","bytes")))))="",""," "&amp;(IF(ABS(O29)&gt;=1E12,"TB",IF(ABS(O29)&gt;=1E9,"GB",IF(ABS(O29)&gt;=1E6,"MB",IF(ABS(O29)&gt;=1E3,"KB","bytes"))))))</f>
        <v>166.349 GB</v>
      </c>
      <c r="M29" s="31" t="str">
        <f>TEXT(IF(ABS(P29)&gt;=1E12,P29/1E12,IF(ABS(P29)&gt;=1E9,P29/1E9,IF(ABS(P29)&gt;=1E6,P29/1E6,IF(ABS(P29)&gt;=1E3,P29/1E3,P29)))),"#,##0.000")&amp;IF((IF(ABS(P29)&gt;=1E12,"TB",IF(ABS(P29)&gt;=1E9,"GB",IF(ABS(P29)&gt;=1E6,"MB",IF(ABS(P29)&gt;=1E3,"KB","bytes")))))="",""," "&amp;(IF(ABS(P29)&gt;=1E12,"TB",IF(ABS(P29)&gt;=1E9,"GB",IF(ABS(P29)&gt;=1E6,"MB",IF(ABS(P29)&gt;=1E3,"KB","bytes"))))))</f>
        <v>29.582 GB</v>
      </c>
      <c r="N29" s="4" t="s">
        <v>470</v>
      </c>
      <c r="O29" s="30">
        <f>I22</f>
        <v>166349315548.0</v>
      </c>
      <c r="P29" s="30">
        <f>J22</f>
        <v>29581867388.0</v>
      </c>
      <c r="S29" s="4" t="s">
        <v>430</v>
      </c>
      <c r="T29" s="30">
        <f>I23/1e+12</f>
        <v>0.14035575211</v>
      </c>
    </row>
    <row r="30" spans="1:20">
      <c r="S30" s="4" t="s">
        <v>473</v>
      </c>
      <c r="T30" s="30">
        <f>J23/1e+12</f>
        <v>0.023549694126</v>
      </c>
    </row>
    <row r="33" spans="19:21">
      <c r="S33" s="3" t="s">
        <v>2</v>
      </c>
      <c r="T33" s="3" t="s">
        <v>474</v>
      </c>
      <c r="U33" s="3" t="s">
        <v>475</v>
      </c>
    </row>
    <row r="34" spans="19:21">
      <c r="S34" s="4" t="s">
        <v>40</v>
      </c>
      <c r="T34" s="30">
        <f>G5/1e+12</f>
        <v>102.836037746688</v>
      </c>
      <c r="U34" s="30">
        <f>H5/1e+12</f>
        <v>23.172382457856</v>
      </c>
    </row>
    <row r="35" spans="19:21">
      <c r="S35" s="4" t="s">
        <v>59</v>
      </c>
      <c r="T35" s="30">
        <f>G6/1e+12</f>
        <v>124.846109360128</v>
      </c>
      <c r="U35" s="30">
        <f>H6/1e+12</f>
        <v>31.765578121216</v>
      </c>
    </row>
    <row r="36" spans="19:21">
      <c r="S36" s="4" t="s">
        <v>476</v>
      </c>
      <c r="T36" s="30">
        <f>G7/1e+12</f>
        <v>0.715535007744</v>
      </c>
      <c r="U36" s="30">
        <f>H7/1e+12</f>
        <v>0.714608328704</v>
      </c>
    </row>
    <row r="40" spans="19:21">
      <c r="S40" s="3" t="s">
        <v>2</v>
      </c>
      <c r="T40" s="3" t="s">
        <v>477</v>
      </c>
      <c r="U40" s="3" t="s">
        <v>478</v>
      </c>
    </row>
    <row r="41" spans="19:21">
      <c r="S41" s="4" t="s">
        <v>40</v>
      </c>
      <c r="T41" s="30">
        <f>I5/1e+09</f>
        <v>123.969470464</v>
      </c>
      <c r="U41" s="30">
        <f>J5/1e+09</f>
        <v>19.452461056</v>
      </c>
    </row>
    <row r="42" spans="19:21">
      <c r="S42" s="4" t="s">
        <v>59</v>
      </c>
      <c r="T42" s="30">
        <f>I6/1e+09</f>
        <v>15.240003584</v>
      </c>
      <c r="U42" s="30">
        <f>J6/1e+09</f>
        <v>3.877634048</v>
      </c>
    </row>
    <row r="43" spans="19:21">
      <c r="S43" s="4" t="s">
        <v>476</v>
      </c>
      <c r="T43" s="30">
        <f>I7/1e+09</f>
        <v>1.146278062</v>
      </c>
      <c r="U43" s="30">
        <f>J7/1e+09</f>
        <v>0.219599022</v>
      </c>
    </row>
    <row r="47" spans="19:21">
      <c r="S47" s="3" t="s">
        <v>2</v>
      </c>
      <c r="T47" s="3" t="s">
        <v>479</v>
      </c>
      <c r="U47" s="3" t="s">
        <v>480</v>
      </c>
    </row>
    <row r="48" spans="19:21">
      <c r="S48" s="4" t="s">
        <v>40</v>
      </c>
      <c r="T48" s="30">
        <f>G14/1e+09</f>
        <v>7.45138496</v>
      </c>
      <c r="U48" s="30">
        <f>H14/1e+09</f>
        <v>2.23750496</v>
      </c>
    </row>
    <row r="49" spans="19:21">
      <c r="S49" s="4" t="s">
        <v>59</v>
      </c>
      <c r="T49" s="30">
        <f>G15/1e+09</f>
        <v>148.351461888</v>
      </c>
      <c r="U49" s="30">
        <f>H15/1e+09</f>
        <v>19.57794048</v>
      </c>
    </row>
    <row r="50" spans="19:21">
      <c r="S50" s="4" t="s">
        <v>476</v>
      </c>
      <c r="T50" s="30">
        <f>G16/1e+09</f>
        <v>3.314423644</v>
      </c>
      <c r="U50" s="30">
        <f>H16/1e+09</f>
        <v>0.534376892</v>
      </c>
    </row>
    <row r="54" spans="19:21">
      <c r="S54" s="3" t="s">
        <v>2</v>
      </c>
      <c r="T54" s="3" t="s">
        <v>479</v>
      </c>
      <c r="U54" s="3" t="s">
        <v>480</v>
      </c>
    </row>
    <row r="55" spans="19:21">
      <c r="S55" s="4" t="s">
        <v>40</v>
      </c>
      <c r="T55" s="30">
        <f>I14/1e+09</f>
        <v>7.45138496</v>
      </c>
      <c r="U55" s="30">
        <f>J14/1e+09</f>
        <v>2.23750496</v>
      </c>
    </row>
    <row r="56" spans="19:21">
      <c r="S56" s="4" t="s">
        <v>59</v>
      </c>
      <c r="T56" s="30">
        <f>I15/1e+09</f>
        <v>148.351461888</v>
      </c>
      <c r="U56" s="30">
        <f>J15/1e+09</f>
        <v>19.57794048</v>
      </c>
    </row>
    <row r="57" spans="19:21">
      <c r="S57" s="4" t="s">
        <v>476</v>
      </c>
      <c r="T57" s="30">
        <f>I16/1e+09</f>
        <v>3.314423644</v>
      </c>
      <c r="U57" s="30">
        <f>J16/1e+09</f>
        <v>0.534376892</v>
      </c>
    </row>
    <row r="61" spans="19:21">
      <c r="S61" s="3" t="s">
        <v>2</v>
      </c>
      <c r="T61" s="3" t="s">
        <v>482</v>
      </c>
    </row>
    <row r="62" spans="19:21">
      <c r="S62" s="4" t="s">
        <v>464</v>
      </c>
      <c r="T62" s="30">
        <f>G22/1e+09</f>
        <v>166.349315548</v>
      </c>
    </row>
    <row r="63" spans="19:21">
      <c r="S63" s="4" t="s">
        <v>465</v>
      </c>
      <c r="T63" s="30">
        <f>H22/1e+09</f>
        <v>29.581867388</v>
      </c>
    </row>
    <row r="68" spans="19:20">
      <c r="S68" s="3" t="s">
        <v>2</v>
      </c>
      <c r="T68" s="3" t="s">
        <v>482</v>
      </c>
    </row>
    <row r="69" spans="19:20">
      <c r="S69" s="4" t="s">
        <v>464</v>
      </c>
      <c r="T69" s="30">
        <f>I22/1e+09</f>
        <v>166.349315548</v>
      </c>
    </row>
    <row r="70" spans="19:20">
      <c r="S70" s="4" t="s">
        <v>465</v>
      </c>
      <c r="T70" s="30">
        <f>J22/1e+09</f>
        <v>29.581867388</v>
      </c>
    </row>
    <row r="92" spans="1:6" ht="36" customHeight="1">
      <c r="A92" s="2" t="s">
        <v>481</v>
      </c>
      <c r="B92" s="2"/>
      <c r="C92" s="2"/>
      <c r="D92" s="2"/>
      <c r="E92" s="2" t="s">
        <v>481</v>
      </c>
      <c r="F92" s="2"/>
    </row>
    <row r="116" spans="1:6" ht="36" customHeight="1">
      <c r="A116" s="2" t="s">
        <v>483</v>
      </c>
      <c r="B116" s="2"/>
      <c r="C116" s="2"/>
      <c r="D116" s="2"/>
      <c r="E116" s="2" t="s">
        <v>483</v>
      </c>
      <c r="F116" s="2"/>
    </row>
  </sheetData>
  <mergeCells count="5">
    <mergeCell ref="K26:N26"/>
    <mergeCell ref="A92:D92"/>
    <mergeCell ref="E92:F92"/>
    <mergeCell ref="A116:D116"/>
    <mergeCell ref="E116:F116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H46"/>
  <sheetViews>
    <sheetView showGridLines="0" tabSelected="1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3" width="18.7109375" customWidth="1"/>
    <col min="4" max="4" width="62.7109375" customWidth="1"/>
    <col min="7" max="8" width="0" hidden="1" customWidth="1"/>
  </cols>
  <sheetData>
    <row r="1" spans="1:8">
      <c r="A1" s="1" t="s">
        <v>484</v>
      </c>
    </row>
    <row r="2" spans="1:8">
      <c r="A2" s="2" t="s">
        <v>485</v>
      </c>
    </row>
    <row r="4" spans="1:8">
      <c r="A4" s="28" t="s">
        <v>486</v>
      </c>
      <c r="B4" s="28"/>
      <c r="C4" s="28"/>
      <c r="D4" s="28"/>
    </row>
    <row r="5" spans="1:8">
      <c r="A5" s="3" t="s">
        <v>427</v>
      </c>
      <c r="B5" s="3" t="s">
        <v>487</v>
      </c>
      <c r="C5" s="3" t="s">
        <v>488</v>
      </c>
      <c r="D5" s="3" t="s">
        <v>352</v>
      </c>
    </row>
    <row r="6" spans="1:8">
      <c r="A6" s="4" t="s">
        <v>432</v>
      </c>
      <c r="B6" s="31" t="str">
        <f>TEXT(IF(ABS(G6)&gt;=1E15,G6/1E15,IF(ABS(G6)&gt;=1E12,G6/1E12,IF(ABS(G6)&gt;=1E9,G6/1E9,IF(ABS(G6)&gt;=1E6,G6/1E6,G6)))),"#,##0.000")&amp;IF((IF(ABS(G6)&gt;=1E15,"PFLOPs",IF(ABS(G6)&gt;=1E12,"TFLOPs",IF(ABS(G6)&gt;=1E9,"GFLOPs",IF(ABS(G6)&gt;=1E6,"MFLOPs","flops")))))="",""," "&amp;(IF(ABS(G6)&gt;=1E15,"PFLOPs",IF(ABS(G6)&gt;=1E12,"TFLOPs",IF(ABS(G6)&gt;=1E9,"GFLOPs",IF(ABS(G6)&gt;=1E6,"MFLOPs","flops"))))))</f>
        <v>102.836 TFLOPs</v>
      </c>
      <c r="C6" s="31" t="str">
        <f>TEXT(IF(ABS(H6)&gt;=1E15,H6/1E15,IF(ABS(H6)&gt;=1E12,H6/1E12,IF(ABS(H6)&gt;=1E9,H6/1E9,IF(ABS(H6)&gt;=1E6,H6/1E6,H6)))),"#,##0.000")&amp;IF((IF(ABS(H6)&gt;=1E15,"PFLOPs",IF(ABS(H6)&gt;=1E12,"TFLOPs",IF(ABS(H6)&gt;=1E9,"GFLOPs",IF(ABS(H6)&gt;=1E6,"MFLOPs","flops")))))="",""," "&amp;(IF(ABS(H6)&gt;=1E15,"PFLOPs",IF(ABS(H6)&gt;=1E12,"TFLOPs",IF(ABS(H6)&gt;=1E9,"GFLOPs",IF(ABS(H6)&gt;=1E6,"MFLOPs","flops"))))))</f>
        <v>123.969 GFLOPs</v>
      </c>
      <c r="D6" s="4" t="s">
        <v>489</v>
      </c>
      <c r="G6" s="30">
        <f>'Prefill_8K'!$AF$14</f>
        <v>102836037746688.0</v>
      </c>
      <c r="H6" s="30">
        <f>'Decode_1M'!$AF$14</f>
        <v>123969470464.0</v>
      </c>
    </row>
    <row r="7" spans="1:8">
      <c r="A7" s="4" t="s">
        <v>434</v>
      </c>
      <c r="B7" s="31" t="str">
        <f>TEXT(IF(ABS(G7)&gt;=1E15,G7/1E15,IF(ABS(G7)&gt;=1E12,G7/1E12,IF(ABS(G7)&gt;=1E9,G7/1E9,IF(ABS(G7)&gt;=1E6,G7/1E6,G7)))),"#,##0.000")&amp;IF((IF(ABS(G7)&gt;=1E15,"PFLOPs",IF(ABS(G7)&gt;=1E12,"TFLOPs",IF(ABS(G7)&gt;=1E9,"GFLOPs",IF(ABS(G7)&gt;=1E6,"MFLOPs","flops")))))="",""," "&amp;(IF(ABS(G7)&gt;=1E15,"PFLOPs",IF(ABS(G7)&gt;=1E12,"TFLOPs",IF(ABS(G7)&gt;=1E9,"GFLOPs",IF(ABS(G7)&gt;=1E6,"MFLOPs","flops"))))))</f>
        <v>124.846 TFLOPs</v>
      </c>
      <c r="C7" s="31" t="str">
        <f>TEXT(IF(ABS(H7)&gt;=1E15,H7/1E15,IF(ABS(H7)&gt;=1E12,H7/1E12,IF(ABS(H7)&gt;=1E9,H7/1E9,IF(ABS(H7)&gt;=1E6,H7/1E6,H7)))),"#,##0.000")&amp;IF((IF(ABS(H7)&gt;=1E15,"PFLOPs",IF(ABS(H7)&gt;=1E12,"TFLOPs",IF(ABS(H7)&gt;=1E9,"GFLOPs",IF(ABS(H7)&gt;=1E6,"MFLOPs","flops")))))="",""," "&amp;(IF(ABS(H7)&gt;=1E15,"PFLOPs",IF(ABS(H7)&gt;=1E12,"TFLOPs",IF(ABS(H7)&gt;=1E9,"GFLOPs",IF(ABS(H7)&gt;=1E6,"MFLOPs","flops"))))))</f>
        <v>15.240 GFLOPs</v>
      </c>
      <c r="D7" s="4" t="s">
        <v>489</v>
      </c>
      <c r="G7" s="30">
        <f>'Prefill_8K'!$AF$15</f>
        <v>124846109360128.0</v>
      </c>
      <c r="H7" s="30">
        <f>'Decode_1M'!$AF$15</f>
        <v>15240003584.0</v>
      </c>
    </row>
    <row r="8" spans="1:8">
      <c r="A8" s="4" t="s">
        <v>435</v>
      </c>
      <c r="B8" s="31" t="str">
        <f>TEXT(IF(ABS(G8)&gt;=1E15,G8/1E15,IF(ABS(G8)&gt;=1E12,G8/1E12,IF(ABS(G8)&gt;=1E9,G8/1E9,IF(ABS(G8)&gt;=1E6,G8/1E6,G8)))),"#,##0.000")&amp;IF((IF(ABS(G8)&gt;=1E15,"PFLOPs",IF(ABS(G8)&gt;=1E12,"TFLOPs",IF(ABS(G8)&gt;=1E9,"GFLOPs",IF(ABS(G8)&gt;=1E6,"MFLOPs","flops")))))="",""," "&amp;(IF(ABS(G8)&gt;=1E15,"PFLOPs",IF(ABS(G8)&gt;=1E12,"TFLOPs",IF(ABS(G8)&gt;=1E9,"GFLOPs",IF(ABS(G8)&gt;=1E6,"MFLOPs","flops"))))))</f>
        <v>715.535 GFLOPs</v>
      </c>
      <c r="C8" s="31" t="str">
        <f>TEXT(IF(ABS(H8)&gt;=1E15,H8/1E15,IF(ABS(H8)&gt;=1E12,H8/1E12,IF(ABS(H8)&gt;=1E9,H8/1E9,IF(ABS(H8)&gt;=1E6,H8/1E6,H8)))),"#,##0.000")&amp;IF((IF(ABS(H8)&gt;=1E15,"PFLOPs",IF(ABS(H8)&gt;=1E12,"TFLOPs",IF(ABS(H8)&gt;=1E9,"GFLOPs",IF(ABS(H8)&gt;=1E6,"MFLOPs","flops")))))="",""," "&amp;(IF(ABS(H8)&gt;=1E15,"PFLOPs",IF(ABS(H8)&gt;=1E12,"TFLOPs",IF(ABS(H8)&gt;=1E9,"GFLOPs",IF(ABS(H8)&gt;=1E6,"MFLOPs","flops"))))))</f>
        <v>1.146 GFLOPs</v>
      </c>
      <c r="D8" s="4" t="s">
        <v>489</v>
      </c>
      <c r="G8" s="30">
        <f>'Prefill_8K'!$AO$48</f>
        <v>715535007744.0</v>
      </c>
      <c r="H8" s="30">
        <f>'Decode_1M'!$AO$48</f>
        <v>1146278062.0</v>
      </c>
    </row>
    <row r="9" spans="1:8">
      <c r="A9" s="29" t="s">
        <v>436</v>
      </c>
      <c r="B9" s="29" t="str">
        <f>TEXT(IF(ABS(G9)&gt;=1E15,G9/1E15,IF(ABS(G9)&gt;=1E12,G9/1E12,IF(ABS(G9)&gt;=1E9,G9/1E9,IF(ABS(G9)&gt;=1E6,G9/1E6,G9)))),"#,##0.000")&amp;IF((IF(ABS(G9)&gt;=1E15,"PFLOPs",IF(ABS(G9)&gt;=1E12,"TFLOPs",IF(ABS(G9)&gt;=1E9,"GFLOPs",IF(ABS(G9)&gt;=1E6,"MFLOPs","flops")))))="",""," "&amp;(IF(ABS(G9)&gt;=1E15,"PFLOPs",IF(ABS(G9)&gt;=1E12,"TFLOPs",IF(ABS(G9)&gt;=1E9,"GFLOPs",IF(ABS(G9)&gt;=1E6,"MFLOPs","flops"))))))</f>
        <v>228.398 TFLOPs</v>
      </c>
      <c r="C9" s="29" t="str">
        <f>TEXT(IF(ABS(H9)&gt;=1E15,H9/1E15,IF(ABS(H9)&gt;=1E12,H9/1E12,IF(ABS(H9)&gt;=1E9,H9/1E9,IF(ABS(H9)&gt;=1E6,H9/1E6,H9)))),"#,##0.000")&amp;IF((IF(ABS(H9)&gt;=1E15,"PFLOPs",IF(ABS(H9)&gt;=1E12,"TFLOPs",IF(ABS(H9)&gt;=1E9,"GFLOPs",IF(ABS(H9)&gt;=1E6,"MFLOPs","flops")))))="",""," "&amp;(IF(ABS(H9)&gt;=1E15,"PFLOPs",IF(ABS(H9)&gt;=1E12,"TFLOPs",IF(ABS(H9)&gt;=1E9,"GFLOPs",IF(ABS(H9)&gt;=1E6,"MFLOPs","flops"))))))</f>
        <v>140.356 GFLOPs</v>
      </c>
      <c r="D9" s="4" t="s">
        <v>489</v>
      </c>
      <c r="G9" s="30">
        <f>'Prefill_8K'!$AF$13</f>
        <v>228397682114560.0</v>
      </c>
      <c r="H9" s="30">
        <f>'Decode_1M'!$AF$13</f>
        <v>140355752110.0</v>
      </c>
    </row>
    <row r="10" spans="1:8">
      <c r="A10" s="4" t="s">
        <v>461</v>
      </c>
      <c r="B10" s="31" t="str">
        <f>TEXT(IF(ABS(G10)&gt;=1E15,G10/1E15,IF(ABS(G10)&gt;=1E12,G10/1E12,IF(ABS(G10)&gt;=1E9,G10/1E9,IF(ABS(G10)&gt;=1E6,G10/1E6,G10)))),"#,##0.000")&amp;IF((IF(ABS(G10)&gt;=1E15,"PFLOPs",IF(ABS(G10)&gt;=1E12,"TFLOPs",IF(ABS(G10)&gt;=1E9,"GFLOPs",IF(ABS(G10)&gt;=1E6,"MFLOPs","flops")))))="",""," "&amp;(IF(ABS(G10)&gt;=1E15,"PFLOPs",IF(ABS(G10)&gt;=1E12,"TFLOPs",IF(ABS(G10)&gt;=1E9,"GFLOPs",IF(ABS(G10)&gt;=1E6,"MFLOPs","flops"))))))</f>
        <v>228.398 TFLOPs</v>
      </c>
      <c r="C10" s="31" t="str">
        <f>TEXT(IF(ABS(H10)&gt;=1E15,H10/1E15,IF(ABS(H10)&gt;=1E12,H10/1E12,IF(ABS(H10)&gt;=1E9,H10/1E9,IF(ABS(H10)&gt;=1E6,H10/1E6,H10)))),"#,##0.000")&amp;IF((IF(ABS(H10)&gt;=1E15,"PFLOPs",IF(ABS(H10)&gt;=1E12,"TFLOPs",IF(ABS(H10)&gt;=1E9,"GFLOPs",IF(ABS(H10)&gt;=1E6,"MFLOPs","flops")))))="",""," "&amp;(IF(ABS(H10)&gt;=1E15,"PFLOPs",IF(ABS(H10)&gt;=1E12,"TFLOPs",IF(ABS(H10)&gt;=1E9,"GFLOPs",IF(ABS(H10)&gt;=1E6,"MFLOPs","flops"))))))</f>
        <v>140.356 GFLOPs</v>
      </c>
      <c r="D10" s="4" t="s">
        <v>462</v>
      </c>
      <c r="G10" s="30">
        <f>'Prefill_8K'!$AF$13</f>
        <v>228397682114560.0</v>
      </c>
      <c r="H10" s="30">
        <f>'Decode_1M'!$AF$13</f>
        <v>140355752110.0</v>
      </c>
    </row>
    <row r="11" spans="1:8">
      <c r="A11" s="4" t="s">
        <v>437</v>
      </c>
      <c r="B11" s="31" t="str">
        <f>TEXT(IF(ABS(G11)&gt;=1E12,G11/1E12,IF(ABS(G11)&gt;=1E9,G11/1E9,IF(ABS(G11)&gt;=1E6,G11/1E6,IF(ABS(G11)&gt;=1E3,G11/1E3,G11)))),"#,##0.000")&amp;IF((IF(ABS(G11)&gt;=1E12,"TB",IF(ABS(G11)&gt;=1E9,"GB",IF(ABS(G11)&gt;=1E6,"MB",IF(ABS(G11)&gt;=1E3,"KB","bytes")))))="",""," "&amp;(IF(ABS(G11)&gt;=1E12,"TB",IF(ABS(G11)&gt;=1E9,"GB",IF(ABS(G11)&gt;=1E6,"MB",IF(ABS(G11)&gt;=1E3,"KB","bytes"))))))</f>
        <v>0.000 B</v>
      </c>
      <c r="C11" s="31" t="str">
        <f>TEXT(IF(ABS(H11)&gt;=1E12,H11/1E12,IF(ABS(H11)&gt;=1E9,H11/1E9,IF(ABS(H11)&gt;=1E6,H11/1E6,IF(ABS(H11)&gt;=1E3,H11/1E3,H11)))),"#,##0.000")&amp;IF((IF(ABS(H11)&gt;=1E12,"TB",IF(ABS(H11)&gt;=1E9,"GB",IF(ABS(H11)&gt;=1E6,"MB",IF(ABS(H11)&gt;=1E3,"KB","bytes")))))="",""," "&amp;(IF(ABS(H11)&gt;=1E12,"TB",IF(ABS(H11)&gt;=1E9,"GB",IF(ABS(H11)&gt;=1E6,"MB",IF(ABS(H11)&gt;=1E3,"KB","bytes"))))))</f>
        <v>0.000 B</v>
      </c>
      <c r="D11" s="4" t="s">
        <v>490</v>
      </c>
      <c r="G11" s="30">
        <f>'Prefill_8K'!$AQ$48</f>
        <v>0.0</v>
      </c>
      <c r="H11" s="30">
        <f>'Decode_1M'!$AQ$48</f>
        <v>0.0</v>
      </c>
    </row>
    <row r="12" spans="1:8">
      <c r="A12" s="4" t="s">
        <v>439</v>
      </c>
      <c r="B12" s="31" t="str">
        <f>TEXT(IF(ABS(G12)&gt;=1E12,G12/1E12,IF(ABS(G12)&gt;=1E9,G12/1E9,IF(ABS(G12)&gt;=1E6,G12/1E6,IF(ABS(G12)&gt;=1E3,G12/1E3,G12)))),"#,##0.000")&amp;IF((IF(ABS(G12)&gt;=1E12,"T",IF(ABS(G12)&gt;=1E9,"G",IF(ABS(G12)&gt;=1E6,"M",IF(ABS(G12)&gt;=1E3,"K","")))))="",""," "&amp;(IF(ABS(G12)&gt;=1E12,"T",IF(ABS(G12)&gt;=1E9,"G",IF(ABS(G12)&gt;=1E6,"M",IF(ABS(G12)&gt;=1E3,"K",""))))))</f>
        <v>5.086 G</v>
      </c>
      <c r="C12" s="31" t="str">
        <f>TEXT(IF(ABS(H12)&gt;=1E12,H12/1E12,IF(ABS(H12)&gt;=1E9,H12/1E9,IF(ABS(H12)&gt;=1E6,H12/1E6,IF(ABS(H12)&gt;=1E3,H12/1E3,H12)))),"#,##0.000")&amp;IF((IF(ABS(H12)&gt;=1E12,"T",IF(ABS(H12)&gt;=1E9,"G",IF(ABS(H12)&gt;=1E6,"M",IF(ABS(H12)&gt;=1E3,"K","")))))="",""," "&amp;(IF(ABS(H12)&gt;=1E12,"T",IF(ABS(H12)&gt;=1E9,"G",IF(ABS(H12)&gt;=1E6,"M",IF(ABS(H12)&gt;=1E3,"K",""))))))</f>
        <v>5.086 G</v>
      </c>
      <c r="D12" s="4" t="s">
        <v>491</v>
      </c>
      <c r="G12" s="30">
        <f>'Prefill_8K'!$AY$49</f>
        <v>5086249088.0</v>
      </c>
      <c r="H12" s="30">
        <f>'Prefill_8K'!$AY$49</f>
        <v>5086249088.0</v>
      </c>
    </row>
    <row r="13" spans="1:8">
      <c r="A13" s="4" t="s">
        <v>441</v>
      </c>
      <c r="B13" s="31" t="str">
        <f>TEXT(IF(ABS(G13)&gt;=1E12,G13/1E12,IF(ABS(G13)&gt;=1E9,G13/1E9,IF(ABS(G13)&gt;=1E6,G13/1E6,IF(ABS(G13)&gt;=1E3,G13/1E3,G13)))),"#,##0.000")&amp;IF((IF(ABS(G13)&gt;=1E12,"T",IF(ABS(G13)&gt;=1E9,"G",IF(ABS(G13)&gt;=1E6,"M",IF(ABS(G13)&gt;=1E3,"K","")))))="",""," "&amp;(IF(ABS(G13)&gt;=1E12,"T",IF(ABS(G13)&gt;=1E9,"G",IF(ABS(G13)&gt;=1E6,"M",IF(ABS(G13)&gt;=1E3,"K",""))))))</f>
        <v>278.155 G</v>
      </c>
      <c r="C13" s="31" t="str">
        <f>TEXT(IF(ABS(H13)&gt;=1E12,H13/1E12,IF(ABS(H13)&gt;=1E9,H13/1E9,IF(ABS(H13)&gt;=1E6,H13/1E6,IF(ABS(H13)&gt;=1E3,H13/1E3,H13)))),"#,##0.000")&amp;IF((IF(ABS(H13)&gt;=1E12,"T",IF(ABS(H13)&gt;=1E9,"G",IF(ABS(H13)&gt;=1E6,"M",IF(ABS(H13)&gt;=1E3,"K","")))))="",""," "&amp;(IF(ABS(H13)&gt;=1E12,"T",IF(ABS(H13)&gt;=1E9,"G",IF(ABS(H13)&gt;=1E6,"M",IF(ABS(H13)&gt;=1E3,"K",""))))))</f>
        <v>278.155 G</v>
      </c>
      <c r="D13" s="4" t="s">
        <v>442</v>
      </c>
      <c r="G13" s="30">
        <f>'Prefill_8K'!$AY$50</f>
        <v>278154947072.0</v>
      </c>
      <c r="H13" s="30">
        <f>'Prefill_8K'!$AY$50</f>
        <v>278154947072.0</v>
      </c>
    </row>
    <row r="14" spans="1:8">
      <c r="A14" s="4" t="s">
        <v>443</v>
      </c>
      <c r="B14" s="31" t="str">
        <f>TEXT(IF(ABS(G14)&gt;=1E12,G14/1E12,IF(ABS(G14)&gt;=1E9,G14/1E9,IF(ABS(G14)&gt;=1E6,G14/1E6,IF(ABS(G14)&gt;=1E3,G14/1E3,G14)))),"#,##0.000")&amp;IF((IF(ABS(G14)&gt;=1E12,"T",IF(ABS(G14)&gt;=1E9,"G",IF(ABS(G14)&gt;=1E6,"M",IF(ABS(G14)&gt;=1E3,"K","")))))="",""," "&amp;(IF(ABS(G14)&gt;=1E12,"T",IF(ABS(G14)&gt;=1E9,"G",IF(ABS(G14)&gt;=1E6,"M",IF(ABS(G14)&gt;=1E3,"K",""))))))</f>
        <v>1.093 G</v>
      </c>
      <c r="C14" s="31" t="str">
        <f>TEXT(IF(ABS(H14)&gt;=1E12,H14/1E12,IF(ABS(H14)&gt;=1E9,H14/1E9,IF(ABS(H14)&gt;=1E6,H14/1E6,IF(ABS(H14)&gt;=1E3,H14/1E3,H14)))),"#,##0.000")&amp;IF((IF(ABS(H14)&gt;=1E12,"T",IF(ABS(H14)&gt;=1E9,"G",IF(ABS(H14)&gt;=1E6,"M",IF(ABS(H14)&gt;=1E3,"K","")))))="",""," "&amp;(IF(ABS(H14)&gt;=1E12,"T",IF(ABS(H14)&gt;=1E9,"G",IF(ABS(H14)&gt;=1E6,"M",IF(ABS(H14)&gt;=1E3,"K",""))))))</f>
        <v>1.093 G</v>
      </c>
      <c r="D14" s="4" t="s">
        <v>492</v>
      </c>
      <c r="G14" s="30">
        <f>'Prefill_8K'!$AY$51</f>
        <v>1093371351.0</v>
      </c>
      <c r="H14" s="30">
        <f>'Prefill_8K'!$AY$51</f>
        <v>1093371351.0</v>
      </c>
    </row>
    <row r="15" spans="1:8">
      <c r="A15" s="29" t="s">
        <v>445</v>
      </c>
      <c r="B15" s="29" t="str">
        <f>TEXT(IF(ABS(G15)&gt;=1E12,G15/1E12,IF(ABS(G15)&gt;=1E9,G15/1E9,IF(ABS(G15)&gt;=1E6,G15/1E6,IF(ABS(G15)&gt;=1E3,G15/1E3,G15)))),"#,##0.000")&amp;IF((IF(ABS(G15)&gt;=1E12,"T",IF(ABS(G15)&gt;=1E9,"G",IF(ABS(G15)&gt;=1E6,"M",IF(ABS(G15)&gt;=1E3,"K","")))))="",""," "&amp;(IF(ABS(G15)&gt;=1E12,"T",IF(ABS(G15)&gt;=1E9,"G",IF(ABS(G15)&gt;=1E6,"M",IF(ABS(G15)&gt;=1E3,"K",""))))))</f>
        <v>284.335 G</v>
      </c>
      <c r="C15" s="29" t="str">
        <f>TEXT(IF(ABS(H15)&gt;=1E12,H15/1E12,IF(ABS(H15)&gt;=1E9,H15/1E9,IF(ABS(H15)&gt;=1E6,H15/1E6,IF(ABS(H15)&gt;=1E3,H15/1E3,H15)))),"#,##0.000")&amp;IF((IF(ABS(H15)&gt;=1E12,"T",IF(ABS(H15)&gt;=1E9,"G",IF(ABS(H15)&gt;=1E6,"M",IF(ABS(H15)&gt;=1E3,"K","")))))="",""," "&amp;(IF(ABS(H15)&gt;=1E12,"T",IF(ABS(H15)&gt;=1E9,"G",IF(ABS(H15)&gt;=1E6,"M",IF(ABS(H15)&gt;=1E3,"K",""))))))</f>
        <v>284.335 G</v>
      </c>
      <c r="D15" s="4" t="s">
        <v>493</v>
      </c>
      <c r="G15" s="30">
        <f>'Prefill_8K'!$AY$52</f>
        <v>284334567511.0</v>
      </c>
      <c r="H15" s="30">
        <f>'Prefill_8K'!$AY$52</f>
        <v>284334567511.0</v>
      </c>
    </row>
    <row r="16" spans="1:8">
      <c r="A16" s="4" t="s">
        <v>447</v>
      </c>
      <c r="B16" s="31" t="str">
        <f>TEXT(IF(ABS(G16)&gt;=1E12,G16/1E12,IF(ABS(G16)&gt;=1E9,G16/1E9,IF(ABS(G16)&gt;=1E6,G16/1E6,IF(ABS(G16)&gt;=1E3,G16/1E3,G16)))),"#,##0.000")&amp;IF((IF(ABS(G16)&gt;=1E12,"TB",IF(ABS(G16)&gt;=1E9,"GB",IF(ABS(G16)&gt;=1E6,"MB",IF(ABS(G16)&gt;=1E3,"KB","bytes")))))="",""," "&amp;(IF(ABS(G16)&gt;=1E12,"TB",IF(ABS(G16)&gt;=1E9,"GB",IF(ABS(G16)&gt;=1E6,"MB",IF(ABS(G16)&gt;=1E3,"KB","bytes"))))))</f>
        <v>7.451 GB</v>
      </c>
      <c r="C16" s="31" t="str">
        <f>TEXT(IF(ABS(H16)&gt;=1E12,H16/1E12,IF(ABS(H16)&gt;=1E9,H16/1E9,IF(ABS(H16)&gt;=1E6,H16/1E6,IF(ABS(H16)&gt;=1E3,H16/1E3,H16)))),"#,##0.000")&amp;IF((IF(ABS(H16)&gt;=1E12,"TB",IF(ABS(H16)&gt;=1E9,"GB",IF(ABS(H16)&gt;=1E6,"MB",IF(ABS(H16)&gt;=1E3,"KB","bytes")))))="",""," "&amp;(IF(ABS(H16)&gt;=1E12,"TB",IF(ABS(H16)&gt;=1E9,"GB",IF(ABS(H16)&gt;=1E6,"MB",IF(ABS(H16)&gt;=1E3,"KB","bytes"))))))</f>
        <v>7.451 GB</v>
      </c>
      <c r="D16" s="4" t="s">
        <v>494</v>
      </c>
      <c r="G16" s="30">
        <f>'Prefill_8K'!$BA$49</f>
        <v>7451384960</v>
      </c>
      <c r="H16" s="30">
        <f>'Prefill_8K'!$BA$49</f>
        <v>7451384960</v>
      </c>
    </row>
    <row r="17" spans="1:8">
      <c r="A17" s="4" t="s">
        <v>449</v>
      </c>
      <c r="B17" s="31" t="str">
        <f>TEXT(IF(ABS(G17)&gt;=1E12,G17/1E12,IF(ABS(G17)&gt;=1E9,G17/1E9,IF(ABS(G17)&gt;=1E6,G17/1E6,IF(ABS(G17)&gt;=1E3,G17/1E3,G17)))),"#,##0.000")&amp;IF((IF(ABS(G17)&gt;=1E12,"TB",IF(ABS(G17)&gt;=1E9,"GB",IF(ABS(G17)&gt;=1E6,"MB",IF(ABS(G17)&gt;=1E3,"KB","bytes")))))="",""," "&amp;(IF(ABS(G17)&gt;=1E12,"TB",IF(ABS(G17)&gt;=1E9,"GB",IF(ABS(G17)&gt;=1E6,"MB",IF(ABS(G17)&gt;=1E3,"KB","bytes"))))))</f>
        <v>148.351 GB</v>
      </c>
      <c r="C17" s="31" t="str">
        <f>TEXT(IF(ABS(H17)&gt;=1E12,H17/1E12,IF(ABS(H17)&gt;=1E9,H17/1E9,IF(ABS(H17)&gt;=1E6,H17/1E6,IF(ABS(H17)&gt;=1E3,H17/1E3,H17)))),"#,##0.000")&amp;IF((IF(ABS(H17)&gt;=1E12,"TB",IF(ABS(H17)&gt;=1E9,"GB",IF(ABS(H17)&gt;=1E6,"MB",IF(ABS(H17)&gt;=1E3,"KB","bytes")))))="",""," "&amp;(IF(ABS(H17)&gt;=1E12,"TB",IF(ABS(H17)&gt;=1E9,"GB",IF(ABS(H17)&gt;=1E6,"MB",IF(ABS(H17)&gt;=1E3,"KB","bytes"))))))</f>
        <v>148.351 GB</v>
      </c>
      <c r="D17" s="4" t="s">
        <v>495</v>
      </c>
      <c r="G17" s="30">
        <f>'Prefill_8K'!$BA$50</f>
        <v>148351461888.0</v>
      </c>
      <c r="H17" s="30">
        <f>'Prefill_8K'!$BA$50</f>
        <v>148351461888.0</v>
      </c>
    </row>
    <row r="18" spans="1:8">
      <c r="A18" s="4" t="s">
        <v>451</v>
      </c>
      <c r="B18" s="31" t="str">
        <f>TEXT(IF(ABS(G18)&gt;=1E12,G18/1E12,IF(ABS(G18)&gt;=1E9,G18/1E9,IF(ABS(G18)&gt;=1E6,G18/1E6,IF(ABS(G18)&gt;=1E3,G18/1E3,G18)))),"#,##0.000")&amp;IF((IF(ABS(G18)&gt;=1E12,"TB",IF(ABS(G18)&gt;=1E9,"GB",IF(ABS(G18)&gt;=1E6,"MB",IF(ABS(G18)&gt;=1E3,"KB","bytes")))))="",""," "&amp;(IF(ABS(G18)&gt;=1E12,"TB",IF(ABS(G18)&gt;=1E9,"GB",IF(ABS(G18)&gt;=1E6,"MB",IF(ABS(G18)&gt;=1E3,"KB","bytes"))))))</f>
        <v>3.314 GB</v>
      </c>
      <c r="C18" s="31" t="str">
        <f>TEXT(IF(ABS(H18)&gt;=1E12,H18/1E12,IF(ABS(H18)&gt;=1E9,H18/1E9,IF(ABS(H18)&gt;=1E6,H18/1E6,IF(ABS(H18)&gt;=1E3,H18/1E3,H18)))),"#,##0.000")&amp;IF((IF(ABS(H18)&gt;=1E12,"TB",IF(ABS(H18)&gt;=1E9,"GB",IF(ABS(H18)&gt;=1E6,"MB",IF(ABS(H18)&gt;=1E3,"KB","bytes")))))="",""," "&amp;(IF(ABS(H18)&gt;=1E12,"TB",IF(ABS(H18)&gt;=1E9,"GB",IF(ABS(H18)&gt;=1E6,"MB",IF(ABS(H18)&gt;=1E3,"KB","bytes"))))))</f>
        <v>3.314 GB</v>
      </c>
      <c r="D18" s="4" t="s">
        <v>492</v>
      </c>
      <c r="G18" s="30">
        <f>'Prefill_8K'!$BA$51</f>
        <v>3314423644.0</v>
      </c>
      <c r="H18" s="30">
        <f>'Prefill_8K'!$BA$51</f>
        <v>3314423644.0</v>
      </c>
    </row>
    <row r="19" spans="1:8">
      <c r="A19" s="29" t="s">
        <v>452</v>
      </c>
      <c r="B19" s="29" t="str">
        <f>TEXT(IF(ABS(G19)&gt;=1E12,G19/1E12,IF(ABS(G19)&gt;=1E9,G19/1E9,IF(ABS(G19)&gt;=1E6,G19/1E6,IF(ABS(G19)&gt;=1E3,G19/1E3,G19)))),"#,##0.000")&amp;IF((IF(ABS(G19)&gt;=1E12,"TB",IF(ABS(G19)&gt;=1E9,"GB",IF(ABS(G19)&gt;=1E6,"MB",IF(ABS(G19)&gt;=1E3,"KB","bytes")))))="",""," "&amp;(IF(ABS(G19)&gt;=1E12,"TB",IF(ABS(G19)&gt;=1E9,"GB",IF(ABS(G19)&gt;=1E6,"MB",IF(ABS(G19)&gt;=1E3,"KB","bytes"))))))</f>
        <v>159.117 GB</v>
      </c>
      <c r="C19" s="29" t="str">
        <f>TEXT(IF(ABS(H19)&gt;=1E12,H19/1E12,IF(ABS(H19)&gt;=1E9,H19/1E9,IF(ABS(H19)&gt;=1E6,H19/1E6,IF(ABS(H19)&gt;=1E3,H19/1E3,H19)))),"#,##0.000")&amp;IF((IF(ABS(H19)&gt;=1E12,"TB",IF(ABS(H19)&gt;=1E9,"GB",IF(ABS(H19)&gt;=1E6,"MB",IF(ABS(H19)&gt;=1E3,"KB","bytes")))))="",""," "&amp;(IF(ABS(H19)&gt;=1E12,"TB",IF(ABS(H19)&gt;=1E9,"GB",IF(ABS(H19)&gt;=1E6,"MB",IF(ABS(H19)&gt;=1E3,"KB","bytes"))))))</f>
        <v>159.117 GB</v>
      </c>
      <c r="D19" s="4" t="s">
        <v>496</v>
      </c>
      <c r="G19" s="30">
        <f>'Prefill_8K'!$BA$52</f>
        <v>159117270492.0</v>
      </c>
      <c r="H19" s="30">
        <f>'Prefill_8K'!$BA$52</f>
        <v>159117270492.0</v>
      </c>
    </row>
    <row r="20" spans="1:8">
      <c r="A20" s="4" t="s">
        <v>454</v>
      </c>
      <c r="B20" s="31" t="str">
        <f>TEXT(IF(ABS(G20)&gt;=1E12,G20/1E12,IF(ABS(G20)&gt;=1E9,G20/1E9,IF(ABS(G20)&gt;=1E6,G20/1E6,IF(ABS(G20)&gt;=1E3,G20/1E3,G20)))),"#,##0.000")&amp;IF((IF(ABS(G20)&gt;=1E12,"TB",IF(ABS(G20)&gt;=1E9,"GB",IF(ABS(G20)&gt;=1E6,"MB",IF(ABS(G20)&gt;=1E3,"KB","bytes")))))="",""," "&amp;(IF(ABS(G20)&gt;=1E12,"TB",IF(ABS(G20)&gt;=1E9,"GB",IF(ABS(G20)&gt;=1E6,"MB",IF(ABS(G20)&gt;=1E3,"KB","bytes"))))))</f>
        <v>50.987 MB</v>
      </c>
      <c r="C20" s="31" t="str">
        <f>TEXT(IF(ABS(H20)&gt;=1E12,H20/1E12,IF(ABS(H20)&gt;=1E9,H20/1E9,IF(ABS(H20)&gt;=1E6,H20/1E6,IF(ABS(H20)&gt;=1E3,H20/1E3,H20)))),"#,##0.000")&amp;IF((IF(ABS(H20)&gt;=1E12,"TB",IF(ABS(H20)&gt;=1E9,"GB",IF(ABS(H20)&gt;=1E6,"MB",IF(ABS(H20)&gt;=1E3,"KB","bytes")))))="",""," "&amp;(IF(ABS(H20)&gt;=1E12,"TB",IF(ABS(H20)&gt;=1E9,"GB",IF(ABS(H20)&gt;=1E6,"MB",IF(ABS(H20)&gt;=1E3,"KB","bytes"))))))</f>
        <v>5.811 GB</v>
      </c>
      <c r="D20" s="4" t="s">
        <v>497</v>
      </c>
      <c r="G20" s="30">
        <f>'Prefill_8K'!$U$35</f>
        <v>50987008</v>
      </c>
      <c r="H20" s="30">
        <f>'Decode_1M'!$U$35</f>
        <v>5810552832</v>
      </c>
    </row>
    <row r="21" spans="1:8">
      <c r="A21" s="4" t="s">
        <v>456</v>
      </c>
      <c r="B21" s="31" t="str">
        <f>TEXT(IF(ABS(G21)&gt;=1E12,G21/1E12,IF(ABS(G21)&gt;=1E9,G21/1E9,IF(ABS(G21)&gt;=1E6,G21/1E6,IF(ABS(G21)&gt;=1E3,G21/1E3,G21)))),"#,##0.000")&amp;IF((IF(ABS(G21)&gt;=1E12,"TB",IF(ABS(G21)&gt;=1E9,"GB",IF(ABS(G21)&gt;=1E6,"MB",IF(ABS(G21)&gt;=1E3,"KB","bytes")))))="",""," "&amp;(IF(ABS(G21)&gt;=1E12,"TB",IF(ABS(G21)&gt;=1E9,"GB",IF(ABS(G21)&gt;=1E6,"MB",IF(ABS(G21)&gt;=1E3,"KB","bytes"))))))</f>
        <v>11.010 MB</v>
      </c>
      <c r="C21" s="31" t="str">
        <f>TEXT(IF(ABS(H21)&gt;=1E12,H21/1E12,IF(ABS(H21)&gt;=1E9,H21/1E9,IF(ABS(H21)&gt;=1E6,H21/1E6,IF(ABS(H21)&gt;=1E3,H21/1E3,H21)))),"#,##0.000")&amp;IF((IF(ABS(H21)&gt;=1E12,"TB",IF(ABS(H21)&gt;=1E9,"GB",IF(ABS(H21)&gt;=1E6,"MB",IF(ABS(H21)&gt;=1E3,"KB","bytes")))))="",""," "&amp;(IF(ABS(H21)&gt;=1E12,"TB",IF(ABS(H21)&gt;=1E9,"GB",IF(ABS(H21)&gt;=1E6,"MB",IF(ABS(H21)&gt;=1E3,"KB","bytes"))))))</f>
        <v>1.409 GB</v>
      </c>
      <c r="D21" s="4" t="s">
        <v>497</v>
      </c>
      <c r="G21" s="30">
        <f>'Prefill_8K'!$U$36</f>
        <v>11010048</v>
      </c>
      <c r="H21" s="30">
        <f>'Decode_1M'!$U$36</f>
        <v>1409286144</v>
      </c>
    </row>
    <row r="22" spans="1:8">
      <c r="A22" s="4" t="s">
        <v>457</v>
      </c>
      <c r="B22" s="31" t="str">
        <f>TEXT(IF(ABS(G22)&gt;=1E12,G22/1E12,IF(ABS(G22)&gt;=1E9,G22/1E9,IF(ABS(G22)&gt;=1E6,G22/1E6,IF(ABS(G22)&gt;=1E3,G22/1E3,G22)))),"#,##0.000")&amp;IF((IF(ABS(G22)&gt;=1E12,"TB",IF(ABS(G22)&gt;=1E9,"GB",IF(ABS(G22)&gt;=1E6,"MB",IF(ABS(G22)&gt;=1E3,"KB","bytes")))))="",""," "&amp;(IF(ABS(G22)&gt;=1E12,"TB",IF(ABS(G22)&gt;=1E9,"GB",IF(ABS(G22)&gt;=1E6,"MB",IF(ABS(G22)&gt;=1E3,"KB","bytes"))))))</f>
        <v>12.206 MB</v>
      </c>
      <c r="C22" s="31" t="str">
        <f>TEXT(IF(ABS(H22)&gt;=1E12,H22/1E12,IF(ABS(H22)&gt;=1E9,H22/1E9,IF(ABS(H22)&gt;=1E6,H22/1E6,IF(ABS(H22)&gt;=1E3,H22/1E3,H22)))),"#,##0.000")&amp;IF((IF(ABS(H22)&gt;=1E12,"TB",IF(ABS(H22)&gt;=1E9,"GB",IF(ABS(H22)&gt;=1E6,"MB",IF(ABS(H22)&gt;=1E3,"KB","bytes")))))="",""," "&amp;(IF(ABS(H22)&gt;=1E12,"TB",IF(ABS(H22)&gt;=1E9,"GB",IF(ABS(H22)&gt;=1E6,"MB",IF(ABS(H22)&gt;=1E3,"KB","bytes"))))))</f>
        <v>12.206 MB</v>
      </c>
      <c r="D22" s="4" t="s">
        <v>497</v>
      </c>
      <c r="G22" s="30">
        <f>'Prefill_8K'!$U$37</f>
        <v>12206080</v>
      </c>
      <c r="H22" s="30">
        <f>'Decode_1M'!$U$37</f>
        <v>12206080</v>
      </c>
    </row>
    <row r="23" spans="1:8">
      <c r="A23" s="4" t="s">
        <v>458</v>
      </c>
      <c r="B23" s="31" t="str">
        <f>TEXT(IF(ABS(G23)&gt;=1E12,G23/1E12,IF(ABS(G23)&gt;=1E9,G23/1E9,IF(ABS(G23)&gt;=1E6,G23/1E6,IF(ABS(G23)&gt;=1E3,G23/1E3,G23)))),"#,##0.000")&amp;IF((IF(ABS(G23)&gt;=1E12,"TB",IF(ABS(G23)&gt;=1E9,"GB",IF(ABS(G23)&gt;=1E6,"MB",IF(ABS(G23)&gt;=1E3,"KB","bytes")))))="",""," "&amp;(IF(ABS(G23)&gt;=1E12,"TB",IF(ABS(G23)&gt;=1E9,"GB",IF(ABS(G23)&gt;=1E6,"MB",IF(ABS(G23)&gt;=1E3,"KB","bytes"))))))</f>
        <v>7.232 GB</v>
      </c>
      <c r="C23" s="31" t="str">
        <f>TEXT(IF(ABS(H23)&gt;=1E12,H23/1E12,IF(ABS(H23)&gt;=1E9,H23/1E9,IF(ABS(H23)&gt;=1E6,H23/1E6,IF(ABS(H23)&gt;=1E3,H23/1E3,H23)))),"#,##0.000")&amp;IF((IF(ABS(H23)&gt;=1E12,"TB",IF(ABS(H23)&gt;=1E9,"GB",IF(ABS(H23)&gt;=1E6,"MB",IF(ABS(H23)&gt;=1E3,"KB","bytes")))))="",""," "&amp;(IF(ABS(H23)&gt;=1E12,"TB",IF(ABS(H23)&gt;=1E9,"GB",IF(ABS(H23)&gt;=1E6,"MB",IF(ABS(H23)&gt;=1E3,"KB","bytes"))))))</f>
        <v>7.232 GB</v>
      </c>
      <c r="D23" s="4" t="s">
        <v>497</v>
      </c>
      <c r="G23" s="30">
        <f>'Prefill_8K'!$U$38</f>
        <v>7232045056</v>
      </c>
      <c r="H23" s="30">
        <f>'Decode_1M'!$U$38</f>
        <v>7232045056</v>
      </c>
    </row>
    <row r="24" spans="1:8">
      <c r="A24" s="29" t="s">
        <v>459</v>
      </c>
      <c r="B24" s="29" t="str">
        <f>TEXT(IF(ABS(G24)&gt;=1E12,G24/1E12,IF(ABS(G24)&gt;=1E9,G24/1E9,IF(ABS(G24)&gt;=1E6,G24/1E6,IF(ABS(G24)&gt;=1E3,G24/1E3,G24)))),"#,##0.000")&amp;IF((IF(ABS(G24)&gt;=1E12,"TB",IF(ABS(G24)&gt;=1E9,"GB",IF(ABS(G24)&gt;=1E6,"MB",IF(ABS(G24)&gt;=1E3,"KB","bytes")))))="",""," "&amp;(IF(ABS(G24)&gt;=1E12,"TB",IF(ABS(G24)&gt;=1E9,"GB",IF(ABS(G24)&gt;=1E6,"MB",IF(ABS(G24)&gt;=1E3,"KB","bytes"))))))</f>
        <v>166.349 GB</v>
      </c>
      <c r="C24" s="29" t="str">
        <f>TEXT(IF(ABS(H24)&gt;=1E12,H24/1E12,IF(ABS(H24)&gt;=1E9,H24/1E9,IF(ABS(H24)&gt;=1E6,H24/1E6,IF(ABS(H24)&gt;=1E3,H24/1E3,H24)))),"#,##0.000")&amp;IF((IF(ABS(H24)&gt;=1E12,"TB",IF(ABS(H24)&gt;=1E9,"GB",IF(ABS(H24)&gt;=1E6,"MB",IF(ABS(H24)&gt;=1E3,"KB","bytes")))))="",""," "&amp;(IF(ABS(H24)&gt;=1E12,"TB",IF(ABS(H24)&gt;=1E9,"GB",IF(ABS(H24)&gt;=1E6,"MB",IF(ABS(H24)&gt;=1E3,"KB","bytes"))))))</f>
        <v>166.349 GB</v>
      </c>
      <c r="D24" s="4" t="s">
        <v>498</v>
      </c>
      <c r="G24" s="30">
        <f>'Prefill_8K'!$BA$52+'Prefill_8K'!$U$38</f>
        <v>166349315548.0</v>
      </c>
      <c r="H24" s="30">
        <f>'Prefill_8K'!$BA$52+'Decode_1M'!$U$38</f>
        <v>166349315548.0</v>
      </c>
    </row>
    <row r="26" spans="1:8">
      <c r="A26" s="28" t="s">
        <v>499</v>
      </c>
      <c r="B26" s="28"/>
      <c r="C26" s="28"/>
      <c r="D26" s="28"/>
    </row>
    <row r="27" spans="1:8">
      <c r="A27" s="3" t="s">
        <v>427</v>
      </c>
      <c r="B27" s="3" t="s">
        <v>487</v>
      </c>
      <c r="C27" s="3" t="s">
        <v>488</v>
      </c>
      <c r="D27" s="3" t="s">
        <v>352</v>
      </c>
    </row>
    <row r="28" spans="1:8">
      <c r="A28" s="4" t="s">
        <v>432</v>
      </c>
      <c r="B28" s="31" t="str">
        <f>TEXT(IF(ABS(G28)&gt;=1E15,G28/1E15,IF(ABS(G28)&gt;=1E12,G28/1E12,IF(ABS(G28)&gt;=1E9,G28/1E9,IF(ABS(G28)&gt;=1E6,G28/1E6,G28)))),"#,##0.000")&amp;IF((IF(ABS(G28)&gt;=1E15,"PFLOPs",IF(ABS(G28)&gt;=1E12,"TFLOPs",IF(ABS(G28)&gt;=1E9,"GFLOPs",IF(ABS(G28)&gt;=1E6,"MFLOPs","flops")))))="",""," "&amp;(IF(ABS(G28)&gt;=1E15,"PFLOPs",IF(ABS(G28)&gt;=1E12,"TFLOPs",IF(ABS(G28)&gt;=1E9,"GFLOPs",IF(ABS(G28)&gt;=1E6,"MFLOPs","flops"))))))</f>
        <v>23.172 TFLOPs</v>
      </c>
      <c r="C28" s="31" t="str">
        <f>TEXT(IF(ABS(H28)&gt;=1E15,H28/1E15,IF(ABS(H28)&gt;=1E12,H28/1E12,IF(ABS(H28)&gt;=1E9,H28/1E9,IF(ABS(H28)&gt;=1E6,H28/1E6,H28)))),"#,##0.000")&amp;IF((IF(ABS(H28)&gt;=1E15,"PFLOPs",IF(ABS(H28)&gt;=1E12,"TFLOPs",IF(ABS(H28)&gt;=1E9,"GFLOPs",IF(ABS(H28)&gt;=1E6,"MFLOPs","flops")))))="",""," "&amp;(IF(ABS(H28)&gt;=1E15,"PFLOPs",IF(ABS(H28)&gt;=1E12,"TFLOPs",IF(ABS(H28)&gt;=1E9,"GFLOPs",IF(ABS(H28)&gt;=1E6,"MFLOPs","flops"))))))</f>
        <v>19.452 GFLOPs</v>
      </c>
      <c r="D28" s="4" t="s">
        <v>489</v>
      </c>
      <c r="G28" s="30">
        <f>'Prefill_8K'!$AI$14</f>
        <v>23172382457856.0</v>
      </c>
      <c r="H28" s="30">
        <f>'Decode_1M'!$AI$14</f>
        <v>19452461056.0</v>
      </c>
    </row>
    <row r="29" spans="1:8">
      <c r="A29" s="4" t="s">
        <v>434</v>
      </c>
      <c r="B29" s="31" t="str">
        <f>TEXT(IF(ABS(G29)&gt;=1E15,G29/1E15,IF(ABS(G29)&gt;=1E12,G29/1E12,IF(ABS(G29)&gt;=1E9,G29/1E9,IF(ABS(G29)&gt;=1E6,G29/1E6,G29)))),"#,##0.000")&amp;IF((IF(ABS(G29)&gt;=1E15,"PFLOPs",IF(ABS(G29)&gt;=1E12,"TFLOPs",IF(ABS(G29)&gt;=1E9,"GFLOPs",IF(ABS(G29)&gt;=1E6,"MFLOPs","flops")))))="",""," "&amp;(IF(ABS(G29)&gt;=1E15,"PFLOPs",IF(ABS(G29)&gt;=1E12,"TFLOPs",IF(ABS(G29)&gt;=1E9,"GFLOPs",IF(ABS(G29)&gt;=1E6,"MFLOPs","flops"))))))</f>
        <v>31.766 TFLOPs</v>
      </c>
      <c r="C29" s="31" t="str">
        <f>TEXT(IF(ABS(H29)&gt;=1E15,H29/1E15,IF(ABS(H29)&gt;=1E12,H29/1E12,IF(ABS(H29)&gt;=1E9,H29/1E9,IF(ABS(H29)&gt;=1E6,H29/1E6,H29)))),"#,##0.000")&amp;IF((IF(ABS(H29)&gt;=1E15,"PFLOPs",IF(ABS(H29)&gt;=1E12,"TFLOPs",IF(ABS(H29)&gt;=1E9,"GFLOPs",IF(ABS(H29)&gt;=1E6,"MFLOPs","flops")))))="",""," "&amp;(IF(ABS(H29)&gt;=1E15,"PFLOPs",IF(ABS(H29)&gt;=1E12,"TFLOPs",IF(ABS(H29)&gt;=1E9,"GFLOPs",IF(ABS(H29)&gt;=1E6,"MFLOPs","flops"))))))</f>
        <v>3.878 GFLOPs</v>
      </c>
      <c r="D29" s="4" t="s">
        <v>489</v>
      </c>
      <c r="G29" s="30">
        <f>'Prefill_8K'!$AI$15</f>
        <v>31765578121216.0</v>
      </c>
      <c r="H29" s="30">
        <f>'Decode_1M'!$AI$15</f>
        <v>3877634048.0</v>
      </c>
    </row>
    <row r="30" spans="1:8">
      <c r="A30" s="4" t="s">
        <v>435</v>
      </c>
      <c r="B30" s="31" t="str">
        <f>TEXT(IF(ABS(G30)&gt;=1E15,G30/1E15,IF(ABS(G30)&gt;=1E12,G30/1E12,IF(ABS(G30)&gt;=1E9,G30/1E9,IF(ABS(G30)&gt;=1E6,G30/1E6,G30)))),"#,##0.000")&amp;IF((IF(ABS(G30)&gt;=1E15,"PFLOPs",IF(ABS(G30)&gt;=1E12,"TFLOPs",IF(ABS(G30)&gt;=1E9,"GFLOPs",IF(ABS(G30)&gt;=1E6,"MFLOPs","flops")))))="",""," "&amp;(IF(ABS(G30)&gt;=1E15,"PFLOPs",IF(ABS(G30)&gt;=1E12,"TFLOPs",IF(ABS(G30)&gt;=1E9,"GFLOPs",IF(ABS(G30)&gt;=1E6,"MFLOPs","flops"))))))</f>
        <v>714.608 GFLOPs</v>
      </c>
      <c r="C30" s="31" t="str">
        <f>TEXT(IF(ABS(H30)&gt;=1E15,H30/1E15,IF(ABS(H30)&gt;=1E12,H30/1E12,IF(ABS(H30)&gt;=1E9,H30/1E9,IF(ABS(H30)&gt;=1E6,H30/1E6,H30)))),"#,##0.000")&amp;IF((IF(ABS(H30)&gt;=1E15,"PFLOPs",IF(ABS(H30)&gt;=1E12,"TFLOPs",IF(ABS(H30)&gt;=1E9,"GFLOPs",IF(ABS(H30)&gt;=1E6,"MFLOPs","flops")))))="",""," "&amp;(IF(ABS(H30)&gt;=1E15,"PFLOPs",IF(ABS(H30)&gt;=1E12,"TFLOPs",IF(ABS(H30)&gt;=1E9,"GFLOPs",IF(ABS(H30)&gt;=1E6,"MFLOPs","flops"))))))</f>
        <v>219.599 MFLOPs</v>
      </c>
      <c r="D30" s="4" t="s">
        <v>489</v>
      </c>
      <c r="G30" s="30">
        <f>'Prefill_8K'!$AP$48</f>
        <v>714608328704.0</v>
      </c>
      <c r="H30" s="30">
        <f>'Decode_1M'!$AP$48</f>
        <v>219599022.0</v>
      </c>
    </row>
    <row r="31" spans="1:8">
      <c r="A31" s="29" t="s">
        <v>436</v>
      </c>
      <c r="B31" s="29" t="str">
        <f>TEXT(IF(ABS(G31)&gt;=1E15,G31/1E15,IF(ABS(G31)&gt;=1E12,G31/1E12,IF(ABS(G31)&gt;=1E9,G31/1E9,IF(ABS(G31)&gt;=1E6,G31/1E6,G31)))),"#,##0.000")&amp;IF((IF(ABS(G31)&gt;=1E15,"PFLOPs",IF(ABS(G31)&gt;=1E12,"TFLOPs",IF(ABS(G31)&gt;=1E9,"GFLOPs",IF(ABS(G31)&gt;=1E6,"MFLOPs","flops")))))="",""," "&amp;(IF(ABS(G31)&gt;=1E15,"PFLOPs",IF(ABS(G31)&gt;=1E12,"TFLOPs",IF(ABS(G31)&gt;=1E9,"GFLOPs",IF(ABS(G31)&gt;=1E6,"MFLOPs","flops"))))))</f>
        <v>55.653 TFLOPs</v>
      </c>
      <c r="C31" s="29" t="str">
        <f>TEXT(IF(ABS(H31)&gt;=1E15,H31/1E15,IF(ABS(H31)&gt;=1E12,H31/1E12,IF(ABS(H31)&gt;=1E9,H31/1E9,IF(ABS(H31)&gt;=1E6,H31/1E6,H31)))),"#,##0.000")&amp;IF((IF(ABS(H31)&gt;=1E15,"PFLOPs",IF(ABS(H31)&gt;=1E12,"TFLOPs",IF(ABS(H31)&gt;=1E9,"GFLOPs",IF(ABS(H31)&gt;=1E6,"MFLOPs","flops")))))="",""," "&amp;(IF(ABS(H31)&gt;=1E15,"PFLOPs",IF(ABS(H31)&gt;=1E12,"TFLOPs",IF(ABS(H31)&gt;=1E9,"GFLOPs",IF(ABS(H31)&gt;=1E6,"MFLOPs","flops"))))))</f>
        <v>23.550 GFLOPs</v>
      </c>
      <c r="D31" s="4" t="s">
        <v>489</v>
      </c>
      <c r="G31" s="30">
        <f>'Prefill_8K'!$AI$13</f>
        <v>55652568907776.0</v>
      </c>
      <c r="H31" s="30">
        <f>'Decode_1M'!$AI$13</f>
        <v>23549694126.0</v>
      </c>
    </row>
    <row r="32" spans="1:8">
      <c r="A32" s="4" t="s">
        <v>461</v>
      </c>
      <c r="B32" s="31" t="str">
        <f>TEXT(IF(ABS(G32)&gt;=1E15,G32/1E15,IF(ABS(G32)&gt;=1E12,G32/1E12,IF(ABS(G32)&gt;=1E9,G32/1E9,IF(ABS(G32)&gt;=1E6,G32/1E6,G32)))),"#,##0.000")&amp;IF((IF(ABS(G32)&gt;=1E15,"PFLOPs",IF(ABS(G32)&gt;=1E12,"TFLOPs",IF(ABS(G32)&gt;=1E9,"GFLOPs",IF(ABS(G32)&gt;=1E6,"MFLOPs","flops")))))="",""," "&amp;(IF(ABS(G32)&gt;=1E15,"PFLOPs",IF(ABS(G32)&gt;=1E12,"TFLOPs",IF(ABS(G32)&gt;=1E9,"GFLOPs",IF(ABS(G32)&gt;=1E6,"MFLOPs","flops"))))))</f>
        <v>55.653 TFLOPs</v>
      </c>
      <c r="C32" s="31" t="str">
        <f>TEXT(IF(ABS(H32)&gt;=1E15,H32/1E15,IF(ABS(H32)&gt;=1E12,H32/1E12,IF(ABS(H32)&gt;=1E9,H32/1E9,IF(ABS(H32)&gt;=1E6,H32/1E6,H32)))),"#,##0.000")&amp;IF((IF(ABS(H32)&gt;=1E15,"PFLOPs",IF(ABS(H32)&gt;=1E12,"TFLOPs",IF(ABS(H32)&gt;=1E9,"GFLOPs",IF(ABS(H32)&gt;=1E6,"MFLOPs","flops")))))="",""," "&amp;(IF(ABS(H32)&gt;=1E15,"PFLOPs",IF(ABS(H32)&gt;=1E12,"TFLOPs",IF(ABS(H32)&gt;=1E9,"GFLOPs",IF(ABS(H32)&gt;=1E6,"MFLOPs","flops"))))))</f>
        <v>23.550 GFLOPs</v>
      </c>
      <c r="D32" s="4" t="s">
        <v>462</v>
      </c>
      <c r="G32" s="30">
        <f>'Prefill_8K'!$AI$13</f>
        <v>55652568907776.0</v>
      </c>
      <c r="H32" s="30">
        <f>'Decode_1M'!$AI$13</f>
        <v>23549694126.0</v>
      </c>
    </row>
    <row r="33" spans="1:8">
      <c r="A33" s="4" t="s">
        <v>437</v>
      </c>
      <c r="B33" s="31" t="str">
        <f>TEXT(IF(ABS(G33)&gt;=1E12,G33/1E12,IF(ABS(G33)&gt;=1E9,G33/1E9,IF(ABS(G33)&gt;=1E6,G33/1E6,IF(ABS(G33)&gt;=1E3,G33/1E3,G33)))),"#,##0.000")&amp;IF((IF(ABS(G33)&gt;=1E12,"TB",IF(ABS(G33)&gt;=1E9,"GB",IF(ABS(G33)&gt;=1E6,"MB",IF(ABS(G33)&gt;=1E3,"KB","bytes")))))="",""," "&amp;(IF(ABS(G33)&gt;=1E12,"TB",IF(ABS(G33)&gt;=1E9,"GB",IF(ABS(G33)&gt;=1E6,"MB",IF(ABS(G33)&gt;=1E3,"KB","bytes"))))))</f>
        <v>40.635 GB</v>
      </c>
      <c r="C33" s="31" t="str">
        <f>TEXT(IF(ABS(H33)&gt;=1E12,H33/1E12,IF(ABS(H33)&gt;=1E9,H33/1E9,IF(ABS(H33)&gt;=1E6,H33/1E6,IF(ABS(H33)&gt;=1E3,H33/1E3,H33)))),"#,##0.000")&amp;IF((IF(ABS(H33)&gt;=1E12,"TB",IF(ABS(H33)&gt;=1E9,"GB",IF(ABS(H33)&gt;=1E6,"MB",IF(ABS(H33)&gt;=1E3,"KB","bytes")))))="",""," "&amp;(IF(ABS(H33)&gt;=1E12,"TB",IF(ABS(H33)&gt;=1E9,"GB",IF(ABS(H33)&gt;=1E6,"MB",IF(ABS(H33)&gt;=1E3,"KB","bytes"))))))</f>
        <v>5.865 MB</v>
      </c>
      <c r="D33" s="4" t="s">
        <v>490</v>
      </c>
      <c r="G33" s="30">
        <f>'Prefill_8K'!$AR$48</f>
        <v>40635322112.0</v>
      </c>
      <c r="H33" s="30">
        <f>'Decode_1M'!$AR$48</f>
        <v>5865216.0</v>
      </c>
    </row>
    <row r="34" spans="1:8">
      <c r="A34" s="4" t="s">
        <v>439</v>
      </c>
      <c r="B34" s="31" t="str">
        <f>TEXT(IF(ABS(G34)&gt;=1E12,G34/1E12,IF(ABS(G34)&gt;=1E9,G34/1E9,IF(ABS(G34)&gt;=1E6,G34/1E6,IF(ABS(G34)&gt;=1E3,G34/1E3,G34)))),"#,##0.000")&amp;IF((IF(ABS(G34)&gt;=1E12,"T",IF(ABS(G34)&gt;=1E9,"G",IF(ABS(G34)&gt;=1E6,"M",IF(ABS(G34)&gt;=1E3,"K","")))))="",""," "&amp;(IF(ABS(G34)&gt;=1E12,"T",IF(ABS(G34)&gt;=1E9,"G",IF(ABS(G34)&gt;=1E6,"M",IF(ABS(G34)&gt;=1E3,"K",""))))))</f>
        <v>1.140 G</v>
      </c>
      <c r="C34" s="31" t="str">
        <f>TEXT(IF(ABS(H34)&gt;=1E12,H34/1E12,IF(ABS(H34)&gt;=1E9,H34/1E9,IF(ABS(H34)&gt;=1E6,H34/1E6,IF(ABS(H34)&gt;=1E3,H34/1E3,H34)))),"#,##0.000")&amp;IF((IF(ABS(H34)&gt;=1E12,"T",IF(ABS(H34)&gt;=1E9,"G",IF(ABS(H34)&gt;=1E6,"M",IF(ABS(H34)&gt;=1E3,"K","")))))="",""," "&amp;(IF(ABS(H34)&gt;=1E12,"T",IF(ABS(H34)&gt;=1E9,"G",IF(ABS(H34)&gt;=1E6,"M",IF(ABS(H34)&gt;=1E3,"K",""))))))</f>
        <v>1.140 G</v>
      </c>
      <c r="D34" s="4" t="s">
        <v>491</v>
      </c>
      <c r="G34" s="30">
        <f>'Prefill_8K'!$AZ$49</f>
        <v>1139835008.0</v>
      </c>
      <c r="H34" s="30">
        <f>'Prefill_8K'!$AZ$49</f>
        <v>1139835008.0</v>
      </c>
    </row>
    <row r="35" spans="1:8">
      <c r="A35" s="4" t="s">
        <v>441</v>
      </c>
      <c r="B35" s="31" t="str">
        <f>TEXT(IF(ABS(G35)&gt;=1E12,G35/1E12,IF(ABS(G35)&gt;=1E9,G35/1E9,IF(ABS(G35)&gt;=1E6,G35/1E6,IF(ABS(G35)&gt;=1E3,G35/1E3,G35)))),"#,##0.000")&amp;IF((IF(ABS(G35)&gt;=1E12,"T",IF(ABS(G35)&gt;=1E9,"G",IF(ABS(G35)&gt;=1E6,"M",IF(ABS(G35)&gt;=1E3,"K","")))))="",""," "&amp;(IF(ABS(G35)&gt;=1E12,"T",IF(ABS(G35)&gt;=1E9,"G",IF(ABS(G35)&gt;=1E6,"M",IF(ABS(G35)&gt;=1E3,"K",""))))))</f>
        <v>35.758 G</v>
      </c>
      <c r="C35" s="31" t="str">
        <f>TEXT(IF(ABS(H35)&gt;=1E12,H35/1E12,IF(ABS(H35)&gt;=1E9,H35/1E9,IF(ABS(H35)&gt;=1E6,H35/1E6,IF(ABS(H35)&gt;=1E3,H35/1E3,H35)))),"#,##0.000")&amp;IF((IF(ABS(H35)&gt;=1E12,"T",IF(ABS(H35)&gt;=1E9,"G",IF(ABS(H35)&gt;=1E6,"M",IF(ABS(H35)&gt;=1E3,"K","")))))="",""," "&amp;(IF(ABS(H35)&gt;=1E12,"T",IF(ABS(H35)&gt;=1E9,"G",IF(ABS(H35)&gt;=1E6,"M",IF(ABS(H35)&gt;=1E3,"K",""))))))</f>
        <v>35.758 G</v>
      </c>
      <c r="D35" s="4" t="s">
        <v>442</v>
      </c>
      <c r="G35" s="30">
        <f>'Prefill_8K'!$AZ$50</f>
        <v>35757730304.0</v>
      </c>
      <c r="H35" s="30">
        <f>'Prefill_8K'!$AZ$50</f>
        <v>35757730304.0</v>
      </c>
    </row>
    <row r="36" spans="1:8">
      <c r="A36" s="4" t="s">
        <v>443</v>
      </c>
      <c r="B36" s="31" t="str">
        <f>TEXT(IF(ABS(G36)&gt;=1E12,G36/1E12,IF(ABS(G36)&gt;=1E9,G36/1E9,IF(ABS(G36)&gt;=1E6,G36/1E6,IF(ABS(G36)&gt;=1E3,G36/1E3,G36)))),"#,##0.000")&amp;IF((IF(ABS(G36)&gt;=1E12,"T",IF(ABS(G36)&gt;=1E9,"G",IF(ABS(G36)&gt;=1E6,"M",IF(ABS(G36)&gt;=1E3,"K","")))))="",""," "&amp;(IF(ABS(G36)&gt;=1E12,"T",IF(ABS(G36)&gt;=1E9,"G",IF(ABS(G36)&gt;=1E6,"M",IF(ABS(G36)&gt;=1E3,"K",""))))))</f>
        <v>166.690 M</v>
      </c>
      <c r="C36" s="31" t="str">
        <f>TEXT(IF(ABS(H36)&gt;=1E12,H36/1E12,IF(ABS(H36)&gt;=1E9,H36/1E9,IF(ABS(H36)&gt;=1E6,H36/1E6,IF(ABS(H36)&gt;=1E3,H36/1E3,H36)))),"#,##0.000")&amp;IF((IF(ABS(H36)&gt;=1E12,"T",IF(ABS(H36)&gt;=1E9,"G",IF(ABS(H36)&gt;=1E6,"M",IF(ABS(H36)&gt;=1E3,"K","")))))="",""," "&amp;(IF(ABS(H36)&gt;=1E12,"T",IF(ABS(H36)&gt;=1E9,"G",IF(ABS(H36)&gt;=1E6,"M",IF(ABS(H36)&gt;=1E3,"K",""))))))</f>
        <v>166.690 M</v>
      </c>
      <c r="D36" s="4" t="s">
        <v>492</v>
      </c>
      <c r="G36" s="30">
        <f>'Prefill_8K'!$AZ$51</f>
        <v>166689903.0</v>
      </c>
      <c r="H36" s="30">
        <f>'Prefill_8K'!$AZ$51</f>
        <v>166689903.0</v>
      </c>
    </row>
    <row r="37" spans="1:8">
      <c r="A37" s="29" t="s">
        <v>445</v>
      </c>
      <c r="B37" s="29" t="str">
        <f>TEXT(IF(ABS(G37)&gt;=1E12,G37/1E12,IF(ABS(G37)&gt;=1E9,G37/1E9,IF(ABS(G37)&gt;=1E6,G37/1E6,IF(ABS(G37)&gt;=1E3,G37/1E3,G37)))),"#,##0.000")&amp;IF((IF(ABS(G37)&gt;=1E12,"T",IF(ABS(G37)&gt;=1E9,"G",IF(ABS(G37)&gt;=1E6,"M",IF(ABS(G37)&gt;=1E3,"K","")))))="",""," "&amp;(IF(ABS(G37)&gt;=1E12,"T",IF(ABS(G37)&gt;=1E9,"G",IF(ABS(G37)&gt;=1E6,"M",IF(ABS(G37)&gt;=1E3,"K",""))))))</f>
        <v>37.064 G</v>
      </c>
      <c r="C37" s="29" t="str">
        <f>TEXT(IF(ABS(H37)&gt;=1E12,H37/1E12,IF(ABS(H37)&gt;=1E9,H37/1E9,IF(ABS(H37)&gt;=1E6,H37/1E6,IF(ABS(H37)&gt;=1E3,H37/1E3,H37)))),"#,##0.000")&amp;IF((IF(ABS(H37)&gt;=1E12,"T",IF(ABS(H37)&gt;=1E9,"G",IF(ABS(H37)&gt;=1E6,"M",IF(ABS(H37)&gt;=1E3,"K","")))))="",""," "&amp;(IF(ABS(H37)&gt;=1E12,"T",IF(ABS(H37)&gt;=1E9,"G",IF(ABS(H37)&gt;=1E6,"M",IF(ABS(H37)&gt;=1E3,"K",""))))))</f>
        <v>37.064 G</v>
      </c>
      <c r="D37" s="4" t="s">
        <v>493</v>
      </c>
      <c r="G37" s="30">
        <f>'Prefill_8K'!$AZ$52</f>
        <v>37064255215.0</v>
      </c>
      <c r="H37" s="30">
        <f>'Prefill_8K'!$AZ$52</f>
        <v>37064255215.0</v>
      </c>
    </row>
    <row r="38" spans="1:8">
      <c r="A38" s="4" t="s">
        <v>447</v>
      </c>
      <c r="B38" s="31" t="str">
        <f>TEXT(IF(ABS(G38)&gt;=1E12,G38/1E12,IF(ABS(G38)&gt;=1E9,G38/1E9,IF(ABS(G38)&gt;=1E6,G38/1E6,IF(ABS(G38)&gt;=1E3,G38/1E3,G38)))),"#,##0.000")&amp;IF((IF(ABS(G38)&gt;=1E12,"TB",IF(ABS(G38)&gt;=1E9,"GB",IF(ABS(G38)&gt;=1E6,"MB",IF(ABS(G38)&gt;=1E3,"KB","bytes")))))="",""," "&amp;(IF(ABS(G38)&gt;=1E12,"TB",IF(ABS(G38)&gt;=1E9,"GB",IF(ABS(G38)&gt;=1E6,"MB",IF(ABS(G38)&gt;=1E3,"KB","bytes"))))))</f>
        <v>2.238 GB</v>
      </c>
      <c r="C38" s="31" t="str">
        <f>TEXT(IF(ABS(H38)&gt;=1E12,H38/1E12,IF(ABS(H38)&gt;=1E9,H38/1E9,IF(ABS(H38)&gt;=1E6,H38/1E6,IF(ABS(H38)&gt;=1E3,H38/1E3,H38)))),"#,##0.000")&amp;IF((IF(ABS(H38)&gt;=1E12,"TB",IF(ABS(H38)&gt;=1E9,"GB",IF(ABS(H38)&gt;=1E6,"MB",IF(ABS(H38)&gt;=1E3,"KB","bytes")))))="",""," "&amp;(IF(ABS(H38)&gt;=1E12,"TB",IF(ABS(H38)&gt;=1E9,"GB",IF(ABS(H38)&gt;=1E6,"MB",IF(ABS(H38)&gt;=1E3,"KB","bytes"))))))</f>
        <v>2.238 GB</v>
      </c>
      <c r="D38" s="4" t="s">
        <v>494</v>
      </c>
      <c r="G38" s="30">
        <f>'Prefill_8K'!$BB$49</f>
        <v>2237504960</v>
      </c>
      <c r="H38" s="30">
        <f>'Prefill_8K'!$BB$49</f>
        <v>2237504960</v>
      </c>
    </row>
    <row r="39" spans="1:8">
      <c r="A39" s="4" t="s">
        <v>449</v>
      </c>
      <c r="B39" s="31" t="str">
        <f>TEXT(IF(ABS(G39)&gt;=1E12,G39/1E12,IF(ABS(G39)&gt;=1E9,G39/1E9,IF(ABS(G39)&gt;=1E6,G39/1E6,IF(ABS(G39)&gt;=1E3,G39/1E3,G39)))),"#,##0.000")&amp;IF((IF(ABS(G39)&gt;=1E12,"TB",IF(ABS(G39)&gt;=1E9,"GB",IF(ABS(G39)&gt;=1E6,"MB",IF(ABS(G39)&gt;=1E3,"KB","bytes")))))="",""," "&amp;(IF(ABS(G39)&gt;=1E12,"TB",IF(ABS(G39)&gt;=1E9,"GB",IF(ABS(G39)&gt;=1E6,"MB",IF(ABS(G39)&gt;=1E3,"KB","bytes"))))))</f>
        <v>19.578 GB</v>
      </c>
      <c r="C39" s="31" t="str">
        <f>TEXT(IF(ABS(H39)&gt;=1E12,H39/1E12,IF(ABS(H39)&gt;=1E9,H39/1E9,IF(ABS(H39)&gt;=1E6,H39/1E6,IF(ABS(H39)&gt;=1E3,H39/1E3,H39)))),"#,##0.000")&amp;IF((IF(ABS(H39)&gt;=1E12,"TB",IF(ABS(H39)&gt;=1E9,"GB",IF(ABS(H39)&gt;=1E6,"MB",IF(ABS(H39)&gt;=1E3,"KB","bytes")))))="",""," "&amp;(IF(ABS(H39)&gt;=1E12,"TB",IF(ABS(H39)&gt;=1E9,"GB",IF(ABS(H39)&gt;=1E6,"MB",IF(ABS(H39)&gt;=1E3,"KB","bytes"))))))</f>
        <v>19.578 GB</v>
      </c>
      <c r="D39" s="4" t="s">
        <v>495</v>
      </c>
      <c r="G39" s="30">
        <f>'Prefill_8K'!$BB$50</f>
        <v>19577940480.0</v>
      </c>
      <c r="H39" s="30">
        <f>'Prefill_8K'!$BB$50</f>
        <v>19577940480.0</v>
      </c>
    </row>
    <row r="40" spans="1:8">
      <c r="A40" s="4" t="s">
        <v>451</v>
      </c>
      <c r="B40" s="31" t="str">
        <f>TEXT(IF(ABS(G40)&gt;=1E12,G40/1E12,IF(ABS(G40)&gt;=1E9,G40/1E9,IF(ABS(G40)&gt;=1E6,G40/1E6,IF(ABS(G40)&gt;=1E3,G40/1E3,G40)))),"#,##0.000")&amp;IF((IF(ABS(G40)&gt;=1E12,"TB",IF(ABS(G40)&gt;=1E9,"GB",IF(ABS(G40)&gt;=1E6,"MB",IF(ABS(G40)&gt;=1E3,"KB","bytes")))))="",""," "&amp;(IF(ABS(G40)&gt;=1E12,"TB",IF(ABS(G40)&gt;=1E9,"GB",IF(ABS(G40)&gt;=1E6,"MB",IF(ABS(G40)&gt;=1E3,"KB","bytes"))))))</f>
        <v>534.377 MB</v>
      </c>
      <c r="C40" s="31" t="str">
        <f>TEXT(IF(ABS(H40)&gt;=1E12,H40/1E12,IF(ABS(H40)&gt;=1E9,H40/1E9,IF(ABS(H40)&gt;=1E6,H40/1E6,IF(ABS(H40)&gt;=1E3,H40/1E3,H40)))),"#,##0.000")&amp;IF((IF(ABS(H40)&gt;=1E12,"TB",IF(ABS(H40)&gt;=1E9,"GB",IF(ABS(H40)&gt;=1E6,"MB",IF(ABS(H40)&gt;=1E3,"KB","bytes")))))="",""," "&amp;(IF(ABS(H40)&gt;=1E12,"TB",IF(ABS(H40)&gt;=1E9,"GB",IF(ABS(H40)&gt;=1E6,"MB",IF(ABS(H40)&gt;=1E3,"KB","bytes"))))))</f>
        <v>534.377 MB</v>
      </c>
      <c r="D40" s="4" t="s">
        <v>492</v>
      </c>
      <c r="G40" s="30">
        <f>'Prefill_8K'!$BB$51</f>
        <v>534376892.0</v>
      </c>
      <c r="H40" s="30">
        <f>'Prefill_8K'!$BB$51</f>
        <v>534376892.0</v>
      </c>
    </row>
    <row r="41" spans="1:8">
      <c r="A41" s="29" t="s">
        <v>452</v>
      </c>
      <c r="B41" s="29" t="str">
        <f>TEXT(IF(ABS(G41)&gt;=1E12,G41/1E12,IF(ABS(G41)&gt;=1E9,G41/1E9,IF(ABS(G41)&gt;=1E6,G41/1E6,IF(ABS(G41)&gt;=1E3,G41/1E3,G41)))),"#,##0.000")&amp;IF((IF(ABS(G41)&gt;=1E12,"TB",IF(ABS(G41)&gt;=1E9,"GB",IF(ABS(G41)&gt;=1E6,"MB",IF(ABS(G41)&gt;=1E3,"KB","bytes")))))="",""," "&amp;(IF(ABS(G41)&gt;=1E12,"TB",IF(ABS(G41)&gt;=1E9,"GB",IF(ABS(G41)&gt;=1E6,"MB",IF(ABS(G41)&gt;=1E3,"KB","bytes"))))))</f>
        <v>22.350 GB</v>
      </c>
      <c r="C41" s="29" t="str">
        <f>TEXT(IF(ABS(H41)&gt;=1E12,H41/1E12,IF(ABS(H41)&gt;=1E9,H41/1E9,IF(ABS(H41)&gt;=1E6,H41/1E6,IF(ABS(H41)&gt;=1E3,H41/1E3,H41)))),"#,##0.000")&amp;IF((IF(ABS(H41)&gt;=1E12,"TB",IF(ABS(H41)&gt;=1E9,"GB",IF(ABS(H41)&gt;=1E6,"MB",IF(ABS(H41)&gt;=1E3,"KB","bytes")))))="",""," "&amp;(IF(ABS(H41)&gt;=1E12,"TB",IF(ABS(H41)&gt;=1E9,"GB",IF(ABS(H41)&gt;=1E6,"MB",IF(ABS(H41)&gt;=1E3,"KB","bytes"))))))</f>
        <v>22.350 GB</v>
      </c>
      <c r="D41" s="4" t="s">
        <v>496</v>
      </c>
      <c r="G41" s="30">
        <f>'Prefill_8K'!$BB$52</f>
        <v>22349822332.0</v>
      </c>
      <c r="H41" s="30">
        <f>'Prefill_8K'!$BB$52</f>
        <v>22349822332.0</v>
      </c>
    </row>
    <row r="42" spans="1:8">
      <c r="A42" s="4" t="s">
        <v>454</v>
      </c>
      <c r="B42" s="31" t="str">
        <f>TEXT(IF(ABS(G42)&gt;=1E12,G42/1E12,IF(ABS(G42)&gt;=1E9,G42/1E9,IF(ABS(G42)&gt;=1E6,G42/1E6,IF(ABS(G42)&gt;=1E3,G42/1E3,G42)))),"#,##0.000")&amp;IF((IF(ABS(G42)&gt;=1E12,"TB",IF(ABS(G42)&gt;=1E9,"GB",IF(ABS(G42)&gt;=1E6,"MB",IF(ABS(G42)&gt;=1E3,"KB","bytes")))))="",""," "&amp;(IF(ABS(G42)&gt;=1E12,"TB",IF(ABS(G42)&gt;=1E9,"GB",IF(ABS(G42)&gt;=1E6,"MB",IF(ABS(G42)&gt;=1E3,"KB","bytes"))))))</f>
        <v>50.987 MB</v>
      </c>
      <c r="C42" s="31" t="str">
        <f>TEXT(IF(ABS(H42)&gt;=1E12,H42/1E12,IF(ABS(H42)&gt;=1E9,H42/1E9,IF(ABS(H42)&gt;=1E6,H42/1E6,IF(ABS(H42)&gt;=1E3,H42/1E3,H42)))),"#,##0.000")&amp;IF((IF(ABS(H42)&gt;=1E12,"TB",IF(ABS(H42)&gt;=1E9,"GB",IF(ABS(H42)&gt;=1E6,"MB",IF(ABS(H42)&gt;=1E3,"KB","bytes")))))="",""," "&amp;(IF(ABS(H42)&gt;=1E12,"TB",IF(ABS(H42)&gt;=1E9,"GB",IF(ABS(H42)&gt;=1E6,"MB",IF(ABS(H42)&gt;=1E3,"KB","bytes"))))))</f>
        <v>5.811 GB</v>
      </c>
      <c r="D42" s="4" t="s">
        <v>497</v>
      </c>
      <c r="G42" s="30">
        <f>'Prefill_8K'!$X$35</f>
        <v>50987008</v>
      </c>
      <c r="H42" s="30">
        <f>'Decode_1M'!$X$35</f>
        <v>5810552832</v>
      </c>
    </row>
    <row r="43" spans="1:8">
      <c r="A43" s="4" t="s">
        <v>456</v>
      </c>
      <c r="B43" s="31" t="str">
        <f>TEXT(IF(ABS(G43)&gt;=1E12,G43/1E12,IF(ABS(G43)&gt;=1E9,G43/1E9,IF(ABS(G43)&gt;=1E6,G43/1E6,IF(ABS(G43)&gt;=1E3,G43/1E3,G43)))),"#,##0.000")&amp;IF((IF(ABS(G43)&gt;=1E12,"TB",IF(ABS(G43)&gt;=1E9,"GB",IF(ABS(G43)&gt;=1E6,"MB",IF(ABS(G43)&gt;=1E3,"KB","bytes")))))="",""," "&amp;(IF(ABS(G43)&gt;=1E12,"TB",IF(ABS(G43)&gt;=1E9,"GB",IF(ABS(G43)&gt;=1E6,"MB",IF(ABS(G43)&gt;=1E3,"KB","bytes"))))))</f>
        <v>11.010 MB</v>
      </c>
      <c r="C43" s="31" t="str">
        <f>TEXT(IF(ABS(H43)&gt;=1E12,H43/1E12,IF(ABS(H43)&gt;=1E9,H43/1E9,IF(ABS(H43)&gt;=1E6,H43/1E6,IF(ABS(H43)&gt;=1E3,H43/1E3,H43)))),"#,##0.000")&amp;IF((IF(ABS(H43)&gt;=1E12,"TB",IF(ABS(H43)&gt;=1E9,"GB",IF(ABS(H43)&gt;=1E6,"MB",IF(ABS(H43)&gt;=1E3,"KB","bytes")))))="",""," "&amp;(IF(ABS(H43)&gt;=1E12,"TB",IF(ABS(H43)&gt;=1E9,"GB",IF(ABS(H43)&gt;=1E6,"MB",IF(ABS(H43)&gt;=1E3,"KB","bytes"))))))</f>
        <v>1.409 GB</v>
      </c>
      <c r="D43" s="4" t="s">
        <v>497</v>
      </c>
      <c r="G43" s="30">
        <f>'Prefill_8K'!$X$36</f>
        <v>11010048</v>
      </c>
      <c r="H43" s="30">
        <f>'Decode_1M'!$X$36</f>
        <v>1409286144</v>
      </c>
    </row>
    <row r="44" spans="1:8">
      <c r="A44" s="4" t="s">
        <v>457</v>
      </c>
      <c r="B44" s="31" t="str">
        <f>TEXT(IF(ABS(G44)&gt;=1E12,G44/1E12,IF(ABS(G44)&gt;=1E9,G44/1E9,IF(ABS(G44)&gt;=1E6,G44/1E6,IF(ABS(G44)&gt;=1E3,G44/1E3,G44)))),"#,##0.000")&amp;IF((IF(ABS(G44)&gt;=1E12,"TB",IF(ABS(G44)&gt;=1E9,"GB",IF(ABS(G44)&gt;=1E6,"MB",IF(ABS(G44)&gt;=1E3,"KB","bytes")))))="",""," "&amp;(IF(ABS(G44)&gt;=1E12,"TB",IF(ABS(G44)&gt;=1E9,"GB",IF(ABS(G44)&gt;=1E6,"MB",IF(ABS(G44)&gt;=1E3,"KB","bytes"))))))</f>
        <v>12.206 MB</v>
      </c>
      <c r="C44" s="31" t="str">
        <f>TEXT(IF(ABS(H44)&gt;=1E12,H44/1E12,IF(ABS(H44)&gt;=1E9,H44/1E9,IF(ABS(H44)&gt;=1E6,H44/1E6,IF(ABS(H44)&gt;=1E3,H44/1E3,H44)))),"#,##0.000")&amp;IF((IF(ABS(H44)&gt;=1E12,"TB",IF(ABS(H44)&gt;=1E9,"GB",IF(ABS(H44)&gt;=1E6,"MB",IF(ABS(H44)&gt;=1E3,"KB","bytes")))))="",""," "&amp;(IF(ABS(H44)&gt;=1E12,"TB",IF(ABS(H44)&gt;=1E9,"GB",IF(ABS(H44)&gt;=1E6,"MB",IF(ABS(H44)&gt;=1E3,"KB","bytes"))))))</f>
        <v>12.206 MB</v>
      </c>
      <c r="D44" s="4" t="s">
        <v>497</v>
      </c>
      <c r="G44" s="30">
        <f>'Prefill_8K'!$X$37</f>
        <v>12206080</v>
      </c>
      <c r="H44" s="30">
        <f>'Decode_1M'!$X$37</f>
        <v>12206080</v>
      </c>
    </row>
    <row r="45" spans="1:8">
      <c r="A45" s="4" t="s">
        <v>458</v>
      </c>
      <c r="B45" s="31" t="str">
        <f>TEXT(IF(ABS(G45)&gt;=1E12,G45/1E12,IF(ABS(G45)&gt;=1E9,G45/1E9,IF(ABS(G45)&gt;=1E6,G45/1E6,IF(ABS(G45)&gt;=1E3,G45/1E3,G45)))),"#,##0.000")&amp;IF((IF(ABS(G45)&gt;=1E12,"TB",IF(ABS(G45)&gt;=1E9,"GB",IF(ABS(G45)&gt;=1E6,"MB",IF(ABS(G45)&gt;=1E3,"KB","bytes")))))="",""," "&amp;(IF(ABS(G45)&gt;=1E12,"TB",IF(ABS(G45)&gt;=1E9,"GB",IF(ABS(G45)&gt;=1E6,"MB",IF(ABS(G45)&gt;=1E3,"KB","bytes"))))))</f>
        <v>7.232 GB</v>
      </c>
      <c r="C45" s="31" t="str">
        <f>TEXT(IF(ABS(H45)&gt;=1E12,H45/1E12,IF(ABS(H45)&gt;=1E9,H45/1E9,IF(ABS(H45)&gt;=1E6,H45/1E6,IF(ABS(H45)&gt;=1E3,H45/1E3,H45)))),"#,##0.000")&amp;IF((IF(ABS(H45)&gt;=1E12,"TB",IF(ABS(H45)&gt;=1E9,"GB",IF(ABS(H45)&gt;=1E6,"MB",IF(ABS(H45)&gt;=1E3,"KB","bytes")))))="",""," "&amp;(IF(ABS(H45)&gt;=1E12,"TB",IF(ABS(H45)&gt;=1E9,"GB",IF(ABS(H45)&gt;=1E6,"MB",IF(ABS(H45)&gt;=1E3,"KB","bytes"))))))</f>
        <v>7.232 GB</v>
      </c>
      <c r="D45" s="4" t="s">
        <v>497</v>
      </c>
      <c r="G45" s="30">
        <f>'Prefill_8K'!$X$38</f>
        <v>7232045056</v>
      </c>
      <c r="H45" s="30">
        <f>'Decode_1M'!$X$38</f>
        <v>7232045056</v>
      </c>
    </row>
    <row r="46" spans="1:8">
      <c r="A46" s="29" t="s">
        <v>459</v>
      </c>
      <c r="B46" s="29" t="str">
        <f>TEXT(IF(ABS(G46)&gt;=1E12,G46/1E12,IF(ABS(G46)&gt;=1E9,G46/1E9,IF(ABS(G46)&gt;=1E6,G46/1E6,IF(ABS(G46)&gt;=1E3,G46/1E3,G46)))),"#,##0.000")&amp;IF((IF(ABS(G46)&gt;=1E12,"TB",IF(ABS(G46)&gt;=1E9,"GB",IF(ABS(G46)&gt;=1E6,"MB",IF(ABS(G46)&gt;=1E3,"KB","bytes")))))="",""," "&amp;(IF(ABS(G46)&gt;=1E12,"TB",IF(ABS(G46)&gt;=1E9,"GB",IF(ABS(G46)&gt;=1E6,"MB",IF(ABS(G46)&gt;=1E3,"KB","bytes"))))))</f>
        <v>29.582 GB</v>
      </c>
      <c r="C46" s="29" t="str">
        <f>TEXT(IF(ABS(H46)&gt;=1E12,H46/1E12,IF(ABS(H46)&gt;=1E9,H46/1E9,IF(ABS(H46)&gt;=1E6,H46/1E6,IF(ABS(H46)&gt;=1E3,H46/1E3,H46)))),"#,##0.000")&amp;IF((IF(ABS(H46)&gt;=1E12,"TB",IF(ABS(H46)&gt;=1E9,"GB",IF(ABS(H46)&gt;=1E6,"MB",IF(ABS(H46)&gt;=1E3,"KB","bytes")))))="",""," "&amp;(IF(ABS(H46)&gt;=1E12,"TB",IF(ABS(H46)&gt;=1E9,"GB",IF(ABS(H46)&gt;=1E6,"MB",IF(ABS(H46)&gt;=1E3,"KB","bytes"))))))</f>
        <v>29.582 GB</v>
      </c>
      <c r="D46" s="4" t="s">
        <v>498</v>
      </c>
      <c r="G46" s="30">
        <f>'Prefill_8K'!$BB$52+'Prefill_8K'!$X$38</f>
        <v>29581867388.0</v>
      </c>
      <c r="H46" s="30">
        <f>'Prefill_8K'!$BB$52+'Decode_1M'!$X$38</f>
        <v>29581867388.0</v>
      </c>
    </row>
  </sheetData>
  <mergeCells count="2">
    <mergeCell ref="A4:D4"/>
    <mergeCell ref="A26:D2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2" width="12.7109375" customWidth="1"/>
    <col min="3" max="4" width="20.7109375" customWidth="1"/>
    <col min="5" max="6" width="34.7109375" customWidth="1"/>
  </cols>
  <sheetData>
    <row r="1" spans="1:6">
      <c r="A1" s="1" t="s">
        <v>500</v>
      </c>
    </row>
    <row r="2" spans="1:6">
      <c r="A2" s="2" t="s">
        <v>501</v>
      </c>
    </row>
    <row r="3" spans="1:6">
      <c r="A3" s="3" t="s">
        <v>410</v>
      </c>
      <c r="B3" s="3" t="s">
        <v>502</v>
      </c>
      <c r="C3" s="3" t="s">
        <v>463</v>
      </c>
      <c r="D3" s="3" t="s">
        <v>412</v>
      </c>
      <c r="E3" s="3" t="s">
        <v>503</v>
      </c>
      <c r="F3" s="3" t="s">
        <v>504</v>
      </c>
    </row>
    <row r="4" spans="1:6">
      <c r="A4" s="32">
        <v>0</v>
      </c>
      <c r="B4" s="33">
        <v>1</v>
      </c>
      <c r="C4" s="33" t="s">
        <v>505</v>
      </c>
      <c r="D4" s="34">
        <f>IF(C4="window",0,IF(C4="short",ShortRatio,LongRatio))</f>
        <v>0</v>
      </c>
      <c r="E4" s="4" t="str">
        <f>IF(B4=0,"inactive",IF(C4="window","raw sliding window",IF(C4="short","compressed KV + Indexer Top-K","deterministic compressed KV")))</f>
        <v>raw sliding window</v>
      </c>
      <c r="F4" s="4" t="str">
        <f>IF(B4=0,"inactive",IF(A4&lt;HashLayers,"Token-ID lookup","score"))</f>
        <v>Token-ID lookup</v>
      </c>
    </row>
    <row r="5" spans="1:6">
      <c r="A5" s="32">
        <v>1</v>
      </c>
      <c r="B5" s="33">
        <v>1</v>
      </c>
      <c r="C5" s="33" t="s">
        <v>505</v>
      </c>
      <c r="D5" s="34">
        <f>IF(C5="window",0,IF(C5="short",ShortRatio,LongRatio))</f>
        <v>0</v>
      </c>
      <c r="E5" s="4" t="str">
        <f>IF(B5=0,"inactive",IF(C5="window","raw sliding window",IF(C5="short","compressed KV + Indexer Top-K","deterministic compressed KV")))</f>
        <v>raw sliding window</v>
      </c>
      <c r="F5" s="4" t="str">
        <f>IF(B5=0,"inactive",IF(A5&lt;HashLayers,"Token-ID lookup","score"))</f>
        <v>Token-ID lookup</v>
      </c>
    </row>
    <row r="6" spans="1:6">
      <c r="A6" s="32">
        <v>2</v>
      </c>
      <c r="B6" s="33">
        <v>1</v>
      </c>
      <c r="C6" s="33" t="s">
        <v>506</v>
      </c>
      <c r="D6" s="34">
        <f>IF(C6="window",0,IF(C6="short",ShortRatio,LongRatio))</f>
        <v>4</v>
      </c>
      <c r="E6" s="4" t="str">
        <f>IF(B6=0,"inactive",IF(C6="window","raw sliding window",IF(C6="short","compressed KV + Indexer Top-K","deterministic compressed KV")))</f>
        <v>compressed KV + Indexer Top-K</v>
      </c>
      <c r="F6" s="4" t="str">
        <f>IF(B6=0,"inactive",IF(A6&lt;HashLayers,"Token-ID lookup","score"))</f>
        <v>Token-ID lookup</v>
      </c>
    </row>
    <row r="7" spans="1:6">
      <c r="A7" s="32">
        <v>3</v>
      </c>
      <c r="B7" s="33">
        <v>1</v>
      </c>
      <c r="C7" s="33" t="s">
        <v>507</v>
      </c>
      <c r="D7" s="34">
        <f>IF(C7="window",0,IF(C7="short",ShortRatio,LongRatio))</f>
        <v>128</v>
      </c>
      <c r="E7" s="4" t="str">
        <f>IF(B7=0,"inactive",IF(C7="window","raw sliding window",IF(C7="short","compressed KV + Indexer Top-K","deterministic compressed KV")))</f>
        <v>deterministic compressed KV</v>
      </c>
      <c r="F7" s="4" t="str">
        <f>IF(B7=0,"inactive",IF(A7&lt;HashLayers,"Token-ID lookup","score"))</f>
        <v>score</v>
      </c>
    </row>
    <row r="8" spans="1:6">
      <c r="A8" s="32">
        <v>4</v>
      </c>
      <c r="B8" s="33">
        <v>1</v>
      </c>
      <c r="C8" s="33" t="s">
        <v>506</v>
      </c>
      <c r="D8" s="34">
        <f>IF(C8="window",0,IF(C8="short",ShortRatio,LongRatio))</f>
        <v>4</v>
      </c>
      <c r="E8" s="4" t="str">
        <f>IF(B8=0,"inactive",IF(C8="window","raw sliding window",IF(C8="short","compressed KV + Indexer Top-K","deterministic compressed KV")))</f>
        <v>compressed KV + Indexer Top-K</v>
      </c>
      <c r="F8" s="4" t="str">
        <f>IF(B8=0,"inactive",IF(A8&lt;HashLayers,"Token-ID lookup","score"))</f>
        <v>score</v>
      </c>
    </row>
    <row r="9" spans="1:6">
      <c r="A9" s="32">
        <v>5</v>
      </c>
      <c r="B9" s="33">
        <v>1</v>
      </c>
      <c r="C9" s="33" t="s">
        <v>507</v>
      </c>
      <c r="D9" s="34">
        <f>IF(C9="window",0,IF(C9="short",ShortRatio,LongRatio))</f>
        <v>128</v>
      </c>
      <c r="E9" s="4" t="str">
        <f>IF(B9=0,"inactive",IF(C9="window","raw sliding window",IF(C9="short","compressed KV + Indexer Top-K","deterministic compressed KV")))</f>
        <v>deterministic compressed KV</v>
      </c>
      <c r="F9" s="4" t="str">
        <f>IF(B9=0,"inactive",IF(A9&lt;HashLayers,"Token-ID lookup","score"))</f>
        <v>score</v>
      </c>
    </row>
    <row r="10" spans="1:6">
      <c r="A10" s="32">
        <v>6</v>
      </c>
      <c r="B10" s="33">
        <v>1</v>
      </c>
      <c r="C10" s="33" t="s">
        <v>506</v>
      </c>
      <c r="D10" s="34">
        <f>IF(C10="window",0,IF(C10="short",ShortRatio,LongRatio))</f>
        <v>4</v>
      </c>
      <c r="E10" s="4" t="str">
        <f>IF(B10=0,"inactive",IF(C10="window","raw sliding window",IF(C10="short","compressed KV + Indexer Top-K","deterministic compressed KV")))</f>
        <v>compressed KV + Indexer Top-K</v>
      </c>
      <c r="F10" s="4" t="str">
        <f>IF(B10=0,"inactive",IF(A10&lt;HashLayers,"Token-ID lookup","score"))</f>
        <v>score</v>
      </c>
    </row>
    <row r="11" spans="1:6">
      <c r="A11" s="32">
        <v>7</v>
      </c>
      <c r="B11" s="33">
        <v>1</v>
      </c>
      <c r="C11" s="33" t="s">
        <v>507</v>
      </c>
      <c r="D11" s="34">
        <f>IF(C11="window",0,IF(C11="short",ShortRatio,LongRatio))</f>
        <v>128</v>
      </c>
      <c r="E11" s="4" t="str">
        <f>IF(B11=0,"inactive",IF(C11="window","raw sliding window",IF(C11="short","compressed KV + Indexer Top-K","deterministic compressed KV")))</f>
        <v>deterministic compressed KV</v>
      </c>
      <c r="F11" s="4" t="str">
        <f>IF(B11=0,"inactive",IF(A11&lt;HashLayers,"Token-ID lookup","score"))</f>
        <v>score</v>
      </c>
    </row>
    <row r="12" spans="1:6">
      <c r="A12" s="32">
        <v>8</v>
      </c>
      <c r="B12" s="33">
        <v>1</v>
      </c>
      <c r="C12" s="33" t="s">
        <v>506</v>
      </c>
      <c r="D12" s="34">
        <f>IF(C12="window",0,IF(C12="short",ShortRatio,LongRatio))</f>
        <v>4</v>
      </c>
      <c r="E12" s="4" t="str">
        <f>IF(B12=0,"inactive",IF(C12="window","raw sliding window",IF(C12="short","compressed KV + Indexer Top-K","deterministic compressed KV")))</f>
        <v>compressed KV + Indexer Top-K</v>
      </c>
      <c r="F12" s="4" t="str">
        <f>IF(B12=0,"inactive",IF(A12&lt;HashLayers,"Token-ID lookup","score"))</f>
        <v>score</v>
      </c>
    </row>
    <row r="13" spans="1:6">
      <c r="A13" s="32">
        <v>9</v>
      </c>
      <c r="B13" s="33">
        <v>1</v>
      </c>
      <c r="C13" s="33" t="s">
        <v>507</v>
      </c>
      <c r="D13" s="34">
        <f>IF(C13="window",0,IF(C13="short",ShortRatio,LongRatio))</f>
        <v>128</v>
      </c>
      <c r="E13" s="4" t="str">
        <f>IF(B13=0,"inactive",IF(C13="window","raw sliding window",IF(C13="short","compressed KV + Indexer Top-K","deterministic compressed KV")))</f>
        <v>deterministic compressed KV</v>
      </c>
      <c r="F13" s="4" t="str">
        <f>IF(B13=0,"inactive",IF(A13&lt;HashLayers,"Token-ID lookup","score"))</f>
        <v>score</v>
      </c>
    </row>
    <row r="14" spans="1:6">
      <c r="A14" s="32">
        <v>10</v>
      </c>
      <c r="B14" s="33">
        <v>1</v>
      </c>
      <c r="C14" s="33" t="s">
        <v>506</v>
      </c>
      <c r="D14" s="34">
        <f>IF(C14="window",0,IF(C14="short",ShortRatio,LongRatio))</f>
        <v>4</v>
      </c>
      <c r="E14" s="4" t="str">
        <f>IF(B14=0,"inactive",IF(C14="window","raw sliding window",IF(C14="short","compressed KV + Indexer Top-K","deterministic compressed KV")))</f>
        <v>compressed KV + Indexer Top-K</v>
      </c>
      <c r="F14" s="4" t="str">
        <f>IF(B14=0,"inactive",IF(A14&lt;HashLayers,"Token-ID lookup","score"))</f>
        <v>score</v>
      </c>
    </row>
    <row r="15" spans="1:6">
      <c r="A15" s="32">
        <v>11</v>
      </c>
      <c r="B15" s="33">
        <v>1</v>
      </c>
      <c r="C15" s="33" t="s">
        <v>507</v>
      </c>
      <c r="D15" s="34">
        <f>IF(C15="window",0,IF(C15="short",ShortRatio,LongRatio))</f>
        <v>128</v>
      </c>
      <c r="E15" s="4" t="str">
        <f>IF(B15=0,"inactive",IF(C15="window","raw sliding window",IF(C15="short","compressed KV + Indexer Top-K","deterministic compressed KV")))</f>
        <v>deterministic compressed KV</v>
      </c>
      <c r="F15" s="4" t="str">
        <f>IF(B15=0,"inactive",IF(A15&lt;HashLayers,"Token-ID lookup","score"))</f>
        <v>score</v>
      </c>
    </row>
    <row r="16" spans="1:6">
      <c r="A16" s="32">
        <v>12</v>
      </c>
      <c r="B16" s="33">
        <v>1</v>
      </c>
      <c r="C16" s="33" t="s">
        <v>506</v>
      </c>
      <c r="D16" s="34">
        <f>IF(C16="window",0,IF(C16="short",ShortRatio,LongRatio))</f>
        <v>4</v>
      </c>
      <c r="E16" s="4" t="str">
        <f>IF(B16=0,"inactive",IF(C16="window","raw sliding window",IF(C16="short","compressed KV + Indexer Top-K","deterministic compressed KV")))</f>
        <v>compressed KV + Indexer Top-K</v>
      </c>
      <c r="F16" s="4" t="str">
        <f>IF(B16=0,"inactive",IF(A16&lt;HashLayers,"Token-ID lookup","score"))</f>
        <v>score</v>
      </c>
    </row>
    <row r="17" spans="1:6">
      <c r="A17" s="32">
        <v>13</v>
      </c>
      <c r="B17" s="33">
        <v>1</v>
      </c>
      <c r="C17" s="33" t="s">
        <v>507</v>
      </c>
      <c r="D17" s="34">
        <f>IF(C17="window",0,IF(C17="short",ShortRatio,LongRatio))</f>
        <v>128</v>
      </c>
      <c r="E17" s="4" t="str">
        <f>IF(B17=0,"inactive",IF(C17="window","raw sliding window",IF(C17="short","compressed KV + Indexer Top-K","deterministic compressed KV")))</f>
        <v>deterministic compressed KV</v>
      </c>
      <c r="F17" s="4" t="str">
        <f>IF(B17=0,"inactive",IF(A17&lt;HashLayers,"Token-ID lookup","score"))</f>
        <v>score</v>
      </c>
    </row>
    <row r="18" spans="1:6">
      <c r="A18" s="32">
        <v>14</v>
      </c>
      <c r="B18" s="33">
        <v>1</v>
      </c>
      <c r="C18" s="33" t="s">
        <v>506</v>
      </c>
      <c r="D18" s="34">
        <f>IF(C18="window",0,IF(C18="short",ShortRatio,LongRatio))</f>
        <v>4</v>
      </c>
      <c r="E18" s="4" t="str">
        <f>IF(B18=0,"inactive",IF(C18="window","raw sliding window",IF(C18="short","compressed KV + Indexer Top-K","deterministic compressed KV")))</f>
        <v>compressed KV + Indexer Top-K</v>
      </c>
      <c r="F18" s="4" t="str">
        <f>IF(B18=0,"inactive",IF(A18&lt;HashLayers,"Token-ID lookup","score"))</f>
        <v>score</v>
      </c>
    </row>
    <row r="19" spans="1:6">
      <c r="A19" s="32">
        <v>15</v>
      </c>
      <c r="B19" s="33">
        <v>1</v>
      </c>
      <c r="C19" s="33" t="s">
        <v>507</v>
      </c>
      <c r="D19" s="34">
        <f>IF(C19="window",0,IF(C19="short",ShortRatio,LongRatio))</f>
        <v>128</v>
      </c>
      <c r="E19" s="4" t="str">
        <f>IF(B19=0,"inactive",IF(C19="window","raw sliding window",IF(C19="short","compressed KV + Indexer Top-K","deterministic compressed KV")))</f>
        <v>deterministic compressed KV</v>
      </c>
      <c r="F19" s="4" t="str">
        <f>IF(B19=0,"inactive",IF(A19&lt;HashLayers,"Token-ID lookup","score"))</f>
        <v>score</v>
      </c>
    </row>
    <row r="20" spans="1:6">
      <c r="A20" s="32">
        <v>16</v>
      </c>
      <c r="B20" s="33">
        <v>1</v>
      </c>
      <c r="C20" s="33" t="s">
        <v>506</v>
      </c>
      <c r="D20" s="34">
        <f>IF(C20="window",0,IF(C20="short",ShortRatio,LongRatio))</f>
        <v>4</v>
      </c>
      <c r="E20" s="4" t="str">
        <f>IF(B20=0,"inactive",IF(C20="window","raw sliding window",IF(C20="short","compressed KV + Indexer Top-K","deterministic compressed KV")))</f>
        <v>compressed KV + Indexer Top-K</v>
      </c>
      <c r="F20" s="4" t="str">
        <f>IF(B20=0,"inactive",IF(A20&lt;HashLayers,"Token-ID lookup","score"))</f>
        <v>score</v>
      </c>
    </row>
    <row r="21" spans="1:6">
      <c r="A21" s="32">
        <v>17</v>
      </c>
      <c r="B21" s="33">
        <v>1</v>
      </c>
      <c r="C21" s="33" t="s">
        <v>507</v>
      </c>
      <c r="D21" s="34">
        <f>IF(C21="window",0,IF(C21="short",ShortRatio,LongRatio))</f>
        <v>128</v>
      </c>
      <c r="E21" s="4" t="str">
        <f>IF(B21=0,"inactive",IF(C21="window","raw sliding window",IF(C21="short","compressed KV + Indexer Top-K","deterministic compressed KV")))</f>
        <v>deterministic compressed KV</v>
      </c>
      <c r="F21" s="4" t="str">
        <f>IF(B21=0,"inactive",IF(A21&lt;HashLayers,"Token-ID lookup","score"))</f>
        <v>score</v>
      </c>
    </row>
    <row r="22" spans="1:6">
      <c r="A22" s="32">
        <v>18</v>
      </c>
      <c r="B22" s="33">
        <v>1</v>
      </c>
      <c r="C22" s="33" t="s">
        <v>506</v>
      </c>
      <c r="D22" s="34">
        <f>IF(C22="window",0,IF(C22="short",ShortRatio,LongRatio))</f>
        <v>4</v>
      </c>
      <c r="E22" s="4" t="str">
        <f>IF(B22=0,"inactive",IF(C22="window","raw sliding window",IF(C22="short","compressed KV + Indexer Top-K","deterministic compressed KV")))</f>
        <v>compressed KV + Indexer Top-K</v>
      </c>
      <c r="F22" s="4" t="str">
        <f>IF(B22=0,"inactive",IF(A22&lt;HashLayers,"Token-ID lookup","score"))</f>
        <v>score</v>
      </c>
    </row>
    <row r="23" spans="1:6">
      <c r="A23" s="32">
        <v>19</v>
      </c>
      <c r="B23" s="33">
        <v>1</v>
      </c>
      <c r="C23" s="33" t="s">
        <v>507</v>
      </c>
      <c r="D23" s="34">
        <f>IF(C23="window",0,IF(C23="short",ShortRatio,LongRatio))</f>
        <v>128</v>
      </c>
      <c r="E23" s="4" t="str">
        <f>IF(B23=0,"inactive",IF(C23="window","raw sliding window",IF(C23="short","compressed KV + Indexer Top-K","deterministic compressed KV")))</f>
        <v>deterministic compressed KV</v>
      </c>
      <c r="F23" s="4" t="str">
        <f>IF(B23=0,"inactive",IF(A23&lt;HashLayers,"Token-ID lookup","score"))</f>
        <v>score</v>
      </c>
    </row>
    <row r="24" spans="1:6">
      <c r="A24" s="32">
        <v>20</v>
      </c>
      <c r="B24" s="33">
        <v>1</v>
      </c>
      <c r="C24" s="33" t="s">
        <v>506</v>
      </c>
      <c r="D24" s="34">
        <f>IF(C24="window",0,IF(C24="short",ShortRatio,LongRatio))</f>
        <v>4</v>
      </c>
      <c r="E24" s="4" t="str">
        <f>IF(B24=0,"inactive",IF(C24="window","raw sliding window",IF(C24="short","compressed KV + Indexer Top-K","deterministic compressed KV")))</f>
        <v>compressed KV + Indexer Top-K</v>
      </c>
      <c r="F24" s="4" t="str">
        <f>IF(B24=0,"inactive",IF(A24&lt;HashLayers,"Token-ID lookup","score"))</f>
        <v>score</v>
      </c>
    </row>
    <row r="25" spans="1:6">
      <c r="A25" s="32">
        <v>21</v>
      </c>
      <c r="B25" s="33">
        <v>1</v>
      </c>
      <c r="C25" s="33" t="s">
        <v>507</v>
      </c>
      <c r="D25" s="34">
        <f>IF(C25="window",0,IF(C25="short",ShortRatio,LongRatio))</f>
        <v>128</v>
      </c>
      <c r="E25" s="4" t="str">
        <f>IF(B25=0,"inactive",IF(C25="window","raw sliding window",IF(C25="short","compressed KV + Indexer Top-K","deterministic compressed KV")))</f>
        <v>deterministic compressed KV</v>
      </c>
      <c r="F25" s="4" t="str">
        <f>IF(B25=0,"inactive",IF(A25&lt;HashLayers,"Token-ID lookup","score"))</f>
        <v>score</v>
      </c>
    </row>
    <row r="26" spans="1:6">
      <c r="A26" s="32">
        <v>22</v>
      </c>
      <c r="B26" s="33">
        <v>1</v>
      </c>
      <c r="C26" s="33" t="s">
        <v>506</v>
      </c>
      <c r="D26" s="34">
        <f>IF(C26="window",0,IF(C26="short",ShortRatio,LongRatio))</f>
        <v>4</v>
      </c>
      <c r="E26" s="4" t="str">
        <f>IF(B26=0,"inactive",IF(C26="window","raw sliding window",IF(C26="short","compressed KV + Indexer Top-K","deterministic compressed KV")))</f>
        <v>compressed KV + Indexer Top-K</v>
      </c>
      <c r="F26" s="4" t="str">
        <f>IF(B26=0,"inactive",IF(A26&lt;HashLayers,"Token-ID lookup","score"))</f>
        <v>score</v>
      </c>
    </row>
    <row r="27" spans="1:6">
      <c r="A27" s="32">
        <v>23</v>
      </c>
      <c r="B27" s="33">
        <v>1</v>
      </c>
      <c r="C27" s="33" t="s">
        <v>507</v>
      </c>
      <c r="D27" s="34">
        <f>IF(C27="window",0,IF(C27="short",ShortRatio,LongRatio))</f>
        <v>128</v>
      </c>
      <c r="E27" s="4" t="str">
        <f>IF(B27=0,"inactive",IF(C27="window","raw sliding window",IF(C27="short","compressed KV + Indexer Top-K","deterministic compressed KV")))</f>
        <v>deterministic compressed KV</v>
      </c>
      <c r="F27" s="4" t="str">
        <f>IF(B27=0,"inactive",IF(A27&lt;HashLayers,"Token-ID lookup","score"))</f>
        <v>score</v>
      </c>
    </row>
    <row r="28" spans="1:6">
      <c r="A28" s="32">
        <v>24</v>
      </c>
      <c r="B28" s="33">
        <v>1</v>
      </c>
      <c r="C28" s="33" t="s">
        <v>506</v>
      </c>
      <c r="D28" s="34">
        <f>IF(C28="window",0,IF(C28="short",ShortRatio,LongRatio))</f>
        <v>4</v>
      </c>
      <c r="E28" s="4" t="str">
        <f>IF(B28=0,"inactive",IF(C28="window","raw sliding window",IF(C28="short","compressed KV + Indexer Top-K","deterministic compressed KV")))</f>
        <v>compressed KV + Indexer Top-K</v>
      </c>
      <c r="F28" s="4" t="str">
        <f>IF(B28=0,"inactive",IF(A28&lt;HashLayers,"Token-ID lookup","score"))</f>
        <v>score</v>
      </c>
    </row>
    <row r="29" spans="1:6">
      <c r="A29" s="32">
        <v>25</v>
      </c>
      <c r="B29" s="33">
        <v>1</v>
      </c>
      <c r="C29" s="33" t="s">
        <v>507</v>
      </c>
      <c r="D29" s="34">
        <f>IF(C29="window",0,IF(C29="short",ShortRatio,LongRatio))</f>
        <v>128</v>
      </c>
      <c r="E29" s="4" t="str">
        <f>IF(B29=0,"inactive",IF(C29="window","raw sliding window",IF(C29="short","compressed KV + Indexer Top-K","deterministic compressed KV")))</f>
        <v>deterministic compressed KV</v>
      </c>
      <c r="F29" s="4" t="str">
        <f>IF(B29=0,"inactive",IF(A29&lt;HashLayers,"Token-ID lookup","score"))</f>
        <v>score</v>
      </c>
    </row>
    <row r="30" spans="1:6">
      <c r="A30" s="32">
        <v>26</v>
      </c>
      <c r="B30" s="33">
        <v>1</v>
      </c>
      <c r="C30" s="33" t="s">
        <v>506</v>
      </c>
      <c r="D30" s="34">
        <f>IF(C30="window",0,IF(C30="short",ShortRatio,LongRatio))</f>
        <v>4</v>
      </c>
      <c r="E30" s="4" t="str">
        <f>IF(B30=0,"inactive",IF(C30="window","raw sliding window",IF(C30="short","compressed KV + Indexer Top-K","deterministic compressed KV")))</f>
        <v>compressed KV + Indexer Top-K</v>
      </c>
      <c r="F30" s="4" t="str">
        <f>IF(B30=0,"inactive",IF(A30&lt;HashLayers,"Token-ID lookup","score"))</f>
        <v>score</v>
      </c>
    </row>
    <row r="31" spans="1:6">
      <c r="A31" s="32">
        <v>27</v>
      </c>
      <c r="B31" s="33">
        <v>1</v>
      </c>
      <c r="C31" s="33" t="s">
        <v>507</v>
      </c>
      <c r="D31" s="34">
        <f>IF(C31="window",0,IF(C31="short",ShortRatio,LongRatio))</f>
        <v>128</v>
      </c>
      <c r="E31" s="4" t="str">
        <f>IF(B31=0,"inactive",IF(C31="window","raw sliding window",IF(C31="short","compressed KV + Indexer Top-K","deterministic compressed KV")))</f>
        <v>deterministic compressed KV</v>
      </c>
      <c r="F31" s="4" t="str">
        <f>IF(B31=0,"inactive",IF(A31&lt;HashLayers,"Token-ID lookup","score"))</f>
        <v>score</v>
      </c>
    </row>
    <row r="32" spans="1:6">
      <c r="A32" s="32">
        <v>28</v>
      </c>
      <c r="B32" s="33">
        <v>1</v>
      </c>
      <c r="C32" s="33" t="s">
        <v>506</v>
      </c>
      <c r="D32" s="34">
        <f>IF(C32="window",0,IF(C32="short",ShortRatio,LongRatio))</f>
        <v>4</v>
      </c>
      <c r="E32" s="4" t="str">
        <f>IF(B32=0,"inactive",IF(C32="window","raw sliding window",IF(C32="short","compressed KV + Indexer Top-K","deterministic compressed KV")))</f>
        <v>compressed KV + Indexer Top-K</v>
      </c>
      <c r="F32" s="4" t="str">
        <f>IF(B32=0,"inactive",IF(A32&lt;HashLayers,"Token-ID lookup","score"))</f>
        <v>score</v>
      </c>
    </row>
    <row r="33" spans="1:6">
      <c r="A33" s="32">
        <v>29</v>
      </c>
      <c r="B33" s="33">
        <v>1</v>
      </c>
      <c r="C33" s="33" t="s">
        <v>507</v>
      </c>
      <c r="D33" s="34">
        <f>IF(C33="window",0,IF(C33="short",ShortRatio,LongRatio))</f>
        <v>128</v>
      </c>
      <c r="E33" s="4" t="str">
        <f>IF(B33=0,"inactive",IF(C33="window","raw sliding window",IF(C33="short","compressed KV + Indexer Top-K","deterministic compressed KV")))</f>
        <v>deterministic compressed KV</v>
      </c>
      <c r="F33" s="4" t="str">
        <f>IF(B33=0,"inactive",IF(A33&lt;HashLayers,"Token-ID lookup","score"))</f>
        <v>score</v>
      </c>
    </row>
    <row r="34" spans="1:6">
      <c r="A34" s="32">
        <v>30</v>
      </c>
      <c r="B34" s="33">
        <v>1</v>
      </c>
      <c r="C34" s="33" t="s">
        <v>506</v>
      </c>
      <c r="D34" s="34">
        <f>IF(C34="window",0,IF(C34="short",ShortRatio,LongRatio))</f>
        <v>4</v>
      </c>
      <c r="E34" s="4" t="str">
        <f>IF(B34=0,"inactive",IF(C34="window","raw sliding window",IF(C34="short","compressed KV + Indexer Top-K","deterministic compressed KV")))</f>
        <v>compressed KV + Indexer Top-K</v>
      </c>
      <c r="F34" s="4" t="str">
        <f>IF(B34=0,"inactive",IF(A34&lt;HashLayers,"Token-ID lookup","score"))</f>
        <v>score</v>
      </c>
    </row>
    <row r="35" spans="1:6">
      <c r="A35" s="32">
        <v>31</v>
      </c>
      <c r="B35" s="33">
        <v>1</v>
      </c>
      <c r="C35" s="33" t="s">
        <v>507</v>
      </c>
      <c r="D35" s="34">
        <f>IF(C35="window",0,IF(C35="short",ShortRatio,LongRatio))</f>
        <v>128</v>
      </c>
      <c r="E35" s="4" t="str">
        <f>IF(B35=0,"inactive",IF(C35="window","raw sliding window",IF(C35="short","compressed KV + Indexer Top-K","deterministic compressed KV")))</f>
        <v>deterministic compressed KV</v>
      </c>
      <c r="F35" s="4" t="str">
        <f>IF(B35=0,"inactive",IF(A35&lt;HashLayers,"Token-ID lookup","score"))</f>
        <v>score</v>
      </c>
    </row>
    <row r="36" spans="1:6">
      <c r="A36" s="32">
        <v>32</v>
      </c>
      <c r="B36" s="33">
        <v>1</v>
      </c>
      <c r="C36" s="33" t="s">
        <v>506</v>
      </c>
      <c r="D36" s="34">
        <f>IF(C36="window",0,IF(C36="short",ShortRatio,LongRatio))</f>
        <v>4</v>
      </c>
      <c r="E36" s="4" t="str">
        <f>IF(B36=0,"inactive",IF(C36="window","raw sliding window",IF(C36="short","compressed KV + Indexer Top-K","deterministic compressed KV")))</f>
        <v>compressed KV + Indexer Top-K</v>
      </c>
      <c r="F36" s="4" t="str">
        <f>IF(B36=0,"inactive",IF(A36&lt;HashLayers,"Token-ID lookup","score"))</f>
        <v>score</v>
      </c>
    </row>
    <row r="37" spans="1:6">
      <c r="A37" s="32">
        <v>33</v>
      </c>
      <c r="B37" s="33">
        <v>1</v>
      </c>
      <c r="C37" s="33" t="s">
        <v>507</v>
      </c>
      <c r="D37" s="34">
        <f>IF(C37="window",0,IF(C37="short",ShortRatio,LongRatio))</f>
        <v>128</v>
      </c>
      <c r="E37" s="4" t="str">
        <f>IF(B37=0,"inactive",IF(C37="window","raw sliding window",IF(C37="short","compressed KV + Indexer Top-K","deterministic compressed KV")))</f>
        <v>deterministic compressed KV</v>
      </c>
      <c r="F37" s="4" t="str">
        <f>IF(B37=0,"inactive",IF(A37&lt;HashLayers,"Token-ID lookup","score"))</f>
        <v>score</v>
      </c>
    </row>
    <row r="38" spans="1:6">
      <c r="A38" s="32">
        <v>34</v>
      </c>
      <c r="B38" s="33">
        <v>1</v>
      </c>
      <c r="C38" s="33" t="s">
        <v>506</v>
      </c>
      <c r="D38" s="34">
        <f>IF(C38="window",0,IF(C38="short",ShortRatio,LongRatio))</f>
        <v>4</v>
      </c>
      <c r="E38" s="4" t="str">
        <f>IF(B38=0,"inactive",IF(C38="window","raw sliding window",IF(C38="short","compressed KV + Indexer Top-K","deterministic compressed KV")))</f>
        <v>compressed KV + Indexer Top-K</v>
      </c>
      <c r="F38" s="4" t="str">
        <f>IF(B38=0,"inactive",IF(A38&lt;HashLayers,"Token-ID lookup","score"))</f>
        <v>score</v>
      </c>
    </row>
    <row r="39" spans="1:6">
      <c r="A39" s="32">
        <v>35</v>
      </c>
      <c r="B39" s="33">
        <v>1</v>
      </c>
      <c r="C39" s="33" t="s">
        <v>507</v>
      </c>
      <c r="D39" s="34">
        <f>IF(C39="window",0,IF(C39="short",ShortRatio,LongRatio))</f>
        <v>128</v>
      </c>
      <c r="E39" s="4" t="str">
        <f>IF(B39=0,"inactive",IF(C39="window","raw sliding window",IF(C39="short","compressed KV + Indexer Top-K","deterministic compressed KV")))</f>
        <v>deterministic compressed KV</v>
      </c>
      <c r="F39" s="4" t="str">
        <f>IF(B39=0,"inactive",IF(A39&lt;HashLayers,"Token-ID lookup","score"))</f>
        <v>score</v>
      </c>
    </row>
    <row r="40" spans="1:6">
      <c r="A40" s="32">
        <v>36</v>
      </c>
      <c r="B40" s="33">
        <v>1</v>
      </c>
      <c r="C40" s="33" t="s">
        <v>506</v>
      </c>
      <c r="D40" s="34">
        <f>IF(C40="window",0,IF(C40="short",ShortRatio,LongRatio))</f>
        <v>4</v>
      </c>
      <c r="E40" s="4" t="str">
        <f>IF(B40=0,"inactive",IF(C40="window","raw sliding window",IF(C40="short","compressed KV + Indexer Top-K","deterministic compressed KV")))</f>
        <v>compressed KV + Indexer Top-K</v>
      </c>
      <c r="F40" s="4" t="str">
        <f>IF(B40=0,"inactive",IF(A40&lt;HashLayers,"Token-ID lookup","score"))</f>
        <v>score</v>
      </c>
    </row>
    <row r="41" spans="1:6">
      <c r="A41" s="32">
        <v>37</v>
      </c>
      <c r="B41" s="33">
        <v>1</v>
      </c>
      <c r="C41" s="33" t="s">
        <v>507</v>
      </c>
      <c r="D41" s="34">
        <f>IF(C41="window",0,IF(C41="short",ShortRatio,LongRatio))</f>
        <v>128</v>
      </c>
      <c r="E41" s="4" t="str">
        <f>IF(B41=0,"inactive",IF(C41="window","raw sliding window",IF(C41="short","compressed KV + Indexer Top-K","deterministic compressed KV")))</f>
        <v>deterministic compressed KV</v>
      </c>
      <c r="F41" s="4" t="str">
        <f>IF(B41=0,"inactive",IF(A41&lt;HashLayers,"Token-ID lookup","score"))</f>
        <v>score</v>
      </c>
    </row>
    <row r="42" spans="1:6">
      <c r="A42" s="32">
        <v>38</v>
      </c>
      <c r="B42" s="33">
        <v>1</v>
      </c>
      <c r="C42" s="33" t="s">
        <v>506</v>
      </c>
      <c r="D42" s="34">
        <f>IF(C42="window",0,IF(C42="short",ShortRatio,LongRatio))</f>
        <v>4</v>
      </c>
      <c r="E42" s="4" t="str">
        <f>IF(B42=0,"inactive",IF(C42="window","raw sliding window",IF(C42="short","compressed KV + Indexer Top-K","deterministic compressed KV")))</f>
        <v>compressed KV + Indexer Top-K</v>
      </c>
      <c r="F42" s="4" t="str">
        <f>IF(B42=0,"inactive",IF(A42&lt;HashLayers,"Token-ID lookup","score"))</f>
        <v>score</v>
      </c>
    </row>
    <row r="43" spans="1:6">
      <c r="A43" s="32">
        <v>39</v>
      </c>
      <c r="B43" s="33">
        <v>1</v>
      </c>
      <c r="C43" s="33" t="s">
        <v>507</v>
      </c>
      <c r="D43" s="34">
        <f>IF(C43="window",0,IF(C43="short",ShortRatio,LongRatio))</f>
        <v>128</v>
      </c>
      <c r="E43" s="4" t="str">
        <f>IF(B43=0,"inactive",IF(C43="window","raw sliding window",IF(C43="short","compressed KV + Indexer Top-K","deterministic compressed KV")))</f>
        <v>deterministic compressed KV</v>
      </c>
      <c r="F43" s="4" t="str">
        <f>IF(B43=0,"inactive",IF(A43&lt;HashLayers,"Token-ID lookup","score"))</f>
        <v>score</v>
      </c>
    </row>
    <row r="44" spans="1:6">
      <c r="A44" s="32">
        <v>40</v>
      </c>
      <c r="B44" s="33">
        <v>1</v>
      </c>
      <c r="C44" s="33" t="s">
        <v>506</v>
      </c>
      <c r="D44" s="34">
        <f>IF(C44="window",0,IF(C44="short",ShortRatio,LongRatio))</f>
        <v>4</v>
      </c>
      <c r="E44" s="4" t="str">
        <f>IF(B44=0,"inactive",IF(C44="window","raw sliding window",IF(C44="short","compressed KV + Indexer Top-K","deterministic compressed KV")))</f>
        <v>compressed KV + Indexer Top-K</v>
      </c>
      <c r="F44" s="4" t="str">
        <f>IF(B44=0,"inactive",IF(A44&lt;HashLayers,"Token-ID lookup","score"))</f>
        <v>score</v>
      </c>
    </row>
    <row r="45" spans="1:6">
      <c r="A45" s="32">
        <v>41</v>
      </c>
      <c r="B45" s="33">
        <v>1</v>
      </c>
      <c r="C45" s="33" t="s">
        <v>507</v>
      </c>
      <c r="D45" s="34">
        <f>IF(C45="window",0,IF(C45="short",ShortRatio,LongRatio))</f>
        <v>128</v>
      </c>
      <c r="E45" s="4" t="str">
        <f>IF(B45=0,"inactive",IF(C45="window","raw sliding window",IF(C45="short","compressed KV + Indexer Top-K","deterministic compressed KV")))</f>
        <v>deterministic compressed KV</v>
      </c>
      <c r="F45" s="4" t="str">
        <f>IF(B45=0,"inactive",IF(A45&lt;HashLayers,"Token-ID lookup","score"))</f>
        <v>score</v>
      </c>
    </row>
    <row r="46" spans="1:6">
      <c r="A46" s="32">
        <v>42</v>
      </c>
      <c r="B46" s="33">
        <v>1</v>
      </c>
      <c r="C46" s="33" t="s">
        <v>506</v>
      </c>
      <c r="D46" s="34">
        <f>IF(C46="window",0,IF(C46="short",ShortRatio,LongRatio))</f>
        <v>4</v>
      </c>
      <c r="E46" s="4" t="str">
        <f>IF(B46=0,"inactive",IF(C46="window","raw sliding window",IF(C46="short","compressed KV + Indexer Top-K","deterministic compressed KV")))</f>
        <v>compressed KV + Indexer Top-K</v>
      </c>
      <c r="F46" s="4" t="str">
        <f>IF(B46=0,"inactive",IF(A46&lt;HashLayers,"Token-ID lookup","score"))</f>
        <v>score</v>
      </c>
    </row>
    <row r="47" spans="1:6" hidden="1">
      <c r="A47" s="32">
        <v>43</v>
      </c>
      <c r="B47" s="33">
        <v>0</v>
      </c>
      <c r="C47" s="33" t="s">
        <v>505</v>
      </c>
      <c r="D47" s="34">
        <f>IF(C47="window",0,IF(C47="short",ShortRatio,LongRatio))</f>
        <v>0</v>
      </c>
      <c r="E47" s="4" t="str">
        <f>IF(B47=0,"inactive",IF(C47="window","raw sliding window",IF(C47="short","compressed KV + Indexer Top-K","deterministic compressed KV")))</f>
        <v>inactive</v>
      </c>
      <c r="F47" s="4" t="str">
        <f>IF(B47=0,"inactive",IF(A47&lt;HashLayers,"Token-ID lookup","score"))</f>
        <v>inactive</v>
      </c>
    </row>
    <row r="48" spans="1:6" hidden="1">
      <c r="A48" s="32">
        <v>44</v>
      </c>
      <c r="B48" s="33">
        <v>0</v>
      </c>
      <c r="C48" s="33" t="s">
        <v>505</v>
      </c>
      <c r="D48" s="34">
        <f>IF(C48="window",0,IF(C48="short",ShortRatio,LongRatio))</f>
        <v>0</v>
      </c>
      <c r="E48" s="4" t="str">
        <f>IF(B48=0,"inactive",IF(C48="window","raw sliding window",IF(C48="short","compressed KV + Indexer Top-K","deterministic compressed KV")))</f>
        <v>inactive</v>
      </c>
      <c r="F48" s="4" t="str">
        <f>IF(B48=0,"inactive",IF(A48&lt;HashLayers,"Token-ID lookup","score"))</f>
        <v>inactive</v>
      </c>
    </row>
    <row r="49" spans="1:6" hidden="1">
      <c r="A49" s="32">
        <v>45</v>
      </c>
      <c r="B49" s="33">
        <v>0</v>
      </c>
      <c r="C49" s="33" t="s">
        <v>505</v>
      </c>
      <c r="D49" s="34">
        <f>IF(C49="window",0,IF(C49="short",ShortRatio,LongRatio))</f>
        <v>0</v>
      </c>
      <c r="E49" s="4" t="str">
        <f>IF(B49=0,"inactive",IF(C49="window","raw sliding window",IF(C49="short","compressed KV + Indexer Top-K","deterministic compressed KV")))</f>
        <v>inactive</v>
      </c>
      <c r="F49" s="4" t="str">
        <f>IF(B49=0,"inactive",IF(A49&lt;HashLayers,"Token-ID lookup","score"))</f>
        <v>inactive</v>
      </c>
    </row>
    <row r="50" spans="1:6" hidden="1">
      <c r="A50" s="32">
        <v>46</v>
      </c>
      <c r="B50" s="33">
        <v>0</v>
      </c>
      <c r="C50" s="33" t="s">
        <v>505</v>
      </c>
      <c r="D50" s="34">
        <f>IF(C50="window",0,IF(C50="short",ShortRatio,LongRatio))</f>
        <v>0</v>
      </c>
      <c r="E50" s="4" t="str">
        <f>IF(B50=0,"inactive",IF(C50="window","raw sliding window",IF(C50="short","compressed KV + Indexer Top-K","deterministic compressed KV")))</f>
        <v>inactive</v>
      </c>
      <c r="F50" s="4" t="str">
        <f>IF(B50=0,"inactive",IF(A50&lt;HashLayers,"Token-ID lookup","score"))</f>
        <v>inactive</v>
      </c>
    </row>
    <row r="51" spans="1:6" hidden="1">
      <c r="A51" s="32">
        <v>47</v>
      </c>
      <c r="B51" s="33">
        <v>0</v>
      </c>
      <c r="C51" s="33" t="s">
        <v>505</v>
      </c>
      <c r="D51" s="34">
        <f>IF(C51="window",0,IF(C51="short",ShortRatio,LongRatio))</f>
        <v>0</v>
      </c>
      <c r="E51" s="4" t="str">
        <f>IF(B51=0,"inactive",IF(C51="window","raw sliding window",IF(C51="short","compressed KV + Indexer Top-K","deterministic compressed KV")))</f>
        <v>inactive</v>
      </c>
      <c r="F51" s="4" t="str">
        <f>IF(B51=0,"inactive",IF(A51&lt;HashLayers,"Token-ID lookup","score"))</f>
        <v>inactive</v>
      </c>
    </row>
    <row r="52" spans="1:6" hidden="1">
      <c r="A52" s="32">
        <v>48</v>
      </c>
      <c r="B52" s="33">
        <v>0</v>
      </c>
      <c r="C52" s="33" t="s">
        <v>505</v>
      </c>
      <c r="D52" s="34">
        <f>IF(C52="window",0,IF(C52="short",ShortRatio,LongRatio))</f>
        <v>0</v>
      </c>
      <c r="E52" s="4" t="str">
        <f>IF(B52=0,"inactive",IF(C52="window","raw sliding window",IF(C52="short","compressed KV + Indexer Top-K","deterministic compressed KV")))</f>
        <v>inactive</v>
      </c>
      <c r="F52" s="4" t="str">
        <f>IF(B52=0,"inactive",IF(A52&lt;HashLayers,"Token-ID lookup","score"))</f>
        <v>inactive</v>
      </c>
    </row>
    <row r="53" spans="1:6" hidden="1">
      <c r="A53" s="32">
        <v>49</v>
      </c>
      <c r="B53" s="33">
        <v>0</v>
      </c>
      <c r="C53" s="33" t="s">
        <v>505</v>
      </c>
      <c r="D53" s="34">
        <f>IF(C53="window",0,IF(C53="short",ShortRatio,LongRatio))</f>
        <v>0</v>
      </c>
      <c r="E53" s="4" t="str">
        <f>IF(B53=0,"inactive",IF(C53="window","raw sliding window",IF(C53="short","compressed KV + Indexer Top-K","deterministic compressed KV")))</f>
        <v>inactive</v>
      </c>
      <c r="F53" s="4" t="str">
        <f>IF(B53=0,"inactive",IF(A53&lt;HashLayers,"Token-ID lookup","score"))</f>
        <v>inactive</v>
      </c>
    </row>
    <row r="54" spans="1:6" hidden="1">
      <c r="A54" s="32">
        <v>50</v>
      </c>
      <c r="B54" s="33">
        <v>0</v>
      </c>
      <c r="C54" s="33" t="s">
        <v>505</v>
      </c>
      <c r="D54" s="34">
        <f>IF(C54="window",0,IF(C54="short",ShortRatio,LongRatio))</f>
        <v>0</v>
      </c>
      <c r="E54" s="4" t="str">
        <f>IF(B54=0,"inactive",IF(C54="window","raw sliding window",IF(C54="short","compressed KV + Indexer Top-K","deterministic compressed KV")))</f>
        <v>inactive</v>
      </c>
      <c r="F54" s="4" t="str">
        <f>IF(B54=0,"inactive",IF(A54&lt;HashLayers,"Token-ID lookup","score"))</f>
        <v>inactive</v>
      </c>
    </row>
    <row r="55" spans="1:6" hidden="1">
      <c r="A55" s="32">
        <v>51</v>
      </c>
      <c r="B55" s="33">
        <v>0</v>
      </c>
      <c r="C55" s="33" t="s">
        <v>505</v>
      </c>
      <c r="D55" s="34">
        <f>IF(C55="window",0,IF(C55="short",ShortRatio,LongRatio))</f>
        <v>0</v>
      </c>
      <c r="E55" s="4" t="str">
        <f>IF(B55=0,"inactive",IF(C55="window","raw sliding window",IF(C55="short","compressed KV + Indexer Top-K","deterministic compressed KV")))</f>
        <v>inactive</v>
      </c>
      <c r="F55" s="4" t="str">
        <f>IF(B55=0,"inactive",IF(A55&lt;HashLayers,"Token-ID lookup","score"))</f>
        <v>inactive</v>
      </c>
    </row>
    <row r="56" spans="1:6" hidden="1">
      <c r="A56" s="32">
        <v>52</v>
      </c>
      <c r="B56" s="33">
        <v>0</v>
      </c>
      <c r="C56" s="33" t="s">
        <v>505</v>
      </c>
      <c r="D56" s="34">
        <f>IF(C56="window",0,IF(C56="short",ShortRatio,LongRatio))</f>
        <v>0</v>
      </c>
      <c r="E56" s="4" t="str">
        <f>IF(B56=0,"inactive",IF(C56="window","raw sliding window",IF(C56="short","compressed KV + Indexer Top-K","deterministic compressed KV")))</f>
        <v>inactive</v>
      </c>
      <c r="F56" s="4" t="str">
        <f>IF(B56=0,"inactive",IF(A56&lt;HashLayers,"Token-ID lookup","score"))</f>
        <v>inactive</v>
      </c>
    </row>
    <row r="57" spans="1:6" hidden="1">
      <c r="A57" s="32">
        <v>53</v>
      </c>
      <c r="B57" s="33">
        <v>0</v>
      </c>
      <c r="C57" s="33" t="s">
        <v>505</v>
      </c>
      <c r="D57" s="34">
        <f>IF(C57="window",0,IF(C57="short",ShortRatio,LongRatio))</f>
        <v>0</v>
      </c>
      <c r="E57" s="4" t="str">
        <f>IF(B57=0,"inactive",IF(C57="window","raw sliding window",IF(C57="short","compressed KV + Indexer Top-K","deterministic compressed KV")))</f>
        <v>inactive</v>
      </c>
      <c r="F57" s="4" t="str">
        <f>IF(B57=0,"inactive",IF(A57&lt;HashLayers,"Token-ID lookup","score"))</f>
        <v>inactive</v>
      </c>
    </row>
    <row r="58" spans="1:6" hidden="1">
      <c r="A58" s="32">
        <v>54</v>
      </c>
      <c r="B58" s="33">
        <v>0</v>
      </c>
      <c r="C58" s="33" t="s">
        <v>505</v>
      </c>
      <c r="D58" s="34">
        <f>IF(C58="window",0,IF(C58="short",ShortRatio,LongRatio))</f>
        <v>0</v>
      </c>
      <c r="E58" s="4" t="str">
        <f>IF(B58=0,"inactive",IF(C58="window","raw sliding window",IF(C58="short","compressed KV + Indexer Top-K","deterministic compressed KV")))</f>
        <v>inactive</v>
      </c>
      <c r="F58" s="4" t="str">
        <f>IF(B58=0,"inactive",IF(A58&lt;HashLayers,"Token-ID lookup","score"))</f>
        <v>inactive</v>
      </c>
    </row>
    <row r="59" spans="1:6" hidden="1">
      <c r="A59" s="32">
        <v>55</v>
      </c>
      <c r="B59" s="33">
        <v>0</v>
      </c>
      <c r="C59" s="33" t="s">
        <v>505</v>
      </c>
      <c r="D59" s="34">
        <f>IF(C59="window",0,IF(C59="short",ShortRatio,LongRatio))</f>
        <v>0</v>
      </c>
      <c r="E59" s="4" t="str">
        <f>IF(B59=0,"inactive",IF(C59="window","raw sliding window",IF(C59="short","compressed KV + Indexer Top-K","deterministic compressed KV")))</f>
        <v>inactive</v>
      </c>
      <c r="F59" s="4" t="str">
        <f>IF(B59=0,"inactive",IF(A59&lt;HashLayers,"Token-ID lookup","score"))</f>
        <v>inactive</v>
      </c>
    </row>
    <row r="60" spans="1:6" hidden="1">
      <c r="A60" s="32">
        <v>56</v>
      </c>
      <c r="B60" s="33">
        <v>0</v>
      </c>
      <c r="C60" s="33" t="s">
        <v>505</v>
      </c>
      <c r="D60" s="34">
        <f>IF(C60="window",0,IF(C60="short",ShortRatio,LongRatio))</f>
        <v>0</v>
      </c>
      <c r="E60" s="4" t="str">
        <f>IF(B60=0,"inactive",IF(C60="window","raw sliding window",IF(C60="short","compressed KV + Indexer Top-K","deterministic compressed KV")))</f>
        <v>inactive</v>
      </c>
      <c r="F60" s="4" t="str">
        <f>IF(B60=0,"inactive",IF(A60&lt;HashLayers,"Token-ID lookup","score"))</f>
        <v>inactive</v>
      </c>
    </row>
    <row r="61" spans="1:6" hidden="1">
      <c r="A61" s="32">
        <v>57</v>
      </c>
      <c r="B61" s="33">
        <v>0</v>
      </c>
      <c r="C61" s="33" t="s">
        <v>505</v>
      </c>
      <c r="D61" s="34">
        <f>IF(C61="window",0,IF(C61="short",ShortRatio,LongRatio))</f>
        <v>0</v>
      </c>
      <c r="E61" s="4" t="str">
        <f>IF(B61=0,"inactive",IF(C61="window","raw sliding window",IF(C61="short","compressed KV + Indexer Top-K","deterministic compressed KV")))</f>
        <v>inactive</v>
      </c>
      <c r="F61" s="4" t="str">
        <f>IF(B61=0,"inactive",IF(A61&lt;HashLayers,"Token-ID lookup","score"))</f>
        <v>inactive</v>
      </c>
    </row>
    <row r="62" spans="1:6" hidden="1">
      <c r="A62" s="32">
        <v>58</v>
      </c>
      <c r="B62" s="33">
        <v>0</v>
      </c>
      <c r="C62" s="33" t="s">
        <v>505</v>
      </c>
      <c r="D62" s="34">
        <f>IF(C62="window",0,IF(C62="short",ShortRatio,LongRatio))</f>
        <v>0</v>
      </c>
      <c r="E62" s="4" t="str">
        <f>IF(B62=0,"inactive",IF(C62="window","raw sliding window",IF(C62="short","compressed KV + Indexer Top-K","deterministic compressed KV")))</f>
        <v>inactive</v>
      </c>
      <c r="F62" s="4" t="str">
        <f>IF(B62=0,"inactive",IF(A62&lt;HashLayers,"Token-ID lookup","score"))</f>
        <v>inactive</v>
      </c>
    </row>
    <row r="63" spans="1:6" hidden="1">
      <c r="A63" s="32">
        <v>59</v>
      </c>
      <c r="B63" s="33">
        <v>0</v>
      </c>
      <c r="C63" s="33" t="s">
        <v>505</v>
      </c>
      <c r="D63" s="34">
        <f>IF(C63="window",0,IF(C63="short",ShortRatio,LongRatio))</f>
        <v>0</v>
      </c>
      <c r="E63" s="4" t="str">
        <f>IF(B63=0,"inactive",IF(C63="window","raw sliding window",IF(C63="short","compressed KV + Indexer Top-K","deterministic compressed KV")))</f>
        <v>inactive</v>
      </c>
      <c r="F63" s="4" t="str">
        <f>IF(B63=0,"inactive",IF(A63&lt;HashLayers,"Token-ID lookup","score"))</f>
        <v>inactive</v>
      </c>
    </row>
    <row r="64" spans="1:6" hidden="1">
      <c r="A64" s="32">
        <v>60</v>
      </c>
      <c r="B64" s="33">
        <v>0</v>
      </c>
      <c r="C64" s="33" t="s">
        <v>505</v>
      </c>
      <c r="D64" s="34">
        <f>IF(C64="window",0,IF(C64="short",ShortRatio,LongRatio))</f>
        <v>0</v>
      </c>
      <c r="E64" s="4" t="str">
        <f>IF(B64=0,"inactive",IF(C64="window","raw sliding window",IF(C64="short","compressed KV + Indexer Top-K","deterministic compressed KV")))</f>
        <v>inactive</v>
      </c>
      <c r="F64" s="4" t="str">
        <f>IF(B64=0,"inactive",IF(A64&lt;HashLayers,"Token-ID lookup","score"))</f>
        <v>inactive</v>
      </c>
    </row>
    <row r="65" spans="1:6" hidden="1">
      <c r="A65" s="32">
        <v>61</v>
      </c>
      <c r="B65" s="33">
        <v>0</v>
      </c>
      <c r="C65" s="33" t="s">
        <v>505</v>
      </c>
      <c r="D65" s="34">
        <f>IF(C65="window",0,IF(C65="short",ShortRatio,LongRatio))</f>
        <v>0</v>
      </c>
      <c r="E65" s="4" t="str">
        <f>IF(B65=0,"inactive",IF(C65="window","raw sliding window",IF(C65="short","compressed KV + Indexer Top-K","deterministic compressed KV")))</f>
        <v>inactive</v>
      </c>
      <c r="F65" s="4" t="str">
        <f>IF(B65=0,"inactive",IF(A65&lt;HashLayers,"Token-ID lookup","score"))</f>
        <v>inactive</v>
      </c>
    </row>
    <row r="66" spans="1:6" hidden="1">
      <c r="A66" s="32">
        <v>62</v>
      </c>
      <c r="B66" s="33">
        <v>0</v>
      </c>
      <c r="C66" s="33" t="s">
        <v>505</v>
      </c>
      <c r="D66" s="34">
        <f>IF(C66="window",0,IF(C66="short",ShortRatio,LongRatio))</f>
        <v>0</v>
      </c>
      <c r="E66" s="4" t="str">
        <f>IF(B66=0,"inactive",IF(C66="window","raw sliding window",IF(C66="short","compressed KV + Indexer Top-K","deterministic compressed KV")))</f>
        <v>inactive</v>
      </c>
      <c r="F66" s="4" t="str">
        <f>IF(B66=0,"inactive",IF(A66&lt;HashLayers,"Token-ID lookup","score"))</f>
        <v>inactive</v>
      </c>
    </row>
    <row r="67" spans="1:6" hidden="1">
      <c r="A67" s="32">
        <v>63</v>
      </c>
      <c r="B67" s="33">
        <v>0</v>
      </c>
      <c r="C67" s="33" t="s">
        <v>505</v>
      </c>
      <c r="D67" s="34">
        <f>IF(C67="window",0,IF(C67="short",ShortRatio,LongRatio))</f>
        <v>0</v>
      </c>
      <c r="E67" s="4" t="str">
        <f>IF(B67=0,"inactive",IF(C67="window","raw sliding window",IF(C67="short","compressed KV + Indexer Top-K","deterministic compressed KV")))</f>
        <v>inactive</v>
      </c>
      <c r="F67" s="4" t="str">
        <f>IF(B67=0,"inactive",IF(A67&lt;HashLayers,"Token-ID lookup","score"))</f>
        <v>inactive</v>
      </c>
    </row>
  </sheetData>
  <autoFilter ref="A3:F67"/>
  <dataValidations count="2">
    <dataValidation type="list" allowBlank="1" showInputMessage="1" showErrorMessage="1" sqref="B4:B67">
      <formula1>"0,1"</formula1>
    </dataValidation>
    <dataValidation type="list" allowBlank="1" showInputMessage="1" showErrorMessage="1" sqref="C4:C67">
      <formula1>"window,short,long"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6"/>
  <sheetViews>
    <sheetView showGridLines="0" workbookViewId="0"/>
  </sheetViews>
  <sheetFormatPr defaultRowHeight="15"/>
  <cols>
    <col min="1" max="1" width="24.7109375" customWidth="1"/>
    <col min="2" max="2" width="120.7109375" customWidth="1"/>
  </cols>
  <sheetData>
    <row r="1" spans="1:2">
      <c r="A1" s="1" t="s">
        <v>508</v>
      </c>
    </row>
    <row r="3" spans="1:2">
      <c r="A3" s="3" t="s">
        <v>509</v>
      </c>
      <c r="B3" s="3" t="s">
        <v>466</v>
      </c>
    </row>
    <row r="4" spans="1:2">
      <c r="A4" s="4" t="s">
        <v>348</v>
      </c>
      <c r="B4" s="4" t="s">
        <v>510</v>
      </c>
    </row>
    <row r="5" spans="1:2">
      <c r="A5" s="4" t="s">
        <v>511</v>
      </c>
      <c r="B5" s="4" t="s">
        <v>512</v>
      </c>
    </row>
    <row r="6" spans="1:2">
      <c r="A6" s="4" t="s">
        <v>513</v>
      </c>
      <c r="B6" s="4" t="s">
        <v>514</v>
      </c>
    </row>
    <row r="7" spans="1:2">
      <c r="A7" s="4" t="s">
        <v>515</v>
      </c>
      <c r="B7" s="4" t="s">
        <v>516</v>
      </c>
    </row>
    <row r="8" spans="1:2">
      <c r="A8" s="4" t="s">
        <v>59</v>
      </c>
      <c r="B8" s="4" t="s">
        <v>517</v>
      </c>
    </row>
    <row r="9" spans="1:2">
      <c r="A9" s="4" t="s">
        <v>518</v>
      </c>
      <c r="B9" s="4" t="s">
        <v>519</v>
      </c>
    </row>
    <row r="10" spans="1:2">
      <c r="A10" s="4" t="s">
        <v>520</v>
      </c>
      <c r="B10" s="4" t="s">
        <v>521</v>
      </c>
    </row>
    <row r="11" spans="1:2">
      <c r="A11" s="4" t="s">
        <v>522</v>
      </c>
      <c r="B11" s="4" t="s">
        <v>523</v>
      </c>
    </row>
    <row r="12" spans="1:2">
      <c r="A12" s="4" t="s">
        <v>398</v>
      </c>
      <c r="B12" s="4" t="s">
        <v>524</v>
      </c>
    </row>
    <row r="13" spans="1:2">
      <c r="A13" s="4" t="s">
        <v>525</v>
      </c>
      <c r="B13" s="4" t="s">
        <v>526</v>
      </c>
    </row>
    <row r="14" spans="1:2">
      <c r="A14" s="4" t="s">
        <v>527</v>
      </c>
      <c r="B14" s="4" t="s">
        <v>528</v>
      </c>
    </row>
    <row r="15" spans="1:2">
      <c r="A15" s="4" t="s">
        <v>529</v>
      </c>
      <c r="B15" s="4" t="s">
        <v>530</v>
      </c>
    </row>
    <row r="16" spans="1:2">
      <c r="A16" s="4" t="s">
        <v>531</v>
      </c>
      <c r="B16" s="4" t="s">
        <v>532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69</vt:i4>
      </vt:variant>
    </vt:vector>
  </HeadingPairs>
  <TitlesOfParts>
    <vt:vector size="77" baseType="lpstr">
      <vt:lpstr>Parameters</vt:lpstr>
      <vt:lpstr>Prefill_8K</vt:lpstr>
      <vt:lpstr>Decode_1M</vt:lpstr>
      <vt:lpstr>dtype</vt:lpstr>
      <vt:lpstr>Comparison</vt:lpstr>
      <vt:lpstr>Summary</vt:lpstr>
      <vt:lpstr>Layer_Config</vt:lpstr>
      <vt:lpstr>Methodology</vt:lpstr>
      <vt:lpstr>ActivatedExperts</vt:lpstr>
      <vt:lpstr>ActiveHashLayers</vt:lpstr>
      <vt:lpstr>BF16Bytes</vt:lpstr>
      <vt:lpstr>DC_ExpertActiveProbability</vt:lpstr>
      <vt:lpstr>DC_IndexPairs</vt:lpstr>
      <vt:lpstr>DC_LongPairs</vt:lpstr>
      <vt:lpstr>DC_RawPairs</vt:lpstr>
      <vt:lpstr>DC_Rows</vt:lpstr>
      <vt:lpstr>DC_ShortPairs</vt:lpstr>
      <vt:lpstr>DecodeBatch</vt:lpstr>
      <vt:lpstr>DecodeContext</vt:lpstr>
      <vt:lpstr>DecodeTokens</vt:lpstr>
      <vt:lpstr>ExpertInter</vt:lpstr>
      <vt:lpstr>FP32Bytes</vt:lpstr>
      <vt:lpstr>FP4Block</vt:lpstr>
      <vt:lpstr>FP4Bytes</vt:lpstr>
      <vt:lpstr>FP8Block</vt:lpstr>
      <vt:lpstr>FP8Bytes</vt:lpstr>
      <vt:lpstr>HashLayers</vt:lpstr>
      <vt:lpstr>HCIters</vt:lpstr>
      <vt:lpstr>HCSlots</vt:lpstr>
      <vt:lpstr>HeadDim</vt:lpstr>
      <vt:lpstr>HiddenSize</vt:lpstr>
      <vt:lpstr>IndexHeadDim</vt:lpstr>
      <vt:lpstr>IndexHeads</vt:lpstr>
      <vt:lpstr>IndexTopK</vt:lpstr>
      <vt:lpstr>INT32Bytes</vt:lpstr>
      <vt:lpstr>INT64Bytes</vt:lpstr>
      <vt:lpstr>KernelMinHeads</vt:lpstr>
      <vt:lpstr>LongLayers</vt:lpstr>
      <vt:lpstr>LongRatio</vt:lpstr>
      <vt:lpstr>MaxContext</vt:lpstr>
      <vt:lpstr>NumHeads</vt:lpstr>
      <vt:lpstr>OGroups</vt:lpstr>
      <vt:lpstr>OLoraRank</vt:lpstr>
      <vt:lpstr>PeakTFLOPs</vt:lpstr>
      <vt:lpstr>PF_ExpertActiveProbability</vt:lpstr>
      <vt:lpstr>PF_IndexPairs</vt:lpstr>
      <vt:lpstr>PF_LongPairs</vt:lpstr>
      <vt:lpstr>PF_RawPairs</vt:lpstr>
      <vt:lpstr>PF_Rows</vt:lpstr>
      <vt:lpstr>PF_ShortPairs</vt:lpstr>
      <vt:lpstr>PrefillBatch</vt:lpstr>
      <vt:lpstr>PrefillSequence</vt:lpstr>
      <vt:lpstr>QLoraRank</vt:lpstr>
      <vt:lpstr>RopeDim</vt:lpstr>
      <vt:lpstr>RoutedExperts</vt:lpstr>
      <vt:lpstr>ScaleBytes</vt:lpstr>
      <vt:lpstr>SharedExperts</vt:lpstr>
      <vt:lpstr>ShortLayers</vt:lpstr>
      <vt:lpstr>ShortRatio</vt:lpstr>
      <vt:lpstr>TotalLayers</vt:lpstr>
      <vt:lpstr>TP1KernelLocalHeads</vt:lpstr>
      <vt:lpstr>TP1LocalExperts</vt:lpstr>
      <vt:lpstr>TP1LocalHeads</vt:lpstr>
      <vt:lpstr>TP1LocalIndexHeads</vt:lpstr>
      <vt:lpstr>TP1LocalOGroups</vt:lpstr>
      <vt:lpstr>TP1LocalVocab</vt:lpstr>
      <vt:lpstr>TP1Size</vt:lpstr>
      <vt:lpstr>TP8KernelLocalHeads</vt:lpstr>
      <vt:lpstr>TP8LocalExperts</vt:lpstr>
      <vt:lpstr>TP8LocalHeads</vt:lpstr>
      <vt:lpstr>TP8LocalIndexHeads</vt:lpstr>
      <vt:lpstr>TP8LocalOGroups</vt:lpstr>
      <vt:lpstr>TP8LocalVocab</vt:lpstr>
      <vt:lpstr>TP8Size</vt:lpstr>
      <vt:lpstr>VocabSize</vt:lpstr>
      <vt:lpstr>WindowLayers</vt:lpstr>
      <vt:lpstr>WindowSize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DeepSeek V4 Flash Architecture Calculator</dc:title>
  <dc:subject>Formula-driven TP, FLOPs, capacity, and communication analysis</dc:subject>
  <dc:creator>DeepSeek V4 Flash repository calculator</dc:creator>
  <cp:lastModifiedBy>DeepSeek V4 Flash repository calculator</cp:lastModifiedBy>
  <dcterms:created xsi:type="dcterms:W3CDTF">2026-08-29T04:21:36Z</dcterms:created>
  <dcterms:modified xsi:type="dcterms:W3CDTF">2026-08-29T04:21:36Z</dcterms:modified>
</cp:coreProperties>
</file>